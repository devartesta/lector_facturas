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&amp;G-INC" sheetId="1" state="visible" r:id="rId1"/>
    <sheet name="params" sheetId="2" state="visible" r:id="rId2"/>
    <sheet name="i-shopify-inc" sheetId="3" state="visible" r:id="rId3"/>
    <sheet name="g-expenses-inc" sheetId="4" state="visible" r:id="rId4"/>
    <sheet name="g-payment-fees-inc" sheetId="5" state="visible" r:id="rId5"/>
    <sheet name="fx-rates" sheetId="6" state="visible" r:id="rId6"/>
    <sheet name="catalog-inc" sheetId="7" state="visible" r:id="rId7"/>
    <sheet name="Nº Facturas-INC" sheetId="8" state="visible" r:id="rId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#,##0.00;[Red](#,##0.00);-"/>
    <numFmt numFmtId="165" formatCode="0.00000000"/>
    <numFmt numFmtId="166" formatCode="0.0%;[Red](0.0%);-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i val="1"/>
      <color rgb="00666666"/>
      <sz val="9"/>
    </font>
    <font>
      <b val="1"/>
    </font>
    <font>
      <color rgb="00666666"/>
    </font>
    <font>
      <b val="1"/>
      <color rgb="001F1F1F"/>
    </font>
    <font>
      <name val="Calibri"/>
      <family val="2"/>
      <color theme="10"/>
      <sz val="12"/>
      <scheme val="minor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AF3F8"/>
      </patternFill>
    </fill>
    <fill>
      <patternFill patternType="solid">
        <fgColor rgb="00FFF2CC"/>
      </patternFill>
    </fill>
    <fill>
      <patternFill patternType="solid">
        <fgColor rgb="00F3F6F8"/>
      </patternFill>
    </fill>
    <fill>
      <patternFill patternType="solid">
        <fgColor rgb="00FFAAAA"/>
      </patternFill>
    </fill>
  </fills>
  <borders count="3">
    <border>
      <left/>
      <right/>
      <top/>
      <bottom/>
      <diagonal/>
    </border>
    <border>
      <top style="medium">
        <color rgb="007F7F7F"/>
      </top>
    </border>
    <border>
      <top style="thin">
        <color rgb="00A6A6A6"/>
      </top>
    </border>
  </borders>
  <cellStyleXfs count="2">
    <xf numFmtId="0" fontId="0" fillId="0" borderId="0"/>
    <xf numFmtId="0" fontId="7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0" borderId="0" pivotButton="0" quotePrefix="0" xfId="0"/>
    <xf numFmtId="164" fontId="0" fillId="0" borderId="0" pivotButton="0" quotePrefix="0" xfId="0"/>
    <xf numFmtId="0" fontId="4" fillId="3" borderId="1" pivotButton="0" quotePrefix="0" xfId="0"/>
    <xf numFmtId="164" fontId="0" fillId="3" borderId="1" pivotButton="0" quotePrefix="0" xfId="0"/>
    <xf numFmtId="0" fontId="4" fillId="4" borderId="2" pivotButton="0" quotePrefix="0" xfId="0"/>
    <xf numFmtId="164" fontId="0" fillId="4" borderId="2" pivotButton="0" quotePrefix="0" xfId="0"/>
    <xf numFmtId="0" fontId="4" fillId="4" borderId="0" pivotButton="0" quotePrefix="0" xfId="0"/>
    <xf numFmtId="164" fontId="0" fillId="4" borderId="0" pivotButton="0" quotePrefix="0" xfId="0"/>
    <xf numFmtId="166" fontId="0" fillId="0" borderId="0" pivotButton="0" quotePrefix="0" xfId="0"/>
    <xf numFmtId="0" fontId="5" fillId="0" borderId="0" pivotButton="0" quotePrefix="0" xfId="0"/>
    <xf numFmtId="0" fontId="4" fillId="5" borderId="1" pivotButton="0" quotePrefix="0" xfId="0"/>
    <xf numFmtId="164" fontId="0" fillId="5" borderId="1" pivotButton="0" quotePrefix="0" xfId="0"/>
    <xf numFmtId="0" fontId="4" fillId="0" borderId="0" pivotButton="0" quotePrefix="0" xfId="0"/>
    <xf numFmtId="0" fontId="6" fillId="6" borderId="0" applyAlignment="1" pivotButton="0" quotePrefix="0" xfId="0">
      <alignment horizontal="left" vertical="center"/>
    </xf>
    <xf numFmtId="0" fontId="1" fillId="2" borderId="0" pivotButton="0" quotePrefix="0" xfId="0"/>
    <xf numFmtId="165" fontId="0" fillId="0" borderId="0" pivotButton="0" quotePrefix="0" xfId="0"/>
    <xf numFmtId="0" fontId="7" fillId="0" borderId="0" pivotButton="0" quotePrefix="0" xfId="1"/>
    <xf numFmtId="0" fontId="2" fillId="2" borderId="0" applyAlignment="1" pivotButton="0" quotePrefix="0" xfId="0">
      <alignment horizontal="left" vertical="center"/>
    </xf>
    <xf numFmtId="0" fontId="4" fillId="3" borderId="0" pivotButton="0" quotePrefix="0" xfId="0"/>
    <xf numFmtId="0" fontId="0" fillId="3" borderId="0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4" borderId="0" pivotButton="0" quotePrefix="0" xfId="0"/>
    <xf numFmtId="0" fontId="0" fillId="7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hyperlink" Target="https://drive.google.com/file/d/1VQJLNIB-5t3CvvCH7lD24otxOYB9qBhF/view?usp=drivesdk" TargetMode="External" Id="rId1" /><Relationship Type="http://schemas.openxmlformats.org/officeDocument/2006/relationships/hyperlink" Target="https://drive.google.com/file/d/1BbduJYKX9BQjP8XUl1QyyqI2dYd_kaDG/view?usp=drivesdk" TargetMode="External" Id="rId2" /><Relationship Type="http://schemas.openxmlformats.org/officeDocument/2006/relationships/hyperlink" Target="https://drive.google.com/file/d/1ceZ6j5WAJAPPlpRSVBybJc0WhWv0xodP/view?usp=drivesdk" TargetMode="External" Id="rId3" /><Relationship Type="http://schemas.openxmlformats.org/officeDocument/2006/relationships/hyperlink" Target="https://drive.google.com/file/d/1LMi5pj2ZXxZnqbNKNzf_j2iSIru1WK79/view?usp=drivesdk" TargetMode="External" Id="rId4" /><Relationship Type="http://schemas.openxmlformats.org/officeDocument/2006/relationships/hyperlink" Target="https://drive.google.com/file/d/1KbHUnph5gmHbdTxLjqKqYInKlrmdz4wL/view?usp=drivesdk" TargetMode="External" Id="rId5" /><Relationship Type="http://schemas.openxmlformats.org/officeDocument/2006/relationships/hyperlink" Target="https://drive.google.com/file/d/1yyR0exo4N4IjQeijc-RMOgOFPehkmWG7/view?usp=drivesdk" TargetMode="External" Id="rId6" /><Relationship Type="http://schemas.openxmlformats.org/officeDocument/2006/relationships/hyperlink" Target="https://drive.google.com/file/d/1O0P3vzvWe4u3W1s9Cfr7AhvvLpiFmCxE/view?usp=drivesdk" TargetMode="External" Id="rId7" /><Relationship Type="http://schemas.openxmlformats.org/officeDocument/2006/relationships/hyperlink" Target="https://drive.google.com/file/d/1jyxd9FqicevsnM8DLiOFiRnzfnmWfzky/view?usp=drivesdk" TargetMode="External" Id="rId8" /><Relationship Type="http://schemas.openxmlformats.org/officeDocument/2006/relationships/hyperlink" Target="https://drive.google.com/file/d/1RevzUHhRECleLrhtwD-YjTJp9jaJUWDK/view?usp=drivesdk" TargetMode="External" Id="rId9" /><Relationship Type="http://schemas.openxmlformats.org/officeDocument/2006/relationships/hyperlink" Target="https://drive.google.com/file/d/1mBJHgNO2xg-5FqhSFbZNhgENNhUoZFlO/view?usp=drivesdk" TargetMode="External" Id="rId10" /><Relationship Type="http://schemas.openxmlformats.org/officeDocument/2006/relationships/hyperlink" Target="https://drive.google.com/file/d/1n0jkiCaVd0_gWUGq-nbHvrLmzbH5wqOe/view?usp=drivesdk" TargetMode="External" Id="rId11" /><Relationship Type="http://schemas.openxmlformats.org/officeDocument/2006/relationships/hyperlink" Target="https://drive.google.com/file/d/1oaJt7342H9v6JYlHDXVc1qKPm1x6UfSA/view?usp=drivesdk" TargetMode="External" Id="rId12" /><Relationship Type="http://schemas.openxmlformats.org/officeDocument/2006/relationships/hyperlink" Target="https://drive.google.com/file/d/1XcWHHiuZhYBfTD9p5V8io5vc60MnzuTH/view?usp=drivesdk" TargetMode="External" Id="rId13" /><Relationship Type="http://schemas.openxmlformats.org/officeDocument/2006/relationships/hyperlink" Target="https://drive.google.com/file/d/1O3JQWCljxjpurBip-btRlPPIgNjLDS8z/view?usp=drivesdk" TargetMode="External" Id="rId14" /><Relationship Type="http://schemas.openxmlformats.org/officeDocument/2006/relationships/hyperlink" Target="https://drive.google.com/file/d/1gZQTLCPSHOk4TktpGvMCAtrlr8UHdVJj/view?usp=drivesdk" TargetMode="External" Id="rId15" /><Relationship Type="http://schemas.openxmlformats.org/officeDocument/2006/relationships/hyperlink" Target="https://drive.google.com/file/d/1f0y-ak8qjEua6xrzfcweFpWZqOtA8h9C/view?usp=drivesdk" TargetMode="External" Id="rId16" /><Relationship Type="http://schemas.openxmlformats.org/officeDocument/2006/relationships/hyperlink" Target="https://drive.google.com/file/d/1EUtQF-FleTAy3EgSdssG3kIsBahVXhP7/view?usp=drivesdk" TargetMode="External" Id="rId17" /><Relationship Type="http://schemas.openxmlformats.org/officeDocument/2006/relationships/hyperlink" Target="https://drive.google.com/file/d/15ijSn48A6cTNkNH6H12fgOkucD-ULCFE/view?usp=drivesdk" TargetMode="External" Id="rId18" /><Relationship Type="http://schemas.openxmlformats.org/officeDocument/2006/relationships/hyperlink" Target="https://drive.google.com/file/d/19qRHVy1VXN3r8_I38sW_TfnopkqkdH5y/view?usp=drivesdk" TargetMode="External" Id="rId19" /><Relationship Type="http://schemas.openxmlformats.org/officeDocument/2006/relationships/hyperlink" Target="https://drive.google.com/file/d/1ucffmXSTwbEd1NPh3IgAuKV_LAbciIE3/view?usp=drivesdk" TargetMode="External" Id="rId20" /><Relationship Type="http://schemas.openxmlformats.org/officeDocument/2006/relationships/hyperlink" Target="https://drive.google.com/file/d/1Qv3sUtITrFrr0vCvvVDO9E2rkyQ_GGDR/view?usp=drivesdk" TargetMode="External" Id="rId21" /><Relationship Type="http://schemas.openxmlformats.org/officeDocument/2006/relationships/hyperlink" Target="https://drive.google.com/file/d/1x0UkVSghoqqzzwFf7y0HgzoZgXkCaS8G/view?usp=drivesdk" TargetMode="External" Id="rId22" /><Relationship Type="http://schemas.openxmlformats.org/officeDocument/2006/relationships/hyperlink" Target="https://drive.google.com/file/d/1YfOki42vge4FANfVk-MA2_HuwrNAPmOR/view?usp=drivesdk" TargetMode="External" Id="rId23" /><Relationship Type="http://schemas.openxmlformats.org/officeDocument/2006/relationships/hyperlink" Target="https://drive.google.com/file/d/1yIsmWVg1oRuboG-zbYrLUho04HzIiIyK/view?usp=drivesdk" TargetMode="External" Id="rId24" /><Relationship Type="http://schemas.openxmlformats.org/officeDocument/2006/relationships/hyperlink" Target="https://drive.google.com/file/d/1wXV9fWvwxyEBQq62-UJe49I7S0KXvaSG/view?usp=drivesdk" TargetMode="External" Id="rId25" /><Relationship Type="http://schemas.openxmlformats.org/officeDocument/2006/relationships/hyperlink" Target="https://drive.google.com/file/d/17yz-OjOD_OiscKegCKHsuLS2iph8Iq2Z/view?usp=drivesdk" TargetMode="External" Id="rId26" /><Relationship Type="http://schemas.openxmlformats.org/officeDocument/2006/relationships/hyperlink" Target="https://drive.google.com/file/d/1jDsCgTUxIQfP-43lMMhxyWNGIfFcyKi1/view?usp=drivesdk" TargetMode="External" Id="rId27" /><Relationship Type="http://schemas.openxmlformats.org/officeDocument/2006/relationships/hyperlink" Target="https://drive.google.com/file/d/1cRmaF6PcrmnIb2R1odSy7Vfe9PCmm33F/view?usp=drivesdk" TargetMode="External" Id="rId28" /><Relationship Type="http://schemas.openxmlformats.org/officeDocument/2006/relationships/hyperlink" Target="https://drive.google.com/file/d/1XSd6qUVZmmUut5jXHAu0boyCzx24IyXY/view?usp=drivesdk" TargetMode="External" Id="rId29" /><Relationship Type="http://schemas.openxmlformats.org/officeDocument/2006/relationships/hyperlink" Target="https://drive.google.com/file/d/18-431Zp6DTVo2m9HUh3SMuz2qyBKoLem/view?usp=drivesdk" TargetMode="External" Id="rId30" /><Relationship Type="http://schemas.openxmlformats.org/officeDocument/2006/relationships/hyperlink" Target="https://drive.google.com/file/d/1cP0o74jkhXdQk9aPXo7L1osS8x5cwT_j/view?usp=drivesdk" TargetMode="External" Id="rId31" /><Relationship Type="http://schemas.openxmlformats.org/officeDocument/2006/relationships/hyperlink" Target="https://drive.google.com/file/d/1MaJcncxz7W_PmnWCBLG0TWeEkCieXw6n/view?usp=drivesdk" TargetMode="External" Id="rId32" /><Relationship Type="http://schemas.openxmlformats.org/officeDocument/2006/relationships/hyperlink" Target="https://drive.google.com/file/d/1gPRda7kqtCsp7y3XsBonf8t2GHm4RxiY/view?usp=drivesdk" TargetMode="External" Id="rId33" /><Relationship Type="http://schemas.openxmlformats.org/officeDocument/2006/relationships/hyperlink" Target="https://drive.google.com/file/d/1CF9gddWi0M8W61isQoq9hLg1wgCd0YU0/view?usp=drivesdk" TargetMode="External" Id="rId34" /><Relationship Type="http://schemas.openxmlformats.org/officeDocument/2006/relationships/hyperlink" Target="https://drive.google.com/file/d/124eW3cPeSVU9chNVpkckm3lApHmcSpeY/view?usp=drivesdk" TargetMode="External" Id="rId35" /><Relationship Type="http://schemas.openxmlformats.org/officeDocument/2006/relationships/hyperlink" Target="https://drive.google.com/file/d/1UJD1YgQGDw_lhkgllw-qAY40gjr1CXD3/view?usp=drivesdk" TargetMode="External" Id="rId36" /><Relationship Type="http://schemas.openxmlformats.org/officeDocument/2006/relationships/hyperlink" Target="https://drive.google.com/file/d/15FcdLXRiAC-fc5rJJ0HumhzpjebgySO2/view?usp=drivesdk" TargetMode="External" Id="rId37" /><Relationship Type="http://schemas.openxmlformats.org/officeDocument/2006/relationships/hyperlink" Target="https://drive.google.com/file/d/1qCQb7DfrhSMf1s5fBDZI6Cr38Ujt69gI/view?usp=drivesdk" TargetMode="External" Id="rId38" /><Relationship Type="http://schemas.openxmlformats.org/officeDocument/2006/relationships/hyperlink" Target="https://drive.google.com/file/d/16HigSV6-0JvXWtaIr0tm6I9tZmtUDVtP/view?usp=drivesdk" TargetMode="External" Id="rId39" /><Relationship Type="http://schemas.openxmlformats.org/officeDocument/2006/relationships/hyperlink" Target="https://drive.google.com/file/d/16TRaXUZMQYZeQPs1Vj3jmfRAukB4q81A/view?usp=drivesdk" TargetMode="External" Id="rId40" /><Relationship Type="http://schemas.openxmlformats.org/officeDocument/2006/relationships/hyperlink" Target="https://drive.google.com/file/d/1oQJmNDemN2VYUTX6QTYyicXd9Jd_sfP9/view?usp=drivesdk" TargetMode="External" Id="rId41" /><Relationship Type="http://schemas.openxmlformats.org/officeDocument/2006/relationships/hyperlink" Target="https://drive.google.com/file/d/1-cHfa02zhjklsbE1q-cLpj5dZxl0FAh1/view?usp=drivesdk" TargetMode="External" Id="rId42" /><Relationship Type="http://schemas.openxmlformats.org/officeDocument/2006/relationships/hyperlink" Target="https://drive.google.com/file/d/1u1gkkYGB0B7zP2eCx87KEw2V5LsGNihA/view?usp=drivesdk" TargetMode="External" Id="rId43" /><Relationship Type="http://schemas.openxmlformats.org/officeDocument/2006/relationships/hyperlink" Target="https://drive.google.com/file/d/1iQV7Ay6VzQkBn1F-2LKdlzE6SlYah9nh/view?usp=drivesdk" TargetMode="External" Id="rId44" /><Relationship Type="http://schemas.openxmlformats.org/officeDocument/2006/relationships/hyperlink" Target="https://drive.google.com/file/d/1NS01lvut_GaX32JXr0pbMFEHm2VsNjei/view?usp=drivesdk" TargetMode="External" Id="rId45" /><Relationship Type="http://schemas.openxmlformats.org/officeDocument/2006/relationships/hyperlink" Target="https://drive.google.com/file/d/1rlqcAuJUaWxt0Udjbpq3E6fP_lfRq58_/view?usp=drivesdk" TargetMode="External" Id="rId46" /><Relationship Type="http://schemas.openxmlformats.org/officeDocument/2006/relationships/hyperlink" Target="https://drive.google.com/file/d/1InywJ9PnYh3UCqxE9lRE2PWmjWaBcmnD/view?usp=drivesdk" TargetMode="External" Id="rId47" /><Relationship Type="http://schemas.openxmlformats.org/officeDocument/2006/relationships/hyperlink" Target="https://drive.google.com/file/d/1PO_RD2CHNRNOEBltczl9fkFpwCsNwxPc/view?usp=drivesdk" TargetMode="External" Id="rId48" /><Relationship Type="http://schemas.openxmlformats.org/officeDocument/2006/relationships/hyperlink" Target="https://drive.google.com/file/d/10g4rvQi3froy77rnSdW_9mo36rDSW1U2/view?usp=drivesdk" TargetMode="External" Id="rId49" /><Relationship Type="http://schemas.openxmlformats.org/officeDocument/2006/relationships/hyperlink" Target="https://drive.google.com/file/d/1b3lRk0uvFhmBHXBXSVqk0Z_qtSygPXDE/view" TargetMode="External" Id="rId50" /><Relationship Type="http://schemas.openxmlformats.org/officeDocument/2006/relationships/hyperlink" Target="https://drive.google.com/file/d/176yfc70ezTIGdi4KorC09_glKVNPgXHX/view?usp=drivesdk" TargetMode="External" Id="rId51" /><Relationship Type="http://schemas.openxmlformats.org/officeDocument/2006/relationships/hyperlink" Target="https://drive.google.com/file/d/12HKshlwi77vzpCgTTirEXD-MZNuhFA-c/view?usp=drivesdk" TargetMode="External" Id="rId52" /><Relationship Type="http://schemas.openxmlformats.org/officeDocument/2006/relationships/hyperlink" Target="https://drive.google.com/file/d/1LmADNjxt37qcWuUuhWGuUTAjIyKHA5TN/view?usp=drivesdk" TargetMode="External" Id="rId53" /><Relationship Type="http://schemas.openxmlformats.org/officeDocument/2006/relationships/hyperlink" Target="https://drive.google.com/file/d/1T9KWZxBKxvW0g6TR87InMH1N6L7fKbK-/view?usp=drivesdk" TargetMode="External" Id="rId54" /><Relationship Type="http://schemas.openxmlformats.org/officeDocument/2006/relationships/hyperlink" Target="https://drive.google.com/file/d/1q2P_FQTEKlc2oi9V12k0V2g4Ly8j4pcm/view?usp=drivesdk" TargetMode="External" Id="rId55" /><Relationship Type="http://schemas.openxmlformats.org/officeDocument/2006/relationships/hyperlink" Target="https://drive.google.com/file/d/1qtaz8f1JVhjTszda1jSXMoHUhdimgxN4/view?usp=drivesdk" TargetMode="External" Id="rId56" /><Relationship Type="http://schemas.openxmlformats.org/officeDocument/2006/relationships/hyperlink" Target="https://drive.google.com/file/d/148hQ1ctHcLYbkGm3jEcIflExnc5ngCjE/view?usp=drivesdk" TargetMode="External" Id="rId57" /><Relationship Type="http://schemas.openxmlformats.org/officeDocument/2006/relationships/hyperlink" Target="https://drive.google.com/file/d/1R0UDJ1fU0jyIr6k39RjCTcQLgDGhaZkb/view?usp=drivesdk" TargetMode="External" Id="rId58" /><Relationship Type="http://schemas.openxmlformats.org/officeDocument/2006/relationships/hyperlink" Target="https://drive.google.com/file/d/1TYtEUECTDsFNrsj6k4o7ceUycXUJdVfz/view?usp=drivesdk" TargetMode="External" Id="rId59" /><Relationship Type="http://schemas.openxmlformats.org/officeDocument/2006/relationships/hyperlink" Target="https://drive.google.com/file/d/1RPIi58UZHvF1QZ2EWIPyyeAqJT4KuHpe/view?usp=drivesdk" TargetMode="External" Id="rId60" /><Relationship Type="http://schemas.openxmlformats.org/officeDocument/2006/relationships/hyperlink" Target="https://drive.google.com/file/d/1zpf3eQjrD-VvbFJf4oilNyE8LTzx-Mkz/view?usp=drivesdk" TargetMode="External" Id="rId61" /><Relationship Type="http://schemas.openxmlformats.org/officeDocument/2006/relationships/hyperlink" Target="https://drive.google.com/file/d/1tXUDS7Y3FysYp6H4r4QDmMELk_P5L6lg/view?usp=drivesdk" TargetMode="External" Id="rId62" /><Relationship Type="http://schemas.openxmlformats.org/officeDocument/2006/relationships/hyperlink" Target="https://drive.google.com/file/d/1y0K_gBPthDyVzyNsw_YHf-53BN434i9x/view?usp=drivesdk" TargetMode="External" Id="rId63" /><Relationship Type="http://schemas.openxmlformats.org/officeDocument/2006/relationships/hyperlink" Target="https://drive.google.com/file/d/1vdHrWT_SVLcmzDZbOw1DHUWOdXyUqB-p/view?usp=drivesdk" TargetMode="External" Id="rId64" /><Relationship Type="http://schemas.openxmlformats.org/officeDocument/2006/relationships/hyperlink" Target="https://drive.google.com/file/d/1yrn7IddHlYFUVsL9TPovbi5qfWRKqaUh/view?usp=drivesdk" TargetMode="External" Id="rId65" /><Relationship Type="http://schemas.openxmlformats.org/officeDocument/2006/relationships/hyperlink" Target="https://drive.google.com/file/d/1Uc-zN0AmJNB0Ls2D2fQnCv0kC0mYYFfx/view?usp=drivesdk" TargetMode="External" Id="rId66" /><Relationship Type="http://schemas.openxmlformats.org/officeDocument/2006/relationships/hyperlink" Target="https://drive.google.com/file/d/1cNFvFmpmrhSDzJZGxJC4_VbaDQuBnDjq/view?usp=drivesdk" TargetMode="External" Id="rId67" /><Relationship Type="http://schemas.openxmlformats.org/officeDocument/2006/relationships/hyperlink" Target="https://drive.google.com/file/d/1qu0mx5pb241hfjo981F5ydijE7gET8Wx/view?usp=drivesdk" TargetMode="External" Id="rId68" /><Relationship Type="http://schemas.openxmlformats.org/officeDocument/2006/relationships/hyperlink" Target="https://drive.google.com/file/d/1R_MvGhiBksTOJuTVj-PPDWZGUXumyABi/view?usp=drivesdk" TargetMode="External" Id="rId69" /><Relationship Type="http://schemas.openxmlformats.org/officeDocument/2006/relationships/hyperlink" Target="https://drive.google.com/file/d/1Vj2JB3XmkotEZ_rwHLvKFds1VxC0jEtR/view?usp=drivesdk" TargetMode="External" Id="rId70" /><Relationship Type="http://schemas.openxmlformats.org/officeDocument/2006/relationships/hyperlink" Target="https://drive.google.com/file/d/1S2WQJ2d_2BB1eFnFBIic2fGe1zYRAT1y/view?usp=drivesdk" TargetMode="External" Id="rId71" /><Relationship Type="http://schemas.openxmlformats.org/officeDocument/2006/relationships/hyperlink" Target="https://drive.google.com/file/d/1jU9NNf4_wzLCbF1iVHbRHrz-s36y6FNi/view?usp=drivesdk" TargetMode="External" Id="rId72" /><Relationship Type="http://schemas.openxmlformats.org/officeDocument/2006/relationships/hyperlink" Target="https://drive.google.com/file/d/1IwBgxSlGdttKi41ivuvMXvT6Hu8z2E1_/view?usp=drivesdk" TargetMode="External" Id="rId73" /><Relationship Type="http://schemas.openxmlformats.org/officeDocument/2006/relationships/hyperlink" Target="https://drive.google.com/file/d/1rmZW6WMTXdJvVUm26QzTJA94sajDVpWq/view?usp=drivesdk" TargetMode="External" Id="rId74" /><Relationship Type="http://schemas.openxmlformats.org/officeDocument/2006/relationships/hyperlink" Target="https://drive.google.com/file/d/15JRxcPZJ_hVHDLJ8z5Yro4FDJovLx0tK/view?usp=drivesdk" TargetMode="External" Id="rId75" /><Relationship Type="http://schemas.openxmlformats.org/officeDocument/2006/relationships/hyperlink" Target="https://drive.google.com/file/d/13weQ7Y4G8KgjFaRrcenGtTdmOa1WFGMs/view?usp=drivesdk" TargetMode="External" Id="rId76" /><Relationship Type="http://schemas.openxmlformats.org/officeDocument/2006/relationships/hyperlink" Target="https://drive.google.com/file/d/1Hs1vUcuZkelPAwLMKmyLOzZ1ZzxTmpHC/view?usp=drivesdk" TargetMode="External" Id="rId77" /><Relationship Type="http://schemas.openxmlformats.org/officeDocument/2006/relationships/hyperlink" Target="https://drive.google.com/file/d/17DD7Tsl8Uzy2qdnX2BWCYhZjUuE7FIC-/view?usp=drivesdk" TargetMode="External" Id="rId78" /><Relationship Type="http://schemas.openxmlformats.org/officeDocument/2006/relationships/hyperlink" Target="https://drive.google.com/file/d/1fz0py0TlKS9CdvqLBj6obnIyKdFd-Ocr/view?usp=drivesdk" TargetMode="External" Id="rId79" /><Relationship Type="http://schemas.openxmlformats.org/officeDocument/2006/relationships/hyperlink" Target="https://drive.google.com/file/d/1OI4OBm0RC_6F4A459LM3KgrTwDxv30Lf/view?usp=drivesdk" TargetMode="External" Id="rId80" /><Relationship Type="http://schemas.openxmlformats.org/officeDocument/2006/relationships/hyperlink" Target="https://drive.google.com/file/d/1ixVdpnGpB3KUF2QQIt94W1I4J6yD6ybZ/view?usp=drivesdk" TargetMode="External" Id="rId81" /><Relationship Type="http://schemas.openxmlformats.org/officeDocument/2006/relationships/hyperlink" Target="https://drive.google.com/file/d/1IRL2tRQ5R66B1XtT5WF43fvSBNABo2MK/view?usp=drivesdk" TargetMode="External" Id="rId82" /><Relationship Type="http://schemas.openxmlformats.org/officeDocument/2006/relationships/hyperlink" Target="https://drive.google.com/file/d/18Bz5GqwljLihnHs4k9hmETmifyo6LER2/view?usp=drivesdk" TargetMode="External" Id="rId83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hidden="1" width="2" customWidth="1" min="2" max="2"/>
    <col hidden="1"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3" customWidth="1" min="17" max="17"/>
  </cols>
  <sheetData>
    <row r="1" hidden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  <c r="Q1" s="1" t="inlineStr"/>
    </row>
    <row r="2" ht="12" customHeight="1">
      <c r="A2" s="2" t="inlineStr">
        <is>
          <t>P&amp;G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  <c r="Q2" s="1" t="inlineStr"/>
    </row>
    <row r="3" ht="12" customHeight="1">
      <c r="A3" s="3" t="inlineStr">
        <is>
          <t>Actualizado: 10/04/2026 11:48 h</t>
        </is>
      </c>
      <c r="B3" s="4" t="n"/>
      <c r="C3" s="4" t="n"/>
      <c r="D3" s="4">
        <f>IFERROR(IF(DATE(VALUE(LEFT(D$1,4)),VALUE(RIGHT(D$1,2)),1)&gt;TODAY(),"",IF(EOMONTH(DATE(VALUE(LEFT(D$1,4)),VALUE(RIGHT(D$1,2)),1),0)&lt;TODAY(),D5/DAY(EOMONTH(DATE(VALUE(LEFT(D$1,4)),VALUE(RIGHT(D$1,2)),1),0)),D5/MAX(NOW()-DATE(VALUE(LEFT(D$1,4)),VALUE(RIGHT(D$1,2)),1),1/24))),"")</f>
        <v/>
      </c>
      <c r="E3" s="4">
        <f>IFERROR(IF(DATE(VALUE(LEFT(E$1,4)),VALUE(RIGHT(E$1,2)),1)&gt;TODAY(),"",IF(EOMONTH(DATE(VALUE(LEFT(E$1,4)),VALUE(RIGHT(E$1,2)),1),0)&lt;TODAY(),E5/DAY(EOMONTH(DATE(VALUE(LEFT(E$1,4)),VALUE(RIGHT(E$1,2)),1),0)),E5/MAX(NOW()-DATE(VALUE(LEFT(E$1,4)),VALUE(RIGHT(E$1,2)),1),1/24))),"")</f>
        <v/>
      </c>
      <c r="F3" s="4">
        <f>IFERROR(IF(DATE(VALUE(LEFT(F$1,4)),VALUE(RIGHT(F$1,2)),1)&gt;TODAY(),"",IF(EOMONTH(DATE(VALUE(LEFT(F$1,4)),VALUE(RIGHT(F$1,2)),1),0)&lt;TODAY(),F5/DAY(EOMONTH(DATE(VALUE(LEFT(F$1,4)),VALUE(RIGHT(F$1,2)),1),0)),F5/MAX(NOW()-DATE(VALUE(LEFT(F$1,4)),VALUE(RIGHT(F$1,2)),1),1/24))),"")</f>
        <v/>
      </c>
      <c r="G3" s="4">
        <f>IFERROR(IF(DATE(VALUE(LEFT(G$1,4)),VALUE(RIGHT(G$1,2)),1)&gt;TODAY(),"",IF(EOMONTH(DATE(VALUE(LEFT(G$1,4)),VALUE(RIGHT(G$1,2)),1),0)&lt;TODAY(),G5/DAY(EOMONTH(DATE(VALUE(LEFT(G$1,4)),VALUE(RIGHT(G$1,2)),1),0)),G5/MAX(NOW()-DATE(VALUE(LEFT(G$1,4)),VALUE(RIGHT(G$1,2)),1),1/24))),"")</f>
        <v/>
      </c>
      <c r="H3" s="4">
        <f>IFERROR(IF(DATE(VALUE(LEFT(H$1,4)),VALUE(RIGHT(H$1,2)),1)&gt;TODAY(),"",IF(EOMONTH(DATE(VALUE(LEFT(H$1,4)),VALUE(RIGHT(H$1,2)),1),0)&lt;TODAY(),H5/DAY(EOMONTH(DATE(VALUE(LEFT(H$1,4)),VALUE(RIGHT(H$1,2)),1),0)),H5/MAX(NOW()-DATE(VALUE(LEFT(H$1,4)),VALUE(RIGHT(H$1,2)),1),1/24))),"")</f>
        <v/>
      </c>
      <c r="I3" s="4">
        <f>IFERROR(IF(DATE(VALUE(LEFT(I$1,4)),VALUE(RIGHT(I$1,2)),1)&gt;TODAY(),"",IF(EOMONTH(DATE(VALUE(LEFT(I$1,4)),VALUE(RIGHT(I$1,2)),1),0)&lt;TODAY(),I5/DAY(EOMONTH(DATE(VALUE(LEFT(I$1,4)),VALUE(RIGHT(I$1,2)),1),0)),I5/MAX(NOW()-DATE(VALUE(LEFT(I$1,4)),VALUE(RIGHT(I$1,2)),1),1/24))),"")</f>
        <v/>
      </c>
      <c r="J3" s="4">
        <f>IFERROR(IF(DATE(VALUE(LEFT(J$1,4)),VALUE(RIGHT(J$1,2)),1)&gt;TODAY(),"",IF(EOMONTH(DATE(VALUE(LEFT(J$1,4)),VALUE(RIGHT(J$1,2)),1),0)&lt;TODAY(),J5/DAY(EOMONTH(DATE(VALUE(LEFT(J$1,4)),VALUE(RIGHT(J$1,2)),1),0)),J5/MAX(NOW()-DATE(VALUE(LEFT(J$1,4)),VALUE(RIGHT(J$1,2)),1),1/24))),"")</f>
        <v/>
      </c>
      <c r="K3" s="4">
        <f>IFERROR(IF(DATE(VALUE(LEFT(K$1,4)),VALUE(RIGHT(K$1,2)),1)&gt;TODAY(),"",IF(EOMONTH(DATE(VALUE(LEFT(K$1,4)),VALUE(RIGHT(K$1,2)),1),0)&lt;TODAY(),K5/DAY(EOMONTH(DATE(VALUE(LEFT(K$1,4)),VALUE(RIGHT(K$1,2)),1),0)),K5/MAX(NOW()-DATE(VALUE(LEFT(K$1,4)),VALUE(RIGHT(K$1,2)),1),1/24))),"")</f>
        <v/>
      </c>
      <c r="L3" s="4">
        <f>IFERROR(IF(DATE(VALUE(LEFT(L$1,4)),VALUE(RIGHT(L$1,2)),1)&gt;TODAY(),"",IF(EOMONTH(DATE(VALUE(LEFT(L$1,4)),VALUE(RIGHT(L$1,2)),1),0)&lt;TODAY(),L5/DAY(EOMONTH(DATE(VALUE(LEFT(L$1,4)),VALUE(RIGHT(L$1,2)),1),0)),L5/MAX(NOW()-DATE(VALUE(LEFT(L$1,4)),VALUE(RIGHT(L$1,2)),1),1/24))),"")</f>
        <v/>
      </c>
      <c r="M3" s="4">
        <f>IFERROR(IF(DATE(VALUE(LEFT(M$1,4)),VALUE(RIGHT(M$1,2)),1)&gt;TODAY(),"",IF(EOMONTH(DATE(VALUE(LEFT(M$1,4)),VALUE(RIGHT(M$1,2)),1),0)&lt;TODAY(),M5/DAY(EOMONTH(DATE(VALUE(LEFT(M$1,4)),VALUE(RIGHT(M$1,2)),1),0)),M5/MAX(NOW()-DATE(VALUE(LEFT(M$1,4)),VALUE(RIGHT(M$1,2)),1),1/24))),"")</f>
        <v/>
      </c>
      <c r="N3" s="4">
        <f>IFERROR(IF(DATE(VALUE(LEFT(N$1,4)),VALUE(RIGHT(N$1,2)),1)&gt;TODAY(),"",IF(EOMONTH(DATE(VALUE(LEFT(N$1,4)),VALUE(RIGHT(N$1,2)),1),0)&lt;TODAY(),N5/DAY(EOMONTH(DATE(VALUE(LEFT(N$1,4)),VALUE(RIGHT(N$1,2)),1),0)),N5/MAX(NOW()-DATE(VALUE(LEFT(N$1,4)),VALUE(RIGHT(N$1,2)),1),1/24))),"")</f>
        <v/>
      </c>
      <c r="O3" s="4">
        <f>IFERROR(IF(DATE(VALUE(LEFT(O$1,4)),VALUE(RIGHT(O$1,2)),1)&gt;TODAY(),"",IF(EOMONTH(DATE(VALUE(LEFT(O$1,4)),VALUE(RIGHT(O$1,2)),1),0)&lt;TODAY(),O5/DAY(EOMONTH(DATE(VALUE(LEFT(O$1,4)),VALUE(RIGHT(O$1,2)),1),0)),O5/MAX(NOW()-DATE(VALUE(LEFT(O$1,4)),VALUE(RIGHT(O$1,2)),1),1/24))),"")</f>
        <v/>
      </c>
      <c r="P3" s="4" t="n"/>
      <c r="Q3" s="4" t="n"/>
    </row>
    <row r="4" ht="12" customHeight="1">
      <c r="A4" s="5" t="inlineStr">
        <is>
          <t>Turnover</t>
        </is>
      </c>
      <c r="B4" s="6" t="n"/>
      <c r="C4" s="6" t="n"/>
      <c r="D4" s="6">
        <f>D5+D8+D9</f>
        <v/>
      </c>
      <c r="E4" s="6">
        <f>E5+E8+E9</f>
        <v/>
      </c>
      <c r="F4" s="6">
        <f>F5+F8+F9</f>
        <v/>
      </c>
      <c r="G4" s="6">
        <f>G5+G8+G9</f>
        <v/>
      </c>
      <c r="H4" s="6">
        <f>H5+H8+H9</f>
        <v/>
      </c>
      <c r="I4" s="6">
        <f>I5+I8+I9</f>
        <v/>
      </c>
      <c r="J4" s="6">
        <f>J5+J8+J9</f>
        <v/>
      </c>
      <c r="K4" s="6">
        <f>K5+K8+K9</f>
        <v/>
      </c>
      <c r="L4" s="6">
        <f>L5+L8+L9</f>
        <v/>
      </c>
      <c r="M4" s="6">
        <f>M5+M8+M9</f>
        <v/>
      </c>
      <c r="N4" s="6">
        <f>N5+N8+N9</f>
        <v/>
      </c>
      <c r="O4" s="6">
        <f>O5+O8+O9</f>
        <v/>
      </c>
      <c r="P4" s="6">
        <f>SUM(D4:O4)</f>
        <v/>
      </c>
      <c r="Q4" s="6" t="n"/>
    </row>
    <row r="5" outlineLevel="1" ht="12" customHeight="1">
      <c r="A5" s="7" t="inlineStr">
        <is>
          <t xml:space="preserve">  Product sales</t>
        </is>
      </c>
      <c r="B5" s="8" t="n"/>
      <c r="C5" s="8" t="n"/>
      <c r="D5" s="8">
        <f>D6</f>
        <v/>
      </c>
      <c r="E5" s="8">
        <f>E6</f>
        <v/>
      </c>
      <c r="F5" s="8">
        <f>F6</f>
        <v/>
      </c>
      <c r="G5" s="8">
        <f>G6</f>
        <v/>
      </c>
      <c r="H5" s="8">
        <f>H6</f>
        <v/>
      </c>
      <c r="I5" s="8">
        <f>I6</f>
        <v/>
      </c>
      <c r="J5" s="8">
        <f>J6</f>
        <v/>
      </c>
      <c r="K5" s="8">
        <f>K6</f>
        <v/>
      </c>
      <c r="L5" s="8">
        <f>L6</f>
        <v/>
      </c>
      <c r="M5" s="8">
        <f>M6</f>
        <v/>
      </c>
      <c r="N5" s="8">
        <f>N6</f>
        <v/>
      </c>
      <c r="O5" s="8">
        <f>O6</f>
        <v/>
      </c>
      <c r="P5" s="8">
        <f>SUM(D5:O5)</f>
        <v/>
      </c>
      <c r="Q5" s="8" t="n"/>
    </row>
    <row r="6" hidden="1" outlineLevel="2" ht="12" customHeight="1">
      <c r="A6" s="9" t="inlineStr">
        <is>
          <t xml:space="preserve">    Shopify</t>
        </is>
      </c>
      <c r="B6" s="10" t="n"/>
      <c r="C6" s="10" t="n"/>
      <c r="D6" s="10">
        <f>SUM(D7:D7)</f>
        <v/>
      </c>
      <c r="E6" s="10">
        <f>SUM(E7:E7)</f>
        <v/>
      </c>
      <c r="F6" s="10">
        <f>SUM(F7:F7)</f>
        <v/>
      </c>
      <c r="G6" s="10">
        <f>SUM(G7:G7)</f>
        <v/>
      </c>
      <c r="H6" s="10">
        <f>SUM(H7:H7)</f>
        <v/>
      </c>
      <c r="I6" s="10">
        <f>SUM(I7:I7)</f>
        <v/>
      </c>
      <c r="J6" s="10">
        <f>SUM(J7:J7)</f>
        <v/>
      </c>
      <c r="K6" s="10">
        <f>SUM(K7:K7)</f>
        <v/>
      </c>
      <c r="L6" s="10">
        <f>SUM(L7:L7)</f>
        <v/>
      </c>
      <c r="M6" s="10">
        <f>SUM(M7:M7)</f>
        <v/>
      </c>
      <c r="N6" s="10">
        <f>SUM(N7:N7)</f>
        <v/>
      </c>
      <c r="O6" s="10">
        <f>SUM(O7:O7)</f>
        <v/>
      </c>
      <c r="P6" s="10">
        <f>SUM(D6:O6)</f>
        <v/>
      </c>
      <c r="Q6" s="10" t="inlineStr">
        <is>
          <t>-&gt;</t>
        </is>
      </c>
    </row>
    <row r="7" hidden="1" outlineLevel="3" ht="12" customHeight="1">
      <c r="A7" t="inlineStr">
        <is>
          <t xml:space="preserve">      US</t>
        </is>
      </c>
      <c r="B7" s="4" t="n"/>
      <c r="C7" s="4" t="n"/>
      <c r="D7" s="4">
        <f>SUMIFS('i-shopify-inc'!$I:$I,'i-shopify-inc'!$A:$A,D$1,'i-shopify-inc'!$C:$C,TRIM($A7))</f>
        <v/>
      </c>
      <c r="E7" s="4">
        <f>SUMIFS('i-shopify-inc'!$I:$I,'i-shopify-inc'!$A:$A,E$1,'i-shopify-inc'!$C:$C,TRIM($A7))</f>
        <v/>
      </c>
      <c r="F7" s="4">
        <f>SUMIFS('i-shopify-inc'!$I:$I,'i-shopify-inc'!$A:$A,F$1,'i-shopify-inc'!$C:$C,TRIM($A7))</f>
        <v/>
      </c>
      <c r="G7" s="4">
        <f>SUMIFS('i-shopify-inc'!$I:$I,'i-shopify-inc'!$A:$A,G$1,'i-shopify-inc'!$C:$C,TRIM($A7))</f>
        <v/>
      </c>
      <c r="H7" s="4">
        <f>SUMIFS('i-shopify-inc'!$I:$I,'i-shopify-inc'!$A:$A,H$1,'i-shopify-inc'!$C:$C,TRIM($A7))</f>
        <v/>
      </c>
      <c r="I7" s="4">
        <f>SUMIFS('i-shopify-inc'!$I:$I,'i-shopify-inc'!$A:$A,I$1,'i-shopify-inc'!$C:$C,TRIM($A7))</f>
        <v/>
      </c>
      <c r="J7" s="4">
        <f>SUMIFS('i-shopify-inc'!$I:$I,'i-shopify-inc'!$A:$A,J$1,'i-shopify-inc'!$C:$C,TRIM($A7))</f>
        <v/>
      </c>
      <c r="K7" s="4">
        <f>SUMIFS('i-shopify-inc'!$I:$I,'i-shopify-inc'!$A:$A,K$1,'i-shopify-inc'!$C:$C,TRIM($A7))</f>
        <v/>
      </c>
      <c r="L7" s="4">
        <f>SUMIFS('i-shopify-inc'!$I:$I,'i-shopify-inc'!$A:$A,L$1,'i-shopify-inc'!$C:$C,TRIM($A7))</f>
        <v/>
      </c>
      <c r="M7" s="4">
        <f>SUMIFS('i-shopify-inc'!$I:$I,'i-shopify-inc'!$A:$A,M$1,'i-shopify-inc'!$C:$C,TRIM($A7))</f>
        <v/>
      </c>
      <c r="N7" s="4">
        <f>SUMIFS('i-shopify-inc'!$I:$I,'i-shopify-inc'!$A:$A,N$1,'i-shopify-inc'!$C:$C,TRIM($A7))</f>
        <v/>
      </c>
      <c r="O7" s="4">
        <f>SUMIFS('i-shopify-inc'!$I:$I,'i-shopify-inc'!$A:$A,O$1,'i-shopify-inc'!$C:$C,TRIM($A7))</f>
        <v/>
      </c>
      <c r="P7" s="4">
        <f>SUM(D7:O7)</f>
        <v/>
      </c>
      <c r="Q7" s="4" t="inlineStr">
        <is>
          <t>-&gt;</t>
        </is>
      </c>
    </row>
    <row r="8" outlineLevel="1" ht="12" customHeight="1">
      <c r="A8" s="7" t="inlineStr">
        <is>
          <t xml:space="preserve">  Services</t>
        </is>
      </c>
      <c r="B8" s="8" t="n"/>
      <c r="C8" s="8" t="n"/>
      <c r="D8" s="8">
        <f>0</f>
        <v/>
      </c>
      <c r="E8" s="8">
        <f>0</f>
        <v/>
      </c>
      <c r="F8" s="8">
        <f>0</f>
        <v/>
      </c>
      <c r="G8" s="8">
        <f>0</f>
        <v/>
      </c>
      <c r="H8" s="8">
        <f>0</f>
        <v/>
      </c>
      <c r="I8" s="8">
        <f>0</f>
        <v/>
      </c>
      <c r="J8" s="8">
        <f>0</f>
        <v/>
      </c>
      <c r="K8" s="8">
        <f>0</f>
        <v/>
      </c>
      <c r="L8" s="8">
        <f>0</f>
        <v/>
      </c>
      <c r="M8" s="8">
        <f>0</f>
        <v/>
      </c>
      <c r="N8" s="8">
        <f>0</f>
        <v/>
      </c>
      <c r="O8" s="8">
        <f>0</f>
        <v/>
      </c>
      <c r="P8" s="8">
        <f>SUM(D8:O8)</f>
        <v/>
      </c>
      <c r="Q8" s="8" t="n"/>
    </row>
    <row r="9" hidden="1" outlineLevel="2" ht="12" customHeight="1">
      <c r="A9" s="9" t="inlineStr">
        <is>
          <t xml:space="preserve">  Uncategorized income</t>
        </is>
      </c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>
        <f>SUM(D9:O9)</f>
        <v/>
      </c>
      <c r="Q9" s="10" t="n"/>
    </row>
    <row r="10" ht="12" customHeight="1"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>
        <f>SUM(D10:O10)</f>
        <v/>
      </c>
      <c r="Q10" s="4" t="n"/>
    </row>
    <row r="11" ht="12" customHeight="1">
      <c r="A11" s="5" t="inlineStr">
        <is>
          <t>Expenses</t>
        </is>
      </c>
      <c r="B11" s="6" t="n"/>
      <c r="C11" s="6" t="n"/>
      <c r="D11" s="6">
        <f>D12+D32</f>
        <v/>
      </c>
      <c r="E11" s="6">
        <f>E12+E32</f>
        <v/>
      </c>
      <c r="F11" s="6">
        <f>F12+F32</f>
        <v/>
      </c>
      <c r="G11" s="6">
        <f>G12+G32</f>
        <v/>
      </c>
      <c r="H11" s="6">
        <f>H12+H32</f>
        <v/>
      </c>
      <c r="I11" s="6">
        <f>I12+I32</f>
        <v/>
      </c>
      <c r="J11" s="6">
        <f>J12+J32</f>
        <v/>
      </c>
      <c r="K11" s="6">
        <f>K12+K32</f>
        <v/>
      </c>
      <c r="L11" s="6">
        <f>L12+L32</f>
        <v/>
      </c>
      <c r="M11" s="6">
        <f>M12+M32</f>
        <v/>
      </c>
      <c r="N11" s="6">
        <f>N12+N32</f>
        <v/>
      </c>
      <c r="O11" s="6">
        <f>O12+O32</f>
        <v/>
      </c>
      <c r="P11" s="6">
        <f>SUM(D11:O11)</f>
        <v/>
      </c>
      <c r="Q11" s="6" t="n"/>
    </row>
    <row r="12" outlineLevel="1" ht="12" customHeight="1">
      <c r="A12" s="7" t="inlineStr">
        <is>
          <t xml:space="preserve">  COGS</t>
        </is>
      </c>
      <c r="B12" s="8" t="n"/>
      <c r="C12" s="8" t="n"/>
      <c r="D12" s="8">
        <f>D13+D18+D21</f>
        <v/>
      </c>
      <c r="E12" s="8">
        <f>E13+E18+E21</f>
        <v/>
      </c>
      <c r="F12" s="8">
        <f>F13+F18+F21</f>
        <v/>
      </c>
      <c r="G12" s="8">
        <f>G13+G18+G21</f>
        <v/>
      </c>
      <c r="H12" s="8">
        <f>H13+H18+H21</f>
        <v/>
      </c>
      <c r="I12" s="8">
        <f>I13+I18+I21</f>
        <v/>
      </c>
      <c r="J12" s="8">
        <f>J13+J18+J21</f>
        <v/>
      </c>
      <c r="K12" s="8">
        <f>K13+K18+K21</f>
        <v/>
      </c>
      <c r="L12" s="8">
        <f>L13+L18+L21</f>
        <v/>
      </c>
      <c r="M12" s="8">
        <f>M13+M18+M21</f>
        <v/>
      </c>
      <c r="N12" s="8">
        <f>N13+N18+N21</f>
        <v/>
      </c>
      <c r="O12" s="8">
        <f>O13+O18+O21</f>
        <v/>
      </c>
      <c r="P12" s="8">
        <f>SUM(D12:O12)</f>
        <v/>
      </c>
      <c r="Q12" s="8" t="n"/>
    </row>
    <row r="13" hidden="1" outlineLevel="2" ht="12" customHeight="1">
      <c r="A13" s="9" t="inlineStr">
        <is>
          <t xml:space="preserve">    Manufacturing</t>
        </is>
      </c>
      <c r="B13" s="10" t="n"/>
      <c r="C13" s="10" t="n"/>
      <c r="D13" s="10">
        <f>SUM(D14:D15)+D16</f>
        <v/>
      </c>
      <c r="E13" s="10">
        <f>SUM(E14:E15)+E16</f>
        <v/>
      </c>
      <c r="F13" s="10">
        <f>SUM(F14:F15)+F16</f>
        <v/>
      </c>
      <c r="G13" s="10">
        <f>SUM(G14:G15)+G16</f>
        <v/>
      </c>
      <c r="H13" s="10">
        <f>SUM(H14:H15)+H16</f>
        <v/>
      </c>
      <c r="I13" s="10">
        <f>SUM(I14:I15)+I16</f>
        <v/>
      </c>
      <c r="J13" s="10">
        <f>SUM(J14:J15)+J16</f>
        <v/>
      </c>
      <c r="K13" s="10">
        <f>SUM(K14:K15)+K16</f>
        <v/>
      </c>
      <c r="L13" s="10">
        <f>SUM(L14:L15)+L16</f>
        <v/>
      </c>
      <c r="M13" s="10">
        <f>SUM(M14:M15)+M16</f>
        <v/>
      </c>
      <c r="N13" s="10">
        <f>SUM(N14:N15)+N16</f>
        <v/>
      </c>
      <c r="O13" s="10">
        <f>SUM(O14:O15)+O16</f>
        <v/>
      </c>
      <c r="P13" s="10">
        <f>SUM(D13:O13)</f>
        <v/>
      </c>
      <c r="Q13" s="10" t="inlineStr">
        <is>
          <t>-&gt;</t>
        </is>
      </c>
    </row>
    <row r="14" hidden="1" outlineLevel="3" ht="12" customHeight="1">
      <c r="A14" t="inlineStr">
        <is>
          <t xml:space="preserve">      JONDO</t>
        </is>
      </c>
      <c r="B14" s="4" t="n"/>
      <c r="C14" s="4" t="n"/>
      <c r="D14" s="4">
        <f>SUMIFS('g-expenses-inc'!$K:$K,'g-expenses-inc'!$A:$A,D$1,'g-expenses-inc'!$D:$D,"manufacturing",'g-expenses-inc'!$E:$E,TRIM($A14))</f>
        <v/>
      </c>
      <c r="E14" s="4">
        <f>SUMIFS('g-expenses-inc'!$K:$K,'g-expenses-inc'!$A:$A,E$1,'g-expenses-inc'!$D:$D,"manufacturing",'g-expenses-inc'!$E:$E,TRIM($A14))</f>
        <v/>
      </c>
      <c r="F14" s="4">
        <f>SUMIFS('g-expenses-inc'!$K:$K,'g-expenses-inc'!$A:$A,F$1,'g-expenses-inc'!$D:$D,"manufacturing",'g-expenses-inc'!$E:$E,TRIM($A14))</f>
        <v/>
      </c>
      <c r="G14" s="4">
        <f>SUMIFS('g-expenses-inc'!$K:$K,'g-expenses-inc'!$A:$A,G$1,'g-expenses-inc'!$D:$D,"manufacturing",'g-expenses-inc'!$E:$E,TRIM($A14))</f>
        <v/>
      </c>
      <c r="H14" s="4">
        <f>SUMIFS('g-expenses-inc'!$K:$K,'g-expenses-inc'!$A:$A,H$1,'g-expenses-inc'!$D:$D,"manufacturing",'g-expenses-inc'!$E:$E,TRIM($A14))</f>
        <v/>
      </c>
      <c r="I14" s="4">
        <f>SUMIFS('g-expenses-inc'!$K:$K,'g-expenses-inc'!$A:$A,I$1,'g-expenses-inc'!$D:$D,"manufacturing",'g-expenses-inc'!$E:$E,TRIM($A14))</f>
        <v/>
      </c>
      <c r="J14" s="4">
        <f>SUMIFS('g-expenses-inc'!$K:$K,'g-expenses-inc'!$A:$A,J$1,'g-expenses-inc'!$D:$D,"manufacturing",'g-expenses-inc'!$E:$E,TRIM($A14))</f>
        <v/>
      </c>
      <c r="K14" s="4">
        <f>SUMIFS('g-expenses-inc'!$K:$K,'g-expenses-inc'!$A:$A,K$1,'g-expenses-inc'!$D:$D,"manufacturing",'g-expenses-inc'!$E:$E,TRIM($A14))</f>
        <v/>
      </c>
      <c r="L14" s="4">
        <f>SUMIFS('g-expenses-inc'!$K:$K,'g-expenses-inc'!$A:$A,L$1,'g-expenses-inc'!$D:$D,"manufacturing",'g-expenses-inc'!$E:$E,TRIM($A14))</f>
        <v/>
      </c>
      <c r="M14" s="4">
        <f>SUMIFS('g-expenses-inc'!$K:$K,'g-expenses-inc'!$A:$A,M$1,'g-expenses-inc'!$D:$D,"manufacturing",'g-expenses-inc'!$E:$E,TRIM($A14))</f>
        <v/>
      </c>
      <c r="N14" s="4">
        <f>SUMIFS('g-expenses-inc'!$K:$K,'g-expenses-inc'!$A:$A,N$1,'g-expenses-inc'!$D:$D,"manufacturing",'g-expenses-inc'!$E:$E,TRIM($A14))</f>
        <v/>
      </c>
      <c r="O14" s="4">
        <f>SUMIFS('g-expenses-inc'!$K:$K,'g-expenses-inc'!$A:$A,O$1,'g-expenses-inc'!$D:$D,"manufacturing",'g-expenses-inc'!$E:$E,TRIM($A14))</f>
        <v/>
      </c>
      <c r="P14" s="4">
        <f>SUM(D14:O14)</f>
        <v/>
      </c>
      <c r="Q14" s="4" t="inlineStr">
        <is>
          <t>-&gt;</t>
        </is>
      </c>
    </row>
    <row r="15" hidden="1" outlineLevel="3" ht="12" customHeight="1">
      <c r="A15" t="inlineStr">
        <is>
          <t xml:space="preserve">      TGI</t>
        </is>
      </c>
      <c r="B15" s="4" t="n"/>
      <c r="C15" s="4" t="n"/>
      <c r="D15" s="4">
        <f>SUMIFS('g-expenses-inc'!$K:$K,'g-expenses-inc'!$A:$A,D$1,'g-expenses-inc'!$D:$D,"manufacturing",'g-expenses-inc'!$E:$E,TRIM($A15))</f>
        <v/>
      </c>
      <c r="E15" s="4">
        <f>SUMIFS('g-expenses-inc'!$K:$K,'g-expenses-inc'!$A:$A,E$1,'g-expenses-inc'!$D:$D,"manufacturing",'g-expenses-inc'!$E:$E,TRIM($A15))</f>
        <v/>
      </c>
      <c r="F15" s="4">
        <f>SUMIFS('g-expenses-inc'!$K:$K,'g-expenses-inc'!$A:$A,F$1,'g-expenses-inc'!$D:$D,"manufacturing",'g-expenses-inc'!$E:$E,TRIM($A15))</f>
        <v/>
      </c>
      <c r="G15" s="4">
        <f>SUMIFS('g-expenses-inc'!$K:$K,'g-expenses-inc'!$A:$A,G$1,'g-expenses-inc'!$D:$D,"manufacturing",'g-expenses-inc'!$E:$E,TRIM($A15))</f>
        <v/>
      </c>
      <c r="H15" s="4">
        <f>SUMIFS('g-expenses-inc'!$K:$K,'g-expenses-inc'!$A:$A,H$1,'g-expenses-inc'!$D:$D,"manufacturing",'g-expenses-inc'!$E:$E,TRIM($A15))</f>
        <v/>
      </c>
      <c r="I15" s="4">
        <f>SUMIFS('g-expenses-inc'!$K:$K,'g-expenses-inc'!$A:$A,I$1,'g-expenses-inc'!$D:$D,"manufacturing",'g-expenses-inc'!$E:$E,TRIM($A15))</f>
        <v/>
      </c>
      <c r="J15" s="4">
        <f>SUMIFS('g-expenses-inc'!$K:$K,'g-expenses-inc'!$A:$A,J$1,'g-expenses-inc'!$D:$D,"manufacturing",'g-expenses-inc'!$E:$E,TRIM($A15))</f>
        <v/>
      </c>
      <c r="K15" s="4">
        <f>SUMIFS('g-expenses-inc'!$K:$K,'g-expenses-inc'!$A:$A,K$1,'g-expenses-inc'!$D:$D,"manufacturing",'g-expenses-inc'!$E:$E,TRIM($A15))</f>
        <v/>
      </c>
      <c r="L15" s="4">
        <f>SUMIFS('g-expenses-inc'!$K:$K,'g-expenses-inc'!$A:$A,L$1,'g-expenses-inc'!$D:$D,"manufacturing",'g-expenses-inc'!$E:$E,TRIM($A15))</f>
        <v/>
      </c>
      <c r="M15" s="4">
        <f>SUMIFS('g-expenses-inc'!$K:$K,'g-expenses-inc'!$A:$A,M$1,'g-expenses-inc'!$D:$D,"manufacturing",'g-expenses-inc'!$E:$E,TRIM($A15))</f>
        <v/>
      </c>
      <c r="N15" s="4">
        <f>SUMIFS('g-expenses-inc'!$K:$K,'g-expenses-inc'!$A:$A,N$1,'g-expenses-inc'!$D:$D,"manufacturing",'g-expenses-inc'!$E:$E,TRIM($A15))</f>
        <v/>
      </c>
      <c r="O15" s="4">
        <f>SUMIFS('g-expenses-inc'!$K:$K,'g-expenses-inc'!$A:$A,O$1,'g-expenses-inc'!$D:$D,"manufacturing",'g-expenses-inc'!$E:$E,TRIM($A15))</f>
        <v/>
      </c>
      <c r="P15" s="4">
        <f>SUM(D15:O15)</f>
        <v/>
      </c>
      <c r="Q15" s="4" t="n"/>
    </row>
    <row r="16" ht="12" customHeight="1">
      <c r="A16" t="inlineStr">
        <is>
          <t xml:space="preserve">      Consumo marcos</t>
        </is>
      </c>
      <c r="B16" s="4" t="n"/>
      <c r="C16" s="4" t="n"/>
      <c r="D16" s="4" t="n">
        <v>2658.96</v>
      </c>
      <c r="E16" s="4" t="n">
        <v>1470.37</v>
      </c>
      <c r="F16" s="4" t="n">
        <v>1496.84</v>
      </c>
      <c r="G16" s="4" t="n">
        <v>67.3</v>
      </c>
      <c r="H16" s="4" t="n"/>
      <c r="I16" s="4" t="n"/>
      <c r="J16" s="4" t="n"/>
      <c r="K16" s="4" t="n"/>
      <c r="L16" s="4" t="n"/>
      <c r="M16" s="4" t="n"/>
      <c r="N16" s="4" t="n"/>
      <c r="O16" s="4" t="n"/>
      <c r="P16" s="4">
        <f>SUM(D16:O16)</f>
        <v/>
      </c>
      <c r="Q16" s="4" t="n"/>
    </row>
    <row r="17" hidden="1" outlineLevel="2" ht="12" customHeight="1">
      <c r="A17" s="3" t="inlineStr">
        <is>
          <t xml:space="preserve">    % Manufacturing / sales</t>
        </is>
      </c>
      <c r="B17" s="11" t="n"/>
      <c r="C17" s="11" t="n"/>
      <c r="D17" s="11">
        <f>IFERROR(D13/D5,0)</f>
        <v/>
      </c>
      <c r="E17" s="11">
        <f>IFERROR(E13/E5,0)</f>
        <v/>
      </c>
      <c r="F17" s="11">
        <f>IFERROR(F13/F5,0)</f>
        <v/>
      </c>
      <c r="G17" s="11">
        <f>IFERROR(G13/G5,0)</f>
        <v/>
      </c>
      <c r="H17" s="11">
        <f>IFERROR(H13/H5,0)</f>
        <v/>
      </c>
      <c r="I17" s="11">
        <f>IFERROR(I13/I5,0)</f>
        <v/>
      </c>
      <c r="J17" s="11">
        <f>IFERROR(J13/J5,0)</f>
        <v/>
      </c>
      <c r="K17" s="11">
        <f>IFERROR(K13/K5,0)</f>
        <v/>
      </c>
      <c r="L17" s="11">
        <f>IFERROR(L13/L5,0)</f>
        <v/>
      </c>
      <c r="M17" s="11">
        <f>IFERROR(M13/M5,0)</f>
        <v/>
      </c>
      <c r="N17" s="11">
        <f>IFERROR(N13/N5,0)</f>
        <v/>
      </c>
      <c r="O17" s="11">
        <f>IFERROR(O13/O5,0)</f>
        <v/>
      </c>
      <c r="P17" s="11">
        <f>IFERROR(P13/P5,0)</f>
        <v/>
      </c>
      <c r="Q17" s="11" t="n"/>
    </row>
    <row r="18" hidden="1" outlineLevel="2" ht="12" customHeight="1">
      <c r="A18" s="9" t="inlineStr">
        <is>
          <t xml:space="preserve">    Logistics</t>
        </is>
      </c>
      <c r="B18" s="10" t="n"/>
      <c r="C18" s="10" t="n"/>
      <c r="D18" s="10">
        <f>SUM(D19:D19)</f>
        <v/>
      </c>
      <c r="E18" s="10">
        <f>SUM(E19:E19)</f>
        <v/>
      </c>
      <c r="F18" s="10">
        <f>SUM(F19:F19)</f>
        <v/>
      </c>
      <c r="G18" s="10">
        <f>SUM(G19:G19)</f>
        <v/>
      </c>
      <c r="H18" s="10">
        <f>SUM(H19:H19)</f>
        <v/>
      </c>
      <c r="I18" s="10">
        <f>SUM(I19:I19)</f>
        <v/>
      </c>
      <c r="J18" s="10">
        <f>SUM(J19:J19)</f>
        <v/>
      </c>
      <c r="K18" s="10">
        <f>SUM(K19:K19)</f>
        <v/>
      </c>
      <c r="L18" s="10">
        <f>SUM(L19:L19)</f>
        <v/>
      </c>
      <c r="M18" s="10">
        <f>SUM(M19:M19)</f>
        <v/>
      </c>
      <c r="N18" s="10">
        <f>SUM(N19:N19)</f>
        <v/>
      </c>
      <c r="O18" s="10">
        <f>SUM(O19:O19)</f>
        <v/>
      </c>
      <c r="P18" s="10">
        <f>SUM(D18:O18)</f>
        <v/>
      </c>
      <c r="Q18" s="10" t="inlineStr">
        <is>
          <t>-&gt;</t>
        </is>
      </c>
    </row>
    <row r="19" hidden="1" outlineLevel="3" ht="12" customHeight="1">
      <c r="A19" t="inlineStr">
        <is>
          <t xml:space="preserve">      TGI</t>
        </is>
      </c>
      <c r="B19" s="4" t="n"/>
      <c r="C19" s="4" t="n"/>
      <c r="D19" s="4">
        <f>SUMIFS('g-expenses-inc'!$K:$K,'g-expenses-inc'!$A:$A,D$1,'g-expenses-inc'!$D:$D,"logistics",'g-expenses-inc'!$E:$E,TRIM($A19))</f>
        <v/>
      </c>
      <c r="E19" s="4">
        <f>SUMIFS('g-expenses-inc'!$K:$K,'g-expenses-inc'!$A:$A,E$1,'g-expenses-inc'!$D:$D,"logistics",'g-expenses-inc'!$E:$E,TRIM($A19))</f>
        <v/>
      </c>
      <c r="F19" s="4">
        <f>SUMIFS('g-expenses-inc'!$K:$K,'g-expenses-inc'!$A:$A,F$1,'g-expenses-inc'!$D:$D,"logistics",'g-expenses-inc'!$E:$E,TRIM($A19))</f>
        <v/>
      </c>
      <c r="G19" s="4">
        <f>SUMIFS('g-expenses-inc'!$K:$K,'g-expenses-inc'!$A:$A,G$1,'g-expenses-inc'!$D:$D,"logistics",'g-expenses-inc'!$E:$E,TRIM($A19))</f>
        <v/>
      </c>
      <c r="H19" s="4">
        <f>SUMIFS('g-expenses-inc'!$K:$K,'g-expenses-inc'!$A:$A,H$1,'g-expenses-inc'!$D:$D,"logistics",'g-expenses-inc'!$E:$E,TRIM($A19))</f>
        <v/>
      </c>
      <c r="I19" s="4">
        <f>SUMIFS('g-expenses-inc'!$K:$K,'g-expenses-inc'!$A:$A,I$1,'g-expenses-inc'!$D:$D,"logistics",'g-expenses-inc'!$E:$E,TRIM($A19))</f>
        <v/>
      </c>
      <c r="J19" s="4">
        <f>SUMIFS('g-expenses-inc'!$K:$K,'g-expenses-inc'!$A:$A,J$1,'g-expenses-inc'!$D:$D,"logistics",'g-expenses-inc'!$E:$E,TRIM($A19))</f>
        <v/>
      </c>
      <c r="K19" s="4">
        <f>SUMIFS('g-expenses-inc'!$K:$K,'g-expenses-inc'!$A:$A,K$1,'g-expenses-inc'!$D:$D,"logistics",'g-expenses-inc'!$E:$E,TRIM($A19))</f>
        <v/>
      </c>
      <c r="L19" s="4">
        <f>SUMIFS('g-expenses-inc'!$K:$K,'g-expenses-inc'!$A:$A,L$1,'g-expenses-inc'!$D:$D,"logistics",'g-expenses-inc'!$E:$E,TRIM($A19))</f>
        <v/>
      </c>
      <c r="M19" s="4">
        <f>SUMIFS('g-expenses-inc'!$K:$K,'g-expenses-inc'!$A:$A,M$1,'g-expenses-inc'!$D:$D,"logistics",'g-expenses-inc'!$E:$E,TRIM($A19))</f>
        <v/>
      </c>
      <c r="N19" s="4">
        <f>SUMIFS('g-expenses-inc'!$K:$K,'g-expenses-inc'!$A:$A,N$1,'g-expenses-inc'!$D:$D,"logistics",'g-expenses-inc'!$E:$E,TRIM($A19))</f>
        <v/>
      </c>
      <c r="O19" s="4">
        <f>SUMIFS('g-expenses-inc'!$K:$K,'g-expenses-inc'!$A:$A,O$1,'g-expenses-inc'!$D:$D,"logistics",'g-expenses-inc'!$E:$E,TRIM($A19))</f>
        <v/>
      </c>
      <c r="P19" s="4">
        <f>SUM(D19:O19)</f>
        <v/>
      </c>
      <c r="Q19" s="4" t="inlineStr">
        <is>
          <t>-&gt;</t>
        </is>
      </c>
    </row>
    <row r="20" hidden="1" outlineLevel="2" ht="12" customHeight="1">
      <c r="A20" s="3" t="inlineStr">
        <is>
          <t xml:space="preserve">    % Logistics / sales</t>
        </is>
      </c>
      <c r="B20" s="11" t="n"/>
      <c r="C20" s="11" t="n"/>
      <c r="D20" s="11">
        <f>IFERROR(D18/D5,0)</f>
        <v/>
      </c>
      <c r="E20" s="11">
        <f>IFERROR(E18/E5,0)</f>
        <v/>
      </c>
      <c r="F20" s="11">
        <f>IFERROR(F18/F5,0)</f>
        <v/>
      </c>
      <c r="G20" s="11">
        <f>IFERROR(G18/G5,0)</f>
        <v/>
      </c>
      <c r="H20" s="11">
        <f>IFERROR(H18/H5,0)</f>
        <v/>
      </c>
      <c r="I20" s="11">
        <f>IFERROR(I18/I5,0)</f>
        <v/>
      </c>
      <c r="J20" s="11">
        <f>IFERROR(J18/J5,0)</f>
        <v/>
      </c>
      <c r="K20" s="11">
        <f>IFERROR(K18/K5,0)</f>
        <v/>
      </c>
      <c r="L20" s="11">
        <f>IFERROR(L18/L5,0)</f>
        <v/>
      </c>
      <c r="M20" s="11">
        <f>IFERROR(M18/M5,0)</f>
        <v/>
      </c>
      <c r="N20" s="11">
        <f>IFERROR(N18/N5,0)</f>
        <v/>
      </c>
      <c r="O20" s="11">
        <f>IFERROR(O18/O5,0)</f>
        <v/>
      </c>
      <c r="P20" s="11">
        <f>IFERROR(P18/P5,0)</f>
        <v/>
      </c>
      <c r="Q20" s="11" t="n"/>
    </row>
    <row r="21" hidden="1" outlineLevel="2" ht="12" customHeight="1">
      <c r="A21" s="9" t="inlineStr">
        <is>
          <t xml:space="preserve">    Payment fees</t>
        </is>
      </c>
      <c r="B21" s="10" t="n"/>
      <c r="C21" s="10" t="n"/>
      <c r="D21" s="10">
        <f>SUM(D22:D22)</f>
        <v/>
      </c>
      <c r="E21" s="10">
        <f>SUM(E22:E22)</f>
        <v/>
      </c>
      <c r="F21" s="10">
        <f>SUM(F22:F22)</f>
        <v/>
      </c>
      <c r="G21" s="10">
        <f>SUM(G22:G22)</f>
        <v/>
      </c>
      <c r="H21" s="10">
        <f>SUM(H22:H22)</f>
        <v/>
      </c>
      <c r="I21" s="10">
        <f>SUM(I22:I22)</f>
        <v/>
      </c>
      <c r="J21" s="10">
        <f>SUM(J22:J22)</f>
        <v/>
      </c>
      <c r="K21" s="10">
        <f>SUM(K22:K22)</f>
        <v/>
      </c>
      <c r="L21" s="10">
        <f>SUM(L22:L22)</f>
        <v/>
      </c>
      <c r="M21" s="10">
        <f>SUM(M22:M22)</f>
        <v/>
      </c>
      <c r="N21" s="10">
        <f>SUM(N22:N22)</f>
        <v/>
      </c>
      <c r="O21" s="10">
        <f>SUM(O22:O22)</f>
        <v/>
      </c>
      <c r="P21" s="10">
        <f>SUM(D21:O21)</f>
        <v/>
      </c>
      <c r="Q21" s="10" t="inlineStr">
        <is>
          <t>-&gt;</t>
        </is>
      </c>
    </row>
    <row r="22" hidden="1" outlineLevel="3" ht="12" customHeight="1">
      <c r="A22" t="inlineStr">
        <is>
          <t xml:space="preserve">      SHOPIFY</t>
        </is>
      </c>
      <c r="B22" s="4" t="n"/>
      <c r="C22" s="4" t="n"/>
      <c r="D22" s="4">
        <f>SUMIFS('g-payment-fees-inc'!$H:$H,'g-payment-fees-inc'!$A:$A,D$1,'g-payment-fees-inc'!$C:$C,TRIM($A22))</f>
        <v/>
      </c>
      <c r="E22" s="4">
        <f>SUMIFS('g-payment-fees-inc'!$H:$H,'g-payment-fees-inc'!$A:$A,E$1,'g-payment-fees-inc'!$C:$C,TRIM($A22))</f>
        <v/>
      </c>
      <c r="F22" s="4">
        <f>SUMIFS('g-payment-fees-inc'!$H:$H,'g-payment-fees-inc'!$A:$A,F$1,'g-payment-fees-inc'!$C:$C,TRIM($A22))</f>
        <v/>
      </c>
      <c r="G22" s="4">
        <f>SUMIFS('g-payment-fees-inc'!$H:$H,'g-payment-fees-inc'!$A:$A,G$1,'g-payment-fees-inc'!$C:$C,TRIM($A22))</f>
        <v/>
      </c>
      <c r="H22" s="4">
        <f>SUMIFS('g-payment-fees-inc'!$H:$H,'g-payment-fees-inc'!$A:$A,H$1,'g-payment-fees-inc'!$C:$C,TRIM($A22))</f>
        <v/>
      </c>
      <c r="I22" s="4">
        <f>SUMIFS('g-payment-fees-inc'!$H:$H,'g-payment-fees-inc'!$A:$A,I$1,'g-payment-fees-inc'!$C:$C,TRIM($A22))</f>
        <v/>
      </c>
      <c r="J22" s="4">
        <f>SUMIFS('g-payment-fees-inc'!$H:$H,'g-payment-fees-inc'!$A:$A,J$1,'g-payment-fees-inc'!$C:$C,TRIM($A22))</f>
        <v/>
      </c>
      <c r="K22" s="4">
        <f>SUMIFS('g-payment-fees-inc'!$H:$H,'g-payment-fees-inc'!$A:$A,K$1,'g-payment-fees-inc'!$C:$C,TRIM($A22))</f>
        <v/>
      </c>
      <c r="L22" s="4">
        <f>SUMIFS('g-payment-fees-inc'!$H:$H,'g-payment-fees-inc'!$A:$A,L$1,'g-payment-fees-inc'!$C:$C,TRIM($A22))</f>
        <v/>
      </c>
      <c r="M22" s="4">
        <f>SUMIFS('g-payment-fees-inc'!$H:$H,'g-payment-fees-inc'!$A:$A,M$1,'g-payment-fees-inc'!$C:$C,TRIM($A22))</f>
        <v/>
      </c>
      <c r="N22" s="4">
        <f>SUMIFS('g-payment-fees-inc'!$H:$H,'g-payment-fees-inc'!$A:$A,N$1,'g-payment-fees-inc'!$C:$C,TRIM($A22))</f>
        <v/>
      </c>
      <c r="O22" s="4">
        <f>SUMIFS('g-payment-fees-inc'!$H:$H,'g-payment-fees-inc'!$A:$A,O$1,'g-payment-fees-inc'!$C:$C,TRIM($A22))</f>
        <v/>
      </c>
      <c r="P22" s="4">
        <f>SUM(D22:O22)</f>
        <v/>
      </c>
      <c r="Q22" s="4" t="inlineStr">
        <is>
          <t>-&gt;</t>
        </is>
      </c>
    </row>
    <row r="23" ht="12" customHeight="1">
      <c r="A23" s="12" t="inlineStr">
        <is>
          <t xml:space="preserve">    Royalties</t>
        </is>
      </c>
      <c r="B23" s="4" t="n"/>
      <c r="C23" s="4" t="n"/>
      <c r="D23" s="4" t="n">
        <v>561.38</v>
      </c>
      <c r="E23" s="4" t="n">
        <v>878.29</v>
      </c>
      <c r="F23" s="4" t="n">
        <v>852</v>
      </c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>
        <f>SUM(D23:O23)</f>
        <v/>
      </c>
      <c r="Q23" s="4" t="n"/>
    </row>
    <row r="24" ht="12" customHeight="1"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>
        <f>SUM(D24:O24)</f>
        <v/>
      </c>
      <c r="Q24" s="4" t="n"/>
    </row>
    <row r="25" hidden="1" outlineLevel="2" ht="12" customHeight="1">
      <c r="A25" s="3" t="inlineStr">
        <is>
          <t xml:space="preserve">    % Payment fees / sales</t>
        </is>
      </c>
      <c r="B25" s="11" t="n"/>
      <c r="C25" s="11" t="n"/>
      <c r="D25" s="11">
        <f>IFERROR(D21/D5,0)</f>
        <v/>
      </c>
      <c r="E25" s="11">
        <f>IFERROR(E21/E5,0)</f>
        <v/>
      </c>
      <c r="F25" s="11">
        <f>IFERROR(F21/F5,0)</f>
        <v/>
      </c>
      <c r="G25" s="11">
        <f>IFERROR(G21/G5,0)</f>
        <v/>
      </c>
      <c r="H25" s="11">
        <f>IFERROR(H21/H5,0)</f>
        <v/>
      </c>
      <c r="I25" s="11">
        <f>IFERROR(I21/I5,0)</f>
        <v/>
      </c>
      <c r="J25" s="11">
        <f>IFERROR(J21/J5,0)</f>
        <v/>
      </c>
      <c r="K25" s="11">
        <f>IFERROR(K21/K5,0)</f>
        <v/>
      </c>
      <c r="L25" s="11">
        <f>IFERROR(L21/L5,0)</f>
        <v/>
      </c>
      <c r="M25" s="11">
        <f>IFERROR(M21/M5,0)</f>
        <v/>
      </c>
      <c r="N25" s="11">
        <f>IFERROR(N21/N5,0)</f>
        <v/>
      </c>
      <c r="O25" s="11">
        <f>IFERROR(O21/O5,0)</f>
        <v/>
      </c>
      <c r="P25" s="11">
        <f>IFERROR(P21/P5,0)</f>
        <v/>
      </c>
      <c r="Q25" s="11" t="n"/>
    </row>
    <row r="26" ht="12" customHeight="1"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>
        <f>SUM(D26:O26)</f>
        <v/>
      </c>
      <c r="Q26" s="4" t="n"/>
    </row>
    <row r="27" ht="12" customHeight="1">
      <c r="A27" s="13" t="inlineStr">
        <is>
          <t>GROSS MARGIN (SALES-MANUFACTURING)</t>
        </is>
      </c>
      <c r="B27" s="14" t="n"/>
      <c r="C27" s="14" t="n"/>
      <c r="D27" s="14">
        <f>D5-D13</f>
        <v/>
      </c>
      <c r="E27" s="14">
        <f>E5-E13</f>
        <v/>
      </c>
      <c r="F27" s="14">
        <f>F5-F13</f>
        <v/>
      </c>
      <c r="G27" s="14">
        <f>G5-G13</f>
        <v/>
      </c>
      <c r="H27" s="14">
        <f>H5-H13</f>
        <v/>
      </c>
      <c r="I27" s="14">
        <f>I5-I13</f>
        <v/>
      </c>
      <c r="J27" s="14">
        <f>J5-J13</f>
        <v/>
      </c>
      <c r="K27" s="14">
        <f>K5-K13</f>
        <v/>
      </c>
      <c r="L27" s="14">
        <f>L5-L13</f>
        <v/>
      </c>
      <c r="M27" s="14">
        <f>M5-M13</f>
        <v/>
      </c>
      <c r="N27" s="14">
        <f>N5-N13</f>
        <v/>
      </c>
      <c r="O27" s="14">
        <f>O5-O13</f>
        <v/>
      </c>
      <c r="P27" s="14">
        <f>SUM(D27:O27)</f>
        <v/>
      </c>
      <c r="Q27" s="14" t="n"/>
    </row>
    <row r="28" hidden="1" outlineLevel="1" ht="12" customHeight="1">
      <c r="A28" s="3" t="inlineStr">
        <is>
          <t>% gross margin</t>
        </is>
      </c>
      <c r="B28" s="11" t="n"/>
      <c r="C28" s="11" t="n"/>
      <c r="D28" s="11">
        <f>IFERROR(D27/D5,0)</f>
        <v/>
      </c>
      <c r="E28" s="11">
        <f>IFERROR(E27/E5,0)</f>
        <v/>
      </c>
      <c r="F28" s="11">
        <f>IFERROR(F27/F5,0)</f>
        <v/>
      </c>
      <c r="G28" s="11">
        <f>IFERROR(G27/G5,0)</f>
        <v/>
      </c>
      <c r="H28" s="11">
        <f>IFERROR(H27/H5,0)</f>
        <v/>
      </c>
      <c r="I28" s="11">
        <f>IFERROR(I27/I5,0)</f>
        <v/>
      </c>
      <c r="J28" s="11">
        <f>IFERROR(J27/J5,0)</f>
        <v/>
      </c>
      <c r="K28" s="11">
        <f>IFERROR(K27/K5,0)</f>
        <v/>
      </c>
      <c r="L28" s="11">
        <f>IFERROR(L27/L5,0)</f>
        <v/>
      </c>
      <c r="M28" s="11">
        <f>IFERROR(M27/M5,0)</f>
        <v/>
      </c>
      <c r="N28" s="11">
        <f>IFERROR(N27/N5,0)</f>
        <v/>
      </c>
      <c r="O28" s="11">
        <f>IFERROR(O27/O5,0)</f>
        <v/>
      </c>
      <c r="P28" s="11">
        <f>IFERROR(P27/P5,0)</f>
        <v/>
      </c>
      <c r="Q28" s="11" t="n"/>
    </row>
    <row r="29" ht="12" customHeight="1">
      <c r="A29" s="13" t="inlineStr">
        <is>
          <t>Contributive margin (product sales-COGS)</t>
        </is>
      </c>
      <c r="B29" s="14" t="n"/>
      <c r="C29" s="14" t="n"/>
      <c r="D29" s="14">
        <f>D5-D12-D23</f>
        <v/>
      </c>
      <c r="E29" s="14">
        <f>E5-E12-E23</f>
        <v/>
      </c>
      <c r="F29" s="14">
        <f>F5-F12-F23</f>
        <v/>
      </c>
      <c r="G29" s="14">
        <f>G5-G12-G23</f>
        <v/>
      </c>
      <c r="H29" s="14">
        <f>H5-H12-H23</f>
        <v/>
      </c>
      <c r="I29" s="14">
        <f>I5-I12-I23</f>
        <v/>
      </c>
      <c r="J29" s="14">
        <f>J5-J12-J23</f>
        <v/>
      </c>
      <c r="K29" s="14">
        <f>K5-K12-K23</f>
        <v/>
      </c>
      <c r="L29" s="14">
        <f>L5-L12-L23</f>
        <v/>
      </c>
      <c r="M29" s="14">
        <f>M5-M12-M23</f>
        <v/>
      </c>
      <c r="N29" s="14">
        <f>N5-N12-N23</f>
        <v/>
      </c>
      <c r="O29" s="14">
        <f>O5-O12-O23</f>
        <v/>
      </c>
      <c r="P29" s="14">
        <f>SUM(D29:O29)</f>
        <v/>
      </c>
      <c r="Q29" s="14" t="n"/>
    </row>
    <row r="30" hidden="1" outlineLevel="1" ht="12" customHeight="1">
      <c r="A30" s="3" t="inlineStr">
        <is>
          <t>% contributive margin</t>
        </is>
      </c>
      <c r="B30" s="11" t="n"/>
      <c r="C30" s="11" t="n"/>
      <c r="D30" s="11">
        <f>IFERROR(D29/D5,0)</f>
        <v/>
      </c>
      <c r="E30" s="11">
        <f>IFERROR(E29/E5,0)</f>
        <v/>
      </c>
      <c r="F30" s="11">
        <f>IFERROR(F29/F5,0)</f>
        <v/>
      </c>
      <c r="G30" s="11">
        <f>IFERROR(G29/G5,0)</f>
        <v/>
      </c>
      <c r="H30" s="11">
        <f>IFERROR(H29/H5,0)</f>
        <v/>
      </c>
      <c r="I30" s="11">
        <f>IFERROR(I29/I5,0)</f>
        <v/>
      </c>
      <c r="J30" s="11">
        <f>IFERROR(J29/J5,0)</f>
        <v/>
      </c>
      <c r="K30" s="11">
        <f>IFERROR(K29/K5,0)</f>
        <v/>
      </c>
      <c r="L30" s="11">
        <f>IFERROR(L29/L5,0)</f>
        <v/>
      </c>
      <c r="M30" s="11">
        <f>IFERROR(M29/M5,0)</f>
        <v/>
      </c>
      <c r="N30" s="11">
        <f>IFERROR(N29/N5,0)</f>
        <v/>
      </c>
      <c r="O30" s="11">
        <f>IFERROR(O29/O5,0)</f>
        <v/>
      </c>
      <c r="P30" s="11">
        <f>IFERROR(P29/P5,0)</f>
        <v/>
      </c>
      <c r="Q30" s="11" t="n"/>
    </row>
    <row r="31" ht="12" customHeight="1">
      <c r="B31" s="4" t="n"/>
      <c r="C31" s="4" t="n"/>
      <c r="D31" s="4" t="n"/>
      <c r="E31" s="4" t="n"/>
      <c r="F31" s="4" t="n"/>
      <c r="G31" s="4" t="n"/>
      <c r="H31" s="4" t="n"/>
      <c r="I31" s="4" t="n"/>
      <c r="J31" s="4" t="n"/>
      <c r="K31" s="4" t="n"/>
      <c r="L31" s="4" t="n"/>
      <c r="M31" s="4" t="n"/>
      <c r="N31" s="4" t="n"/>
      <c r="O31" s="4" t="n"/>
      <c r="P31" s="4">
        <f>SUM(D31:O31)</f>
        <v/>
      </c>
      <c r="Q31" s="4" t="n"/>
    </row>
    <row r="32" outlineLevel="1" ht="12" customHeight="1">
      <c r="A32" s="7" t="inlineStr">
        <is>
          <t xml:space="preserve">  Opex</t>
        </is>
      </c>
      <c r="B32" s="8" t="n"/>
      <c r="C32" s="8" t="n"/>
      <c r="D32" s="8">
        <f>D33+D35+D42+D44</f>
        <v/>
      </c>
      <c r="E32" s="8">
        <f>E33+E35+E42+E44</f>
        <v/>
      </c>
      <c r="F32" s="8">
        <f>F33+F35+F42+F44</f>
        <v/>
      </c>
      <c r="G32" s="8">
        <f>G33+G35+G42+G44</f>
        <v/>
      </c>
      <c r="H32" s="8">
        <f>H33+H35+H42+H44</f>
        <v/>
      </c>
      <c r="I32" s="8">
        <f>I33+I35+I42+I44</f>
        <v/>
      </c>
      <c r="J32" s="8">
        <f>J33+J35+J42+J44</f>
        <v/>
      </c>
      <c r="K32" s="8">
        <f>K33+K35+K42+K44</f>
        <v/>
      </c>
      <c r="L32" s="8">
        <f>L33+L35+L42+L44</f>
        <v/>
      </c>
      <c r="M32" s="8">
        <f>M33+M35+M42+M44</f>
        <v/>
      </c>
      <c r="N32" s="8">
        <f>N33+N35+N42+N44</f>
        <v/>
      </c>
      <c r="O32" s="8">
        <f>O33+O35+O42+O44</f>
        <v/>
      </c>
      <c r="P32" s="8">
        <f>SUM(D32:O32)</f>
        <v/>
      </c>
      <c r="Q32" s="8" t="n"/>
    </row>
    <row r="33" hidden="1" outlineLevel="2" ht="12" customHeight="1">
      <c r="A33" s="9" t="inlineStr">
        <is>
          <t xml:space="preserve">    Shared services</t>
        </is>
      </c>
      <c r="B33" s="10" t="n"/>
      <c r="C33" s="10" t="n"/>
      <c r="D33" s="10">
        <f>SUM(D34:D34)</f>
        <v/>
      </c>
      <c r="E33" s="10">
        <f>SUM(E34:E34)</f>
        <v/>
      </c>
      <c r="F33" s="10">
        <f>SUM(F34:F34)</f>
        <v/>
      </c>
      <c r="G33" s="10">
        <f>SUM(G34:G34)</f>
        <v/>
      </c>
      <c r="H33" s="10">
        <f>SUM(H34:H34)</f>
        <v/>
      </c>
      <c r="I33" s="10">
        <f>SUM(I34:I34)</f>
        <v/>
      </c>
      <c r="J33" s="10">
        <f>SUM(J34:J34)</f>
        <v/>
      </c>
      <c r="K33" s="10">
        <f>SUM(K34:K34)</f>
        <v/>
      </c>
      <c r="L33" s="10">
        <f>SUM(L34:L34)</f>
        <v/>
      </c>
      <c r="M33" s="10">
        <f>SUM(M34:M34)</f>
        <v/>
      </c>
      <c r="N33" s="10">
        <f>SUM(N34:N34)</f>
        <v/>
      </c>
      <c r="O33" s="10">
        <f>SUM(O34:O34)</f>
        <v/>
      </c>
      <c r="P33" s="10">
        <f>SUM(D33:O33)</f>
        <v/>
      </c>
      <c r="Q33" s="10" t="inlineStr">
        <is>
          <t>-&gt;</t>
        </is>
      </c>
    </row>
    <row r="34" hidden="1" outlineLevel="3" ht="12" customHeight="1">
      <c r="A34" t="inlineStr">
        <is>
          <t xml:space="preserve">      SHAREDSERVICESSL</t>
        </is>
      </c>
      <c r="B34" s="4" t="n"/>
      <c r="C34" s="4" t="n"/>
      <c r="D34" s="4">
        <f>SUMIFS('g-expenses-inc'!$K:$K,'g-expenses-inc'!$A:$A,D$1,'g-expenses-inc'!$D:$D,"shared_services",'g-expenses-inc'!$E:$E,TRIM($A34))</f>
        <v/>
      </c>
      <c r="E34" s="4">
        <f>SUMIFS('g-expenses-inc'!$K:$K,'g-expenses-inc'!$A:$A,E$1,'g-expenses-inc'!$D:$D,"shared_services",'g-expenses-inc'!$E:$E,TRIM($A34))</f>
        <v/>
      </c>
      <c r="F34" s="4">
        <f>SUMIFS('g-expenses-inc'!$K:$K,'g-expenses-inc'!$A:$A,F$1,'g-expenses-inc'!$D:$D,"shared_services",'g-expenses-inc'!$E:$E,TRIM($A34))</f>
        <v/>
      </c>
      <c r="G34" s="4">
        <f>SUMIFS('g-expenses-inc'!$K:$K,'g-expenses-inc'!$A:$A,G$1,'g-expenses-inc'!$D:$D,"shared_services",'g-expenses-inc'!$E:$E,TRIM($A34))</f>
        <v/>
      </c>
      <c r="H34" s="4">
        <f>SUMIFS('g-expenses-inc'!$K:$K,'g-expenses-inc'!$A:$A,H$1,'g-expenses-inc'!$D:$D,"shared_services",'g-expenses-inc'!$E:$E,TRIM($A34))</f>
        <v/>
      </c>
      <c r="I34" s="4">
        <f>SUMIFS('g-expenses-inc'!$K:$K,'g-expenses-inc'!$A:$A,I$1,'g-expenses-inc'!$D:$D,"shared_services",'g-expenses-inc'!$E:$E,TRIM($A34))</f>
        <v/>
      </c>
      <c r="J34" s="4">
        <f>SUMIFS('g-expenses-inc'!$K:$K,'g-expenses-inc'!$A:$A,J$1,'g-expenses-inc'!$D:$D,"shared_services",'g-expenses-inc'!$E:$E,TRIM($A34))</f>
        <v/>
      </c>
      <c r="K34" s="4">
        <f>SUMIFS('g-expenses-inc'!$K:$K,'g-expenses-inc'!$A:$A,K$1,'g-expenses-inc'!$D:$D,"shared_services",'g-expenses-inc'!$E:$E,TRIM($A34))</f>
        <v/>
      </c>
      <c r="L34" s="4">
        <f>SUMIFS('g-expenses-inc'!$K:$K,'g-expenses-inc'!$A:$A,L$1,'g-expenses-inc'!$D:$D,"shared_services",'g-expenses-inc'!$E:$E,TRIM($A34))</f>
        <v/>
      </c>
      <c r="M34" s="4">
        <f>SUMIFS('g-expenses-inc'!$K:$K,'g-expenses-inc'!$A:$A,M$1,'g-expenses-inc'!$D:$D,"shared_services",'g-expenses-inc'!$E:$E,TRIM($A34))</f>
        <v/>
      </c>
      <c r="N34" s="4">
        <f>SUMIFS('g-expenses-inc'!$K:$K,'g-expenses-inc'!$A:$A,N$1,'g-expenses-inc'!$D:$D,"shared_services",'g-expenses-inc'!$E:$E,TRIM($A34))</f>
        <v/>
      </c>
      <c r="O34" s="4">
        <f>SUMIFS('g-expenses-inc'!$K:$K,'g-expenses-inc'!$A:$A,O$1,'g-expenses-inc'!$D:$D,"shared_services",'g-expenses-inc'!$E:$E,TRIM($A34))</f>
        <v/>
      </c>
      <c r="P34" s="4">
        <f>SUM(D34:O34)</f>
        <v/>
      </c>
      <c r="Q34" s="4" t="inlineStr">
        <is>
          <t>-&gt;</t>
        </is>
      </c>
    </row>
    <row r="35" hidden="1" outlineLevel="2" ht="12" customHeight="1">
      <c r="A35" s="9" t="inlineStr">
        <is>
          <t xml:space="preserve">    Administration</t>
        </is>
      </c>
      <c r="B35" s="10" t="n"/>
      <c r="C35" s="10" t="n"/>
      <c r="D35" s="10">
        <f>SUM(D36:D41)</f>
        <v/>
      </c>
      <c r="E35" s="10">
        <f>SUM(E36:E41)</f>
        <v/>
      </c>
      <c r="F35" s="10">
        <f>SUM(F36:F41)</f>
        <v/>
      </c>
      <c r="G35" s="10">
        <f>SUM(G36:G41)</f>
        <v/>
      </c>
      <c r="H35" s="10">
        <f>SUM(H36:H41)</f>
        <v/>
      </c>
      <c r="I35" s="10">
        <f>SUM(I36:I41)</f>
        <v/>
      </c>
      <c r="J35" s="10">
        <f>SUM(J36:J41)</f>
        <v/>
      </c>
      <c r="K35" s="10">
        <f>SUM(K36:K41)</f>
        <v/>
      </c>
      <c r="L35" s="10">
        <f>SUM(L36:L41)</f>
        <v/>
      </c>
      <c r="M35" s="10">
        <f>SUM(M36:M41)</f>
        <v/>
      </c>
      <c r="N35" s="10">
        <f>SUM(N36:N41)</f>
        <v/>
      </c>
      <c r="O35" s="10">
        <f>SUM(O36:O41)</f>
        <v/>
      </c>
      <c r="P35" s="10">
        <f>SUM(D35:O35)</f>
        <v/>
      </c>
      <c r="Q35" s="10" t="inlineStr">
        <is>
          <t>-&gt;</t>
        </is>
      </c>
    </row>
    <row r="36" hidden="1" outlineLevel="3" ht="12" customHeight="1">
      <c r="A36" t="inlineStr">
        <is>
          <t xml:space="preserve">      CONTINUUM</t>
        </is>
      </c>
      <c r="B36" s="4" t="n"/>
      <c r="C36" s="4" t="n"/>
      <c r="D36" s="4">
        <f>SUMIFS('g-expenses-inc'!$K:$K,'g-expenses-inc'!$A:$A,D$1,'g-expenses-inc'!$D:$D,"administration",'g-expenses-inc'!$E:$E,TRIM($A36))</f>
        <v/>
      </c>
      <c r="E36" s="4">
        <f>SUMIFS('g-expenses-inc'!$K:$K,'g-expenses-inc'!$A:$A,E$1,'g-expenses-inc'!$D:$D,"administration",'g-expenses-inc'!$E:$E,TRIM($A36))</f>
        <v/>
      </c>
      <c r="F36" s="4">
        <f>SUMIFS('g-expenses-inc'!$K:$K,'g-expenses-inc'!$A:$A,F$1,'g-expenses-inc'!$D:$D,"administration",'g-expenses-inc'!$E:$E,TRIM($A36))</f>
        <v/>
      </c>
      <c r="G36" s="4">
        <f>SUMIFS('g-expenses-inc'!$K:$K,'g-expenses-inc'!$A:$A,G$1,'g-expenses-inc'!$D:$D,"administration",'g-expenses-inc'!$E:$E,TRIM($A36))</f>
        <v/>
      </c>
      <c r="H36" s="4">
        <f>SUMIFS('g-expenses-inc'!$K:$K,'g-expenses-inc'!$A:$A,H$1,'g-expenses-inc'!$D:$D,"administration",'g-expenses-inc'!$E:$E,TRIM($A36))</f>
        <v/>
      </c>
      <c r="I36" s="4">
        <f>SUMIFS('g-expenses-inc'!$K:$K,'g-expenses-inc'!$A:$A,I$1,'g-expenses-inc'!$D:$D,"administration",'g-expenses-inc'!$E:$E,TRIM($A36))</f>
        <v/>
      </c>
      <c r="J36" s="4">
        <f>SUMIFS('g-expenses-inc'!$K:$K,'g-expenses-inc'!$A:$A,J$1,'g-expenses-inc'!$D:$D,"administration",'g-expenses-inc'!$E:$E,TRIM($A36))</f>
        <v/>
      </c>
      <c r="K36" s="4">
        <f>SUMIFS('g-expenses-inc'!$K:$K,'g-expenses-inc'!$A:$A,K$1,'g-expenses-inc'!$D:$D,"administration",'g-expenses-inc'!$E:$E,TRIM($A36))</f>
        <v/>
      </c>
      <c r="L36" s="4">
        <f>SUMIFS('g-expenses-inc'!$K:$K,'g-expenses-inc'!$A:$A,L$1,'g-expenses-inc'!$D:$D,"administration",'g-expenses-inc'!$E:$E,TRIM($A36))</f>
        <v/>
      </c>
      <c r="M36" s="4">
        <f>SUMIFS('g-expenses-inc'!$K:$K,'g-expenses-inc'!$A:$A,M$1,'g-expenses-inc'!$D:$D,"administration",'g-expenses-inc'!$E:$E,TRIM($A36))</f>
        <v/>
      </c>
      <c r="N36" s="4">
        <f>SUMIFS('g-expenses-inc'!$K:$K,'g-expenses-inc'!$A:$A,N$1,'g-expenses-inc'!$D:$D,"administration",'g-expenses-inc'!$E:$E,TRIM($A36))</f>
        <v/>
      </c>
      <c r="O36" s="4">
        <f>SUMIFS('g-expenses-inc'!$K:$K,'g-expenses-inc'!$A:$A,O$1,'g-expenses-inc'!$D:$D,"administration",'g-expenses-inc'!$E:$E,TRIM($A36))</f>
        <v/>
      </c>
      <c r="P36" s="4">
        <f>SUM(D36:O36)</f>
        <v/>
      </c>
      <c r="Q36" s="4" t="inlineStr">
        <is>
          <t>-&gt;</t>
        </is>
      </c>
    </row>
    <row r="37" hidden="1" outlineLevel="3" ht="12" customHeight="1">
      <c r="A37" t="inlineStr">
        <is>
          <t xml:space="preserve">      DELAWARE</t>
        </is>
      </c>
      <c r="B37" s="4" t="n"/>
      <c r="C37" s="4" t="n"/>
      <c r="D37" s="4">
        <f>SUMIFS('g-expenses-inc'!$K:$K,'g-expenses-inc'!$A:$A,D$1,'g-expenses-inc'!$D:$D,"administration",'g-expenses-inc'!$E:$E,TRIM($A37))</f>
        <v/>
      </c>
      <c r="E37" s="4">
        <f>SUMIFS('g-expenses-inc'!$K:$K,'g-expenses-inc'!$A:$A,E$1,'g-expenses-inc'!$D:$D,"administration",'g-expenses-inc'!$E:$E,TRIM($A37))</f>
        <v/>
      </c>
      <c r="F37" s="4">
        <f>SUMIFS('g-expenses-inc'!$K:$K,'g-expenses-inc'!$A:$A,F$1,'g-expenses-inc'!$D:$D,"administration",'g-expenses-inc'!$E:$E,TRIM($A37))</f>
        <v/>
      </c>
      <c r="G37" s="4">
        <f>SUMIFS('g-expenses-inc'!$K:$K,'g-expenses-inc'!$A:$A,G$1,'g-expenses-inc'!$D:$D,"administration",'g-expenses-inc'!$E:$E,TRIM($A37))</f>
        <v/>
      </c>
      <c r="H37" s="4">
        <f>SUMIFS('g-expenses-inc'!$K:$K,'g-expenses-inc'!$A:$A,H$1,'g-expenses-inc'!$D:$D,"administration",'g-expenses-inc'!$E:$E,TRIM($A37))</f>
        <v/>
      </c>
      <c r="I37" s="4">
        <f>SUMIFS('g-expenses-inc'!$K:$K,'g-expenses-inc'!$A:$A,I$1,'g-expenses-inc'!$D:$D,"administration",'g-expenses-inc'!$E:$E,TRIM($A37))</f>
        <v/>
      </c>
      <c r="J37" s="4">
        <f>SUMIFS('g-expenses-inc'!$K:$K,'g-expenses-inc'!$A:$A,J$1,'g-expenses-inc'!$D:$D,"administration",'g-expenses-inc'!$E:$E,TRIM($A37))</f>
        <v/>
      </c>
      <c r="K37" s="4">
        <f>SUMIFS('g-expenses-inc'!$K:$K,'g-expenses-inc'!$A:$A,K$1,'g-expenses-inc'!$D:$D,"administration",'g-expenses-inc'!$E:$E,TRIM($A37))</f>
        <v/>
      </c>
      <c r="L37" s="4">
        <f>SUMIFS('g-expenses-inc'!$K:$K,'g-expenses-inc'!$A:$A,L$1,'g-expenses-inc'!$D:$D,"administration",'g-expenses-inc'!$E:$E,TRIM($A37))</f>
        <v/>
      </c>
      <c r="M37" s="4">
        <f>SUMIFS('g-expenses-inc'!$K:$K,'g-expenses-inc'!$A:$A,M$1,'g-expenses-inc'!$D:$D,"administration",'g-expenses-inc'!$E:$E,TRIM($A37))</f>
        <v/>
      </c>
      <c r="N37" s="4">
        <f>SUMIFS('g-expenses-inc'!$K:$K,'g-expenses-inc'!$A:$A,N$1,'g-expenses-inc'!$D:$D,"administration",'g-expenses-inc'!$E:$E,TRIM($A37))</f>
        <v/>
      </c>
      <c r="O37" s="4">
        <f>SUMIFS('g-expenses-inc'!$K:$K,'g-expenses-inc'!$A:$A,O$1,'g-expenses-inc'!$D:$D,"administration",'g-expenses-inc'!$E:$E,TRIM($A37))</f>
        <v/>
      </c>
      <c r="P37" s="4">
        <f>SUM(D37:O37)</f>
        <v/>
      </c>
      <c r="Q37" s="4" t="n"/>
    </row>
    <row r="38" hidden="1" outlineLevel="3" ht="12" customHeight="1">
      <c r="A38" t="inlineStr">
        <is>
          <t xml:space="preserve">      HUSHED</t>
        </is>
      </c>
      <c r="B38" s="4" t="n"/>
      <c r="C38" s="4" t="n"/>
      <c r="D38" s="4">
        <f>SUMIFS('g-expenses-inc'!$K:$K,'g-expenses-inc'!$A:$A,D$1,'g-expenses-inc'!$D:$D,"administration",'g-expenses-inc'!$E:$E,TRIM($A38))</f>
        <v/>
      </c>
      <c r="E38" s="4">
        <f>SUMIFS('g-expenses-inc'!$K:$K,'g-expenses-inc'!$A:$A,E$1,'g-expenses-inc'!$D:$D,"administration",'g-expenses-inc'!$E:$E,TRIM($A38))</f>
        <v/>
      </c>
      <c r="F38" s="4">
        <f>SUMIFS('g-expenses-inc'!$K:$K,'g-expenses-inc'!$A:$A,F$1,'g-expenses-inc'!$D:$D,"administration",'g-expenses-inc'!$E:$E,TRIM($A38))</f>
        <v/>
      </c>
      <c r="G38" s="4">
        <f>SUMIFS('g-expenses-inc'!$K:$K,'g-expenses-inc'!$A:$A,G$1,'g-expenses-inc'!$D:$D,"administration",'g-expenses-inc'!$E:$E,TRIM($A38))</f>
        <v/>
      </c>
      <c r="H38" s="4">
        <f>SUMIFS('g-expenses-inc'!$K:$K,'g-expenses-inc'!$A:$A,H$1,'g-expenses-inc'!$D:$D,"administration",'g-expenses-inc'!$E:$E,TRIM($A38))</f>
        <v/>
      </c>
      <c r="I38" s="4">
        <f>SUMIFS('g-expenses-inc'!$K:$K,'g-expenses-inc'!$A:$A,I$1,'g-expenses-inc'!$D:$D,"administration",'g-expenses-inc'!$E:$E,TRIM($A38))</f>
        <v/>
      </c>
      <c r="J38" s="4">
        <f>SUMIFS('g-expenses-inc'!$K:$K,'g-expenses-inc'!$A:$A,J$1,'g-expenses-inc'!$D:$D,"administration",'g-expenses-inc'!$E:$E,TRIM($A38))</f>
        <v/>
      </c>
      <c r="K38" s="4">
        <f>SUMIFS('g-expenses-inc'!$K:$K,'g-expenses-inc'!$A:$A,K$1,'g-expenses-inc'!$D:$D,"administration",'g-expenses-inc'!$E:$E,TRIM($A38))</f>
        <v/>
      </c>
      <c r="L38" s="4">
        <f>SUMIFS('g-expenses-inc'!$K:$K,'g-expenses-inc'!$A:$A,L$1,'g-expenses-inc'!$D:$D,"administration",'g-expenses-inc'!$E:$E,TRIM($A38))</f>
        <v/>
      </c>
      <c r="M38" s="4">
        <f>SUMIFS('g-expenses-inc'!$K:$K,'g-expenses-inc'!$A:$A,M$1,'g-expenses-inc'!$D:$D,"administration",'g-expenses-inc'!$E:$E,TRIM($A38))</f>
        <v/>
      </c>
      <c r="N38" s="4">
        <f>SUMIFS('g-expenses-inc'!$K:$K,'g-expenses-inc'!$A:$A,N$1,'g-expenses-inc'!$D:$D,"administration",'g-expenses-inc'!$E:$E,TRIM($A38))</f>
        <v/>
      </c>
      <c r="O38" s="4">
        <f>SUMIFS('g-expenses-inc'!$K:$K,'g-expenses-inc'!$A:$A,O$1,'g-expenses-inc'!$D:$D,"administration",'g-expenses-inc'!$E:$E,TRIM($A38))</f>
        <v/>
      </c>
      <c r="P38" s="4">
        <f>SUM(D38:O38)</f>
        <v/>
      </c>
      <c r="Q38" s="4" t="n"/>
    </row>
    <row r="39" hidden="1" outlineLevel="3" ht="12" customHeight="1">
      <c r="A39" t="inlineStr">
        <is>
          <t xml:space="preserve">      IPOSTAL</t>
        </is>
      </c>
      <c r="B39" s="4" t="n"/>
      <c r="C39" s="4" t="n"/>
      <c r="D39" s="4">
        <f>SUMIFS('g-expenses-inc'!$K:$K,'g-expenses-inc'!$A:$A,D$1,'g-expenses-inc'!$D:$D,"administration",'g-expenses-inc'!$E:$E,TRIM($A39))</f>
        <v/>
      </c>
      <c r="E39" s="4">
        <f>SUMIFS('g-expenses-inc'!$K:$K,'g-expenses-inc'!$A:$A,E$1,'g-expenses-inc'!$D:$D,"administration",'g-expenses-inc'!$E:$E,TRIM($A39))</f>
        <v/>
      </c>
      <c r="F39" s="4">
        <f>SUMIFS('g-expenses-inc'!$K:$K,'g-expenses-inc'!$A:$A,F$1,'g-expenses-inc'!$D:$D,"administration",'g-expenses-inc'!$E:$E,TRIM($A39))</f>
        <v/>
      </c>
      <c r="G39" s="4">
        <f>SUMIFS('g-expenses-inc'!$K:$K,'g-expenses-inc'!$A:$A,G$1,'g-expenses-inc'!$D:$D,"administration",'g-expenses-inc'!$E:$E,TRIM($A39))</f>
        <v/>
      </c>
      <c r="H39" s="4">
        <f>SUMIFS('g-expenses-inc'!$K:$K,'g-expenses-inc'!$A:$A,H$1,'g-expenses-inc'!$D:$D,"administration",'g-expenses-inc'!$E:$E,TRIM($A39))</f>
        <v/>
      </c>
      <c r="I39" s="4">
        <f>SUMIFS('g-expenses-inc'!$K:$K,'g-expenses-inc'!$A:$A,I$1,'g-expenses-inc'!$D:$D,"administration",'g-expenses-inc'!$E:$E,TRIM($A39))</f>
        <v/>
      </c>
      <c r="J39" s="4">
        <f>SUMIFS('g-expenses-inc'!$K:$K,'g-expenses-inc'!$A:$A,J$1,'g-expenses-inc'!$D:$D,"administration",'g-expenses-inc'!$E:$E,TRIM($A39))</f>
        <v/>
      </c>
      <c r="K39" s="4">
        <f>SUMIFS('g-expenses-inc'!$K:$K,'g-expenses-inc'!$A:$A,K$1,'g-expenses-inc'!$D:$D,"administration",'g-expenses-inc'!$E:$E,TRIM($A39))</f>
        <v/>
      </c>
      <c r="L39" s="4">
        <f>SUMIFS('g-expenses-inc'!$K:$K,'g-expenses-inc'!$A:$A,L$1,'g-expenses-inc'!$D:$D,"administration",'g-expenses-inc'!$E:$E,TRIM($A39))</f>
        <v/>
      </c>
      <c r="M39" s="4">
        <f>SUMIFS('g-expenses-inc'!$K:$K,'g-expenses-inc'!$A:$A,M$1,'g-expenses-inc'!$D:$D,"administration",'g-expenses-inc'!$E:$E,TRIM($A39))</f>
        <v/>
      </c>
      <c r="N39" s="4">
        <f>SUMIFS('g-expenses-inc'!$K:$K,'g-expenses-inc'!$A:$A,N$1,'g-expenses-inc'!$D:$D,"administration",'g-expenses-inc'!$E:$E,TRIM($A39))</f>
        <v/>
      </c>
      <c r="O39" s="4">
        <f>SUMIFS('g-expenses-inc'!$K:$K,'g-expenses-inc'!$A:$A,O$1,'g-expenses-inc'!$D:$D,"administration",'g-expenses-inc'!$E:$E,TRIM($A39))</f>
        <v/>
      </c>
      <c r="P39" s="4">
        <f>SUM(D39:O39)</f>
        <v/>
      </c>
      <c r="Q39" s="4" t="n"/>
    </row>
    <row r="40" hidden="1" outlineLevel="3" ht="12" customHeight="1">
      <c r="A40" t="inlineStr">
        <is>
          <t xml:space="preserve">      QUICKBOOKS</t>
        </is>
      </c>
      <c r="B40" s="4" t="n"/>
      <c r="C40" s="4" t="n"/>
      <c r="D40" s="4">
        <f>SUMIFS('g-expenses-inc'!$K:$K,'g-expenses-inc'!$A:$A,D$1,'g-expenses-inc'!$D:$D,"administration",'g-expenses-inc'!$E:$E,TRIM($A40))</f>
        <v/>
      </c>
      <c r="E40" s="4">
        <f>SUMIFS('g-expenses-inc'!$K:$K,'g-expenses-inc'!$A:$A,E$1,'g-expenses-inc'!$D:$D,"administration",'g-expenses-inc'!$E:$E,TRIM($A40))</f>
        <v/>
      </c>
      <c r="F40" s="4">
        <f>SUMIFS('g-expenses-inc'!$K:$K,'g-expenses-inc'!$A:$A,F$1,'g-expenses-inc'!$D:$D,"administration",'g-expenses-inc'!$E:$E,TRIM($A40))</f>
        <v/>
      </c>
      <c r="G40" s="4">
        <f>SUMIFS('g-expenses-inc'!$K:$K,'g-expenses-inc'!$A:$A,G$1,'g-expenses-inc'!$D:$D,"administration",'g-expenses-inc'!$E:$E,TRIM($A40))</f>
        <v/>
      </c>
      <c r="H40" s="4">
        <f>SUMIFS('g-expenses-inc'!$K:$K,'g-expenses-inc'!$A:$A,H$1,'g-expenses-inc'!$D:$D,"administration",'g-expenses-inc'!$E:$E,TRIM($A40))</f>
        <v/>
      </c>
      <c r="I40" s="4">
        <f>SUMIFS('g-expenses-inc'!$K:$K,'g-expenses-inc'!$A:$A,I$1,'g-expenses-inc'!$D:$D,"administration",'g-expenses-inc'!$E:$E,TRIM($A40))</f>
        <v/>
      </c>
      <c r="J40" s="4">
        <f>SUMIFS('g-expenses-inc'!$K:$K,'g-expenses-inc'!$A:$A,J$1,'g-expenses-inc'!$D:$D,"administration",'g-expenses-inc'!$E:$E,TRIM($A40))</f>
        <v/>
      </c>
      <c r="K40" s="4">
        <f>SUMIFS('g-expenses-inc'!$K:$K,'g-expenses-inc'!$A:$A,K$1,'g-expenses-inc'!$D:$D,"administration",'g-expenses-inc'!$E:$E,TRIM($A40))</f>
        <v/>
      </c>
      <c r="L40" s="4">
        <f>SUMIFS('g-expenses-inc'!$K:$K,'g-expenses-inc'!$A:$A,L$1,'g-expenses-inc'!$D:$D,"administration",'g-expenses-inc'!$E:$E,TRIM($A40))</f>
        <v/>
      </c>
      <c r="M40" s="4">
        <f>SUMIFS('g-expenses-inc'!$K:$K,'g-expenses-inc'!$A:$A,M$1,'g-expenses-inc'!$D:$D,"administration",'g-expenses-inc'!$E:$E,TRIM($A40))</f>
        <v/>
      </c>
      <c r="N40" s="4">
        <f>SUMIFS('g-expenses-inc'!$K:$K,'g-expenses-inc'!$A:$A,N$1,'g-expenses-inc'!$D:$D,"administration",'g-expenses-inc'!$E:$E,TRIM($A40))</f>
        <v/>
      </c>
      <c r="O40" s="4">
        <f>SUMIFS('g-expenses-inc'!$K:$K,'g-expenses-inc'!$A:$A,O$1,'g-expenses-inc'!$D:$D,"administration",'g-expenses-inc'!$E:$E,TRIM($A40))</f>
        <v/>
      </c>
      <c r="P40" s="4">
        <f>SUM(D40:O40)</f>
        <v/>
      </c>
      <c r="Q40" s="4" t="n"/>
    </row>
    <row r="41" hidden="1" outlineLevel="3" ht="12" customHeight="1">
      <c r="A41" t="inlineStr">
        <is>
          <t xml:space="preserve">      REGUS</t>
        </is>
      </c>
      <c r="B41" s="4" t="n"/>
      <c r="C41" s="4" t="n"/>
      <c r="D41" s="4">
        <f>SUMIFS('g-expenses-inc'!$K:$K,'g-expenses-inc'!$A:$A,D$1,'g-expenses-inc'!$D:$D,"administration",'g-expenses-inc'!$E:$E,TRIM($A41))</f>
        <v/>
      </c>
      <c r="E41" s="4">
        <f>SUMIFS('g-expenses-inc'!$K:$K,'g-expenses-inc'!$A:$A,E$1,'g-expenses-inc'!$D:$D,"administration",'g-expenses-inc'!$E:$E,TRIM($A41))</f>
        <v/>
      </c>
      <c r="F41" s="4">
        <f>SUMIFS('g-expenses-inc'!$K:$K,'g-expenses-inc'!$A:$A,F$1,'g-expenses-inc'!$D:$D,"administration",'g-expenses-inc'!$E:$E,TRIM($A41))</f>
        <v/>
      </c>
      <c r="G41" s="4">
        <f>SUMIFS('g-expenses-inc'!$K:$K,'g-expenses-inc'!$A:$A,G$1,'g-expenses-inc'!$D:$D,"administration",'g-expenses-inc'!$E:$E,TRIM($A41))</f>
        <v/>
      </c>
      <c r="H41" s="4">
        <f>SUMIFS('g-expenses-inc'!$K:$K,'g-expenses-inc'!$A:$A,H$1,'g-expenses-inc'!$D:$D,"administration",'g-expenses-inc'!$E:$E,TRIM($A41))</f>
        <v/>
      </c>
      <c r="I41" s="4">
        <f>SUMIFS('g-expenses-inc'!$K:$K,'g-expenses-inc'!$A:$A,I$1,'g-expenses-inc'!$D:$D,"administration",'g-expenses-inc'!$E:$E,TRIM($A41))</f>
        <v/>
      </c>
      <c r="J41" s="4">
        <f>SUMIFS('g-expenses-inc'!$K:$K,'g-expenses-inc'!$A:$A,J$1,'g-expenses-inc'!$D:$D,"administration",'g-expenses-inc'!$E:$E,TRIM($A41))</f>
        <v/>
      </c>
      <c r="K41" s="4">
        <f>SUMIFS('g-expenses-inc'!$K:$K,'g-expenses-inc'!$A:$A,K$1,'g-expenses-inc'!$D:$D,"administration",'g-expenses-inc'!$E:$E,TRIM($A41))</f>
        <v/>
      </c>
      <c r="L41" s="4">
        <f>SUMIFS('g-expenses-inc'!$K:$K,'g-expenses-inc'!$A:$A,L$1,'g-expenses-inc'!$D:$D,"administration",'g-expenses-inc'!$E:$E,TRIM($A41))</f>
        <v/>
      </c>
      <c r="M41" s="4">
        <f>SUMIFS('g-expenses-inc'!$K:$K,'g-expenses-inc'!$A:$A,M$1,'g-expenses-inc'!$D:$D,"administration",'g-expenses-inc'!$E:$E,TRIM($A41))</f>
        <v/>
      </c>
      <c r="N41" s="4">
        <f>SUMIFS('g-expenses-inc'!$K:$K,'g-expenses-inc'!$A:$A,N$1,'g-expenses-inc'!$D:$D,"administration",'g-expenses-inc'!$E:$E,TRIM($A41))</f>
        <v/>
      </c>
      <c r="O41" s="4">
        <f>SUMIFS('g-expenses-inc'!$K:$K,'g-expenses-inc'!$A:$A,O$1,'g-expenses-inc'!$D:$D,"administration",'g-expenses-inc'!$E:$E,TRIM($A41))</f>
        <v/>
      </c>
      <c r="P41" s="4">
        <f>SUM(D41:O41)</f>
        <v/>
      </c>
      <c r="Q41" s="4" t="n"/>
    </row>
    <row r="42" hidden="1" outlineLevel="2" ht="12" customHeight="1">
      <c r="A42" s="9" t="inlineStr">
        <is>
          <t xml:space="preserve">    Technology</t>
        </is>
      </c>
      <c r="B42" s="10" t="n"/>
      <c r="C42" s="10" t="n"/>
      <c r="D42" s="10">
        <f>SUM(D43:D43)</f>
        <v/>
      </c>
      <c r="E42" s="10">
        <f>SUM(E43:E43)</f>
        <v/>
      </c>
      <c r="F42" s="10">
        <f>SUM(F43:F43)</f>
        <v/>
      </c>
      <c r="G42" s="10">
        <f>SUM(G43:G43)</f>
        <v/>
      </c>
      <c r="H42" s="10">
        <f>SUM(H43:H43)</f>
        <v/>
      </c>
      <c r="I42" s="10">
        <f>SUM(I43:I43)</f>
        <v/>
      </c>
      <c r="J42" s="10">
        <f>SUM(J43:J43)</f>
        <v/>
      </c>
      <c r="K42" s="10">
        <f>SUM(K43:K43)</f>
        <v/>
      </c>
      <c r="L42" s="10">
        <f>SUM(L43:L43)</f>
        <v/>
      </c>
      <c r="M42" s="10">
        <f>SUM(M43:M43)</f>
        <v/>
      </c>
      <c r="N42" s="10">
        <f>SUM(N43:N43)</f>
        <v/>
      </c>
      <c r="O42" s="10">
        <f>SUM(O43:O43)</f>
        <v/>
      </c>
      <c r="P42" s="10">
        <f>SUM(D42:O42)</f>
        <v/>
      </c>
      <c r="Q42" s="10" t="inlineStr">
        <is>
          <t>-&gt;</t>
        </is>
      </c>
    </row>
    <row r="43" hidden="1" outlineLevel="3" ht="12" customHeight="1">
      <c r="A43" t="inlineStr">
        <is>
          <t xml:space="preserve">      REVER</t>
        </is>
      </c>
      <c r="B43" s="4" t="n"/>
      <c r="C43" s="4" t="n"/>
      <c r="D43" s="4">
        <f>SUMIFS('g-expenses-inc'!$K:$K,'g-expenses-inc'!$A:$A,D$1,'g-expenses-inc'!$D:$D,"technology",'g-expenses-inc'!$E:$E,TRIM($A43))</f>
        <v/>
      </c>
      <c r="E43" s="4">
        <f>SUMIFS('g-expenses-inc'!$K:$K,'g-expenses-inc'!$A:$A,E$1,'g-expenses-inc'!$D:$D,"technology",'g-expenses-inc'!$E:$E,TRIM($A43))</f>
        <v/>
      </c>
      <c r="F43" s="4">
        <f>SUMIFS('g-expenses-inc'!$K:$K,'g-expenses-inc'!$A:$A,F$1,'g-expenses-inc'!$D:$D,"technology",'g-expenses-inc'!$E:$E,TRIM($A43))</f>
        <v/>
      </c>
      <c r="G43" s="4">
        <f>SUMIFS('g-expenses-inc'!$K:$K,'g-expenses-inc'!$A:$A,G$1,'g-expenses-inc'!$D:$D,"technology",'g-expenses-inc'!$E:$E,TRIM($A43))</f>
        <v/>
      </c>
      <c r="H43" s="4">
        <f>SUMIFS('g-expenses-inc'!$K:$K,'g-expenses-inc'!$A:$A,H$1,'g-expenses-inc'!$D:$D,"technology",'g-expenses-inc'!$E:$E,TRIM($A43))</f>
        <v/>
      </c>
      <c r="I43" s="4">
        <f>SUMIFS('g-expenses-inc'!$K:$K,'g-expenses-inc'!$A:$A,I$1,'g-expenses-inc'!$D:$D,"technology",'g-expenses-inc'!$E:$E,TRIM($A43))</f>
        <v/>
      </c>
      <c r="J43" s="4">
        <f>SUMIFS('g-expenses-inc'!$K:$K,'g-expenses-inc'!$A:$A,J$1,'g-expenses-inc'!$D:$D,"technology",'g-expenses-inc'!$E:$E,TRIM($A43))</f>
        <v/>
      </c>
      <c r="K43" s="4">
        <f>SUMIFS('g-expenses-inc'!$K:$K,'g-expenses-inc'!$A:$A,K$1,'g-expenses-inc'!$D:$D,"technology",'g-expenses-inc'!$E:$E,TRIM($A43))</f>
        <v/>
      </c>
      <c r="L43" s="4">
        <f>SUMIFS('g-expenses-inc'!$K:$K,'g-expenses-inc'!$A:$A,L$1,'g-expenses-inc'!$D:$D,"technology",'g-expenses-inc'!$E:$E,TRIM($A43))</f>
        <v/>
      </c>
      <c r="M43" s="4">
        <f>SUMIFS('g-expenses-inc'!$K:$K,'g-expenses-inc'!$A:$A,M$1,'g-expenses-inc'!$D:$D,"technology",'g-expenses-inc'!$E:$E,TRIM($A43))</f>
        <v/>
      </c>
      <c r="N43" s="4">
        <f>SUMIFS('g-expenses-inc'!$K:$K,'g-expenses-inc'!$A:$A,N$1,'g-expenses-inc'!$D:$D,"technology",'g-expenses-inc'!$E:$E,TRIM($A43))</f>
        <v/>
      </c>
      <c r="O43" s="4">
        <f>SUMIFS('g-expenses-inc'!$K:$K,'g-expenses-inc'!$A:$A,O$1,'g-expenses-inc'!$D:$D,"technology",'g-expenses-inc'!$E:$E,TRIM($A43))</f>
        <v/>
      </c>
      <c r="P43" s="4">
        <f>SUM(D43:O43)</f>
        <v/>
      </c>
      <c r="Q43" s="4" t="inlineStr">
        <is>
          <t>-&gt;</t>
        </is>
      </c>
    </row>
    <row r="44" hidden="1" outlineLevel="2" ht="12" customHeight="1">
      <c r="A44" s="9" t="inlineStr">
        <is>
          <t xml:space="preserve">    Uncategorized Expenses</t>
        </is>
      </c>
      <c r="B44" s="10" t="n"/>
      <c r="C44" s="10" t="n"/>
      <c r="D44" s="10">
        <f>SUMIFS('g-expenses-inc'!$K:$K,'g-expenses-inc'!$A:$A,D$1,'g-expenses-inc'!$D:$D,"otros_gastos")</f>
        <v/>
      </c>
      <c r="E44" s="10">
        <f>SUMIFS('g-expenses-inc'!$K:$K,'g-expenses-inc'!$A:$A,E$1,'g-expenses-inc'!$D:$D,"otros_gastos")</f>
        <v/>
      </c>
      <c r="F44" s="10">
        <f>SUMIFS('g-expenses-inc'!$K:$K,'g-expenses-inc'!$A:$A,F$1,'g-expenses-inc'!$D:$D,"otros_gastos")</f>
        <v/>
      </c>
      <c r="G44" s="10">
        <f>SUMIFS('g-expenses-inc'!$K:$K,'g-expenses-inc'!$A:$A,G$1,'g-expenses-inc'!$D:$D,"otros_gastos")</f>
        <v/>
      </c>
      <c r="H44" s="10">
        <f>SUMIFS('g-expenses-inc'!$K:$K,'g-expenses-inc'!$A:$A,H$1,'g-expenses-inc'!$D:$D,"otros_gastos")</f>
        <v/>
      </c>
      <c r="I44" s="10">
        <f>SUMIFS('g-expenses-inc'!$K:$K,'g-expenses-inc'!$A:$A,I$1,'g-expenses-inc'!$D:$D,"otros_gastos")</f>
        <v/>
      </c>
      <c r="J44" s="10">
        <f>SUMIFS('g-expenses-inc'!$K:$K,'g-expenses-inc'!$A:$A,J$1,'g-expenses-inc'!$D:$D,"otros_gastos")</f>
        <v/>
      </c>
      <c r="K44" s="10">
        <f>SUMIFS('g-expenses-inc'!$K:$K,'g-expenses-inc'!$A:$A,K$1,'g-expenses-inc'!$D:$D,"otros_gastos")</f>
        <v/>
      </c>
      <c r="L44" s="10">
        <f>SUMIFS('g-expenses-inc'!$K:$K,'g-expenses-inc'!$A:$A,L$1,'g-expenses-inc'!$D:$D,"otros_gastos")</f>
        <v/>
      </c>
      <c r="M44" s="10">
        <f>SUMIFS('g-expenses-inc'!$K:$K,'g-expenses-inc'!$A:$A,M$1,'g-expenses-inc'!$D:$D,"otros_gastos")</f>
        <v/>
      </c>
      <c r="N44" s="10">
        <f>SUMIFS('g-expenses-inc'!$K:$K,'g-expenses-inc'!$A:$A,N$1,'g-expenses-inc'!$D:$D,"otros_gastos")</f>
        <v/>
      </c>
      <c r="O44" s="10">
        <f>SUMIFS('g-expenses-inc'!$K:$K,'g-expenses-inc'!$A:$A,O$1,'g-expenses-inc'!$D:$D,"otros_gastos")</f>
        <v/>
      </c>
      <c r="P44" s="10">
        <f>SUM(D44:O44)</f>
        <v/>
      </c>
      <c r="Q44" s="10" t="inlineStr">
        <is>
          <t>-&gt;</t>
        </is>
      </c>
    </row>
    <row r="45" hidden="1" outlineLevel="2" ht="12" customHeight="1">
      <c r="A45" s="9" t="inlineStr">
        <is>
          <t xml:space="preserve">  Currency Adjustment</t>
        </is>
      </c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>
        <f>SUM(D45:O45)</f>
        <v/>
      </c>
      <c r="Q45" s="10" t="n"/>
    </row>
    <row r="46" ht="12" customHeight="1"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>
        <f>SUM(D46:O46)</f>
        <v/>
      </c>
      <c r="Q46" s="4" t="n"/>
    </row>
    <row r="47" ht="12" customHeight="1">
      <c r="A47" s="13" t="inlineStr">
        <is>
          <t>PROFIT</t>
        </is>
      </c>
      <c r="B47" s="14" t="n"/>
      <c r="C47" s="14" t="n"/>
      <c r="D47" s="14">
        <f>D4-D12-D32-D45</f>
        <v/>
      </c>
      <c r="E47" s="14">
        <f>E4-E12-E32-E45</f>
        <v/>
      </c>
      <c r="F47" s="14">
        <f>F4-F12-F32-F45</f>
        <v/>
      </c>
      <c r="G47" s="14">
        <f>G4-G12-G32-G45</f>
        <v/>
      </c>
      <c r="H47" s="14">
        <f>H4-H12-H32-H45</f>
        <v/>
      </c>
      <c r="I47" s="14">
        <f>I4-I12-I32-I45</f>
        <v/>
      </c>
      <c r="J47" s="14">
        <f>J4-J12-J32-J45</f>
        <v/>
      </c>
      <c r="K47" s="14">
        <f>K4-K12-K32-K45</f>
        <v/>
      </c>
      <c r="L47" s="14">
        <f>L4-L12-L32-L45</f>
        <v/>
      </c>
      <c r="M47" s="14">
        <f>M4-M12-M32-M45</f>
        <v/>
      </c>
      <c r="N47" s="14">
        <f>N4-N12-N32-N45</f>
        <v/>
      </c>
      <c r="O47" s="14">
        <f>O4-O12-O32-O45</f>
        <v/>
      </c>
      <c r="P47" s="14">
        <f>SUM(D47:O47)</f>
        <v/>
      </c>
      <c r="Q47" s="14" t="n"/>
    </row>
    <row r="48" hidden="1" outlineLevel="1" ht="12" customHeight="1">
      <c r="A48" s="3" t="inlineStr">
        <is>
          <t>% profit / product sales</t>
        </is>
      </c>
      <c r="B48" s="11" t="n"/>
      <c r="C48" s="11" t="n"/>
      <c r="D48" s="11">
        <f>IFERROR(D47/D5,0)</f>
        <v/>
      </c>
      <c r="E48" s="11">
        <f>IFERROR(E47/E5,0)</f>
        <v/>
      </c>
      <c r="F48" s="11">
        <f>IFERROR(F47/F5,0)</f>
        <v/>
      </c>
      <c r="G48" s="11">
        <f>IFERROR(G47/G5,0)</f>
        <v/>
      </c>
      <c r="H48" s="11">
        <f>IFERROR(H47/H5,0)</f>
        <v/>
      </c>
      <c r="I48" s="11">
        <f>IFERROR(I47/I5,0)</f>
        <v/>
      </c>
      <c r="J48" s="11">
        <f>IFERROR(J47/J5,0)</f>
        <v/>
      </c>
      <c r="K48" s="11">
        <f>IFERROR(K47/K5,0)</f>
        <v/>
      </c>
      <c r="L48" s="11">
        <f>IFERROR(L47/L5,0)</f>
        <v/>
      </c>
      <c r="M48" s="11">
        <f>IFERROR(M47/M5,0)</f>
        <v/>
      </c>
      <c r="N48" s="11">
        <f>IFERROR(N47/N5,0)</f>
        <v/>
      </c>
      <c r="O48" s="11">
        <f>IFERROR(O47/O5,0)</f>
        <v/>
      </c>
      <c r="P48" s="11">
        <f>IFERROR(P47/P5,0)</f>
        <v/>
      </c>
      <c r="Q48" s="11" t="n"/>
    </row>
    <row r="49"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</row>
    <row r="50">
      <c r="A50" s="15" t="inlineStr">
        <is>
          <t>Stock inicial marcos</t>
        </is>
      </c>
      <c r="B50" s="4" t="n"/>
      <c r="C50" s="4" t="n"/>
      <c r="D50" s="4" t="n">
        <v>15764.34</v>
      </c>
      <c r="E50" s="4" t="n">
        <v>13105.38</v>
      </c>
      <c r="F50" s="4" t="n">
        <v>11635.01</v>
      </c>
      <c r="G50" s="4" t="n">
        <v>10232.85</v>
      </c>
      <c r="H50" s="4" t="n"/>
      <c r="I50" s="4" t="n"/>
      <c r="J50" s="4" t="n"/>
      <c r="K50" s="4" t="n"/>
      <c r="L50" s="4" t="n"/>
      <c r="M50" s="4" t="n"/>
      <c r="N50" s="4" t="n"/>
      <c r="O50" s="4" t="n"/>
      <c r="P50" s="4">
        <f>SUM(D50:O50)</f>
        <v/>
      </c>
      <c r="Q50" s="4" t="n"/>
    </row>
    <row r="51">
      <c r="A51" s="15" t="inlineStr">
        <is>
          <t>Stock final marcos</t>
        </is>
      </c>
      <c r="B51" s="4" t="n"/>
      <c r="C51" s="4" t="n"/>
      <c r="D51" s="4" t="n">
        <v>13105.38</v>
      </c>
      <c r="E51" s="4" t="n">
        <v>11635.01</v>
      </c>
      <c r="F51" s="4" t="n">
        <v>10217.07</v>
      </c>
      <c r="G51" s="4" t="n">
        <v>10165.55</v>
      </c>
      <c r="H51" s="4" t="n"/>
      <c r="I51" s="4" t="n"/>
      <c r="J51" s="4" t="n"/>
      <c r="K51" s="4" t="n"/>
      <c r="L51" s="4" t="n"/>
      <c r="M51" s="4" t="n"/>
      <c r="N51" s="4" t="n"/>
      <c r="O51" s="4" t="n"/>
      <c r="P51" s="4">
        <f>SUM(D51:O51)</f>
        <v/>
      </c>
      <c r="Q51" s="4" t="n"/>
    </row>
  </sheetData>
  <mergeCells count="2">
    <mergeCell ref="A3:C3"/>
    <mergeCell ref="A2:C2"/>
  </mergeCells>
  <hyperlinks>
    <hyperlink ref="Q6" location="'i-shopify-inc'!A1" display="-&gt;"/>
    <hyperlink ref="Q7" location="'i-shopify-inc'!A1" display="-&gt;"/>
    <hyperlink ref="Q13" location="'g-expenses-inc'!A1" display="-&gt;"/>
    <hyperlink ref="Q14" location="'g-expenses-inc'!A1" display="-&gt;"/>
    <hyperlink ref="Q18" location="'g-expenses-inc'!A1" display="-&gt;"/>
    <hyperlink ref="Q19" location="'g-expenses-inc'!A1" display="-&gt;"/>
    <hyperlink ref="Q21" location="'g-payment-fees-inc'!A1" display="-&gt;"/>
    <hyperlink ref="Q22" location="'g-payment-fees-inc'!A1" display="-&gt;"/>
    <hyperlink ref="Q33" location="'g-expenses-inc'!A1" display="-&gt;"/>
    <hyperlink ref="Q34" location="'g-expenses-inc'!A1" display="-&gt;"/>
    <hyperlink ref="Q35" location="'g-expenses-inc'!A1" display="-&gt;"/>
    <hyperlink ref="Q36" location="'g-expenses-inc'!A1" display="-&gt;"/>
    <hyperlink ref="Q42" location="'g-expenses-inc'!A1" display="-&gt;"/>
    <hyperlink ref="Q43" location="'g-expenses-inc'!A1" display="-&gt;"/>
    <hyperlink ref="Q44" location="'g-expenses-inc'!A1" display="-&gt;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key</t>
        </is>
      </c>
      <c r="B2" s="17" t="inlineStr">
        <is>
          <t>value</t>
        </is>
      </c>
    </row>
    <row r="3" ht="12" customHeight="1">
      <c r="A3" t="inlineStr">
        <is>
          <t>entity</t>
        </is>
      </c>
      <c r="B3" t="inlineStr">
        <is>
          <t>INC</t>
        </is>
      </c>
    </row>
    <row r="4" ht="12" customHeight="1">
      <c r="A4" t="inlineStr">
        <is>
          <t>reporting_currency</t>
        </is>
      </c>
      <c r="B4" t="inlineStr">
        <is>
          <t>USD</t>
        </is>
      </c>
    </row>
    <row r="5" ht="12" customHeight="1">
      <c r="A5" t="inlineStr">
        <is>
          <t>year</t>
        </is>
      </c>
      <c r="B5" t="n">
        <v>2026</v>
      </c>
    </row>
    <row r="6" ht="12" customHeight="1">
      <c r="A6" t="inlineStr">
        <is>
          <t>generated_at_utc</t>
        </is>
      </c>
      <c r="B6" t="inlineStr">
        <is>
          <t>2026-04-10T09:48:04Z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7" customWidth="1" min="5" max="5"/>
    <col width="19" customWidth="1" min="6" max="6"/>
    <col width="20" customWidth="1" min="7" max="7"/>
    <col width="14" customWidth="1" min="8" max="8"/>
    <col width="18" customWidth="1" min="9" max="9"/>
    <col width="14" customWidth="1" min="10" max="10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line_item</t>
        </is>
      </c>
      <c r="D2" s="17" t="inlineStr">
        <is>
          <t>detail</t>
        </is>
      </c>
      <c r="E2" s="17" t="inlineStr">
        <is>
          <t>amount_original</t>
        </is>
      </c>
      <c r="F2" s="17" t="inlineStr">
        <is>
          <t>currency_original</t>
        </is>
      </c>
      <c r="G2" s="17" t="inlineStr">
        <is>
          <t>reporting_currency</t>
        </is>
      </c>
      <c r="H2" s="17" t="inlineStr">
        <is>
          <t>fx_rate</t>
        </is>
      </c>
      <c r="I2" s="17" t="inlineStr">
        <is>
          <t>amount_reporting</t>
        </is>
      </c>
      <c r="J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US</t>
        </is>
      </c>
      <c r="D3" t="inlineStr">
        <is>
          <t>US</t>
        </is>
      </c>
      <c r="E3" s="4" t="n">
        <v>10261.58</v>
      </c>
      <c r="F3" t="inlineStr">
        <is>
          <t>USD</t>
        </is>
      </c>
      <c r="G3" t="inlineStr">
        <is>
          <t>USD</t>
        </is>
      </c>
      <c r="H3" s="18" t="n">
        <v>1</v>
      </c>
      <c r="I3" s="4" t="n">
        <v>10261.58</v>
      </c>
      <c r="J3" t="inlineStr">
        <is>
          <t>finance.ventas_pyg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US</t>
        </is>
      </c>
      <c r="D4" t="inlineStr">
        <is>
          <t>US</t>
        </is>
      </c>
      <c r="E4" s="4" t="n">
        <v>15549.06</v>
      </c>
      <c r="F4" t="inlineStr">
        <is>
          <t>USD</t>
        </is>
      </c>
      <c r="G4" t="inlineStr">
        <is>
          <t>USD</t>
        </is>
      </c>
      <c r="H4" s="18" t="n">
        <v>1</v>
      </c>
      <c r="I4" s="4" t="n">
        <v>15549.06</v>
      </c>
      <c r="J4" t="inlineStr">
        <is>
          <t>finance.ventas_pyg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US</t>
        </is>
      </c>
      <c r="D5" t="inlineStr">
        <is>
          <t>US</t>
        </is>
      </c>
      <c r="E5" s="4" t="n">
        <v>16536.75</v>
      </c>
      <c r="F5" t="inlineStr">
        <is>
          <t>USD</t>
        </is>
      </c>
      <c r="G5" t="inlineStr">
        <is>
          <t>USD</t>
        </is>
      </c>
      <c r="H5" s="18" t="n">
        <v>1</v>
      </c>
      <c r="I5" s="4" t="n">
        <v>16536.75</v>
      </c>
      <c r="J5" t="inlineStr">
        <is>
          <t>finance.ventas_pyg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US</t>
        </is>
      </c>
      <c r="D6" t="inlineStr">
        <is>
          <t>US</t>
        </is>
      </c>
      <c r="E6" s="4" t="n">
        <v>4493.94</v>
      </c>
      <c r="F6" t="inlineStr">
        <is>
          <t>USD</t>
        </is>
      </c>
      <c r="G6" t="inlineStr">
        <is>
          <t>USD</t>
        </is>
      </c>
      <c r="H6" s="18" t="n">
        <v>1</v>
      </c>
      <c r="I6" s="4" t="n">
        <v>4493.94</v>
      </c>
      <c r="J6" t="inlineStr">
        <is>
          <t>finance.ventas_pyg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7" customWidth="1" min="7" max="7"/>
    <col width="19" customWidth="1" min="8" max="8"/>
    <col width="20" customWidth="1" min="9" max="9"/>
    <col width="14" customWidth="1" min="10" max="10"/>
    <col width="18" customWidth="1" min="11" max="11"/>
    <col width="14" customWidth="1" min="12" max="12"/>
    <col width="16" customWidth="1" min="13" max="13"/>
    <col hidden="1" width="14" customWidth="1" min="14" max="14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category</t>
        </is>
      </c>
      <c r="D2" s="17" t="inlineStr">
        <is>
          <t>subcategory</t>
        </is>
      </c>
      <c r="E2" s="17" t="inlineStr">
        <is>
          <t>supplier_code</t>
        </is>
      </c>
      <c r="F2" s="17" t="inlineStr">
        <is>
          <t>detail</t>
        </is>
      </c>
      <c r="G2" s="17" t="inlineStr">
        <is>
          <t>amount_original</t>
        </is>
      </c>
      <c r="H2" s="17" t="inlineStr">
        <is>
          <t>currency_original</t>
        </is>
      </c>
      <c r="I2" s="17" t="inlineStr">
        <is>
          <t>reporting_currency</t>
        </is>
      </c>
      <c r="J2" s="17" t="inlineStr">
        <is>
          <t>fx_rate</t>
        </is>
      </c>
      <c r="K2" s="17" t="inlineStr">
        <is>
          <t>amount_reporting</t>
        </is>
      </c>
      <c r="L2" s="17" t="inlineStr">
        <is>
          <t>source</t>
        </is>
      </c>
      <c r="M2" s="17" t="inlineStr">
        <is>
          <t>invoice_number</t>
        </is>
      </c>
      <c r="N2" s="17" t="inlineStr">
        <is>
          <t>drive_url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opex</t>
        </is>
      </c>
      <c r="D3" t="inlineStr">
        <is>
          <t>administration</t>
        </is>
      </c>
      <c r="E3" t="inlineStr">
        <is>
          <t>CONTINUUM</t>
        </is>
      </c>
      <c r="F3" t="inlineStr">
        <is>
          <t>invoice</t>
        </is>
      </c>
      <c r="G3" s="4" t="n">
        <v>1150</v>
      </c>
      <c r="H3" t="inlineStr">
        <is>
          <t>USD</t>
        </is>
      </c>
      <c r="I3" t="inlineStr">
        <is>
          <t>USD</t>
        </is>
      </c>
      <c r="J3" s="18" t="n">
        <v>1</v>
      </c>
      <c r="K3" s="4" t="n">
        <v>1150</v>
      </c>
      <c r="L3" t="inlineStr">
        <is>
          <t>documents</t>
        </is>
      </c>
      <c r="M3" s="19" t="inlineStr">
        <is>
          <t>1220</t>
        </is>
      </c>
      <c r="N3" t="inlineStr">
        <is>
          <t>https://drive.google.com/file/d/1VQJLNIB-5t3CvvCH7lD24otxOYB9qBhF/view?usp=drivesdk</t>
        </is>
      </c>
    </row>
    <row r="4" ht="12" customHeight="1">
      <c r="A4" t="inlineStr">
        <is>
          <t>202601</t>
        </is>
      </c>
      <c r="B4" t="inlineStr">
        <is>
          <t>INC</t>
        </is>
      </c>
      <c r="C4" t="inlineStr">
        <is>
          <t>opex</t>
        </is>
      </c>
      <c r="D4" t="inlineStr">
        <is>
          <t>administration</t>
        </is>
      </c>
      <c r="E4" t="inlineStr">
        <is>
          <t>HUSHED</t>
        </is>
      </c>
      <c r="F4" t="inlineStr">
        <is>
          <t>invoice</t>
        </is>
      </c>
      <c r="G4" s="4" t="n">
        <v>4.99</v>
      </c>
      <c r="H4" t="inlineStr">
        <is>
          <t>USD</t>
        </is>
      </c>
      <c r="I4" t="inlineStr">
        <is>
          <t>USD</t>
        </is>
      </c>
      <c r="J4" s="18" t="n">
        <v>1</v>
      </c>
      <c r="K4" s="4" t="n">
        <v>4.99</v>
      </c>
      <c r="L4" t="inlineStr">
        <is>
          <t>documents</t>
        </is>
      </c>
      <c r="M4" s="19" t="inlineStr">
        <is>
          <t>2172-2199</t>
        </is>
      </c>
      <c r="N4" t="inlineStr">
        <is>
          <t>https://drive.google.com/file/d/1BbduJYKX9BQjP8XUl1QyyqI2dYd_kaDG/view?usp=drivesdk</t>
        </is>
      </c>
    </row>
    <row r="5" ht="12" customHeight="1">
      <c r="A5" t="inlineStr">
        <is>
          <t>202601</t>
        </is>
      </c>
      <c r="B5" t="inlineStr">
        <is>
          <t>INC</t>
        </is>
      </c>
      <c r="C5" t="inlineStr">
        <is>
          <t>opex</t>
        </is>
      </c>
      <c r="D5" t="inlineStr">
        <is>
          <t>administration</t>
        </is>
      </c>
      <c r="E5" t="inlineStr">
        <is>
          <t>IPOSTAL</t>
        </is>
      </c>
      <c r="F5" t="inlineStr">
        <is>
          <t>invoice</t>
        </is>
      </c>
      <c r="G5" s="4" t="n">
        <v>1.1</v>
      </c>
      <c r="H5" t="inlineStr">
        <is>
          <t>USD</t>
        </is>
      </c>
      <c r="I5" t="inlineStr">
        <is>
          <t>USD</t>
        </is>
      </c>
      <c r="J5" s="18" t="n">
        <v>1</v>
      </c>
      <c r="K5" s="4" t="n">
        <v>1.1</v>
      </c>
      <c r="L5" t="inlineStr">
        <is>
          <t>documents</t>
        </is>
      </c>
      <c r="M5" s="19" t="inlineStr">
        <is>
          <t>34735793</t>
        </is>
      </c>
      <c r="N5" t="inlineStr">
        <is>
          <t>https://drive.google.com/file/d/1ceZ6j5WAJAPPlpRSVBybJc0WhWv0xodP/view?usp=drivesdk</t>
        </is>
      </c>
    </row>
    <row r="6" ht="12" customHeight="1">
      <c r="A6" t="inlineStr">
        <is>
          <t>202601</t>
        </is>
      </c>
      <c r="B6" t="inlineStr">
        <is>
          <t>INC</t>
        </is>
      </c>
      <c r="C6" t="inlineStr">
        <is>
          <t>opex</t>
        </is>
      </c>
      <c r="D6" t="inlineStr">
        <is>
          <t>administration</t>
        </is>
      </c>
      <c r="E6" t="inlineStr">
        <is>
          <t>IPOSTAL</t>
        </is>
      </c>
      <c r="F6" t="inlineStr">
        <is>
          <t>invoice</t>
        </is>
      </c>
      <c r="G6" s="4" t="n">
        <v>6.6</v>
      </c>
      <c r="H6" t="inlineStr">
        <is>
          <t>USD</t>
        </is>
      </c>
      <c r="I6" t="inlineStr">
        <is>
          <t>USD</t>
        </is>
      </c>
      <c r="J6" s="18" t="n">
        <v>1</v>
      </c>
      <c r="K6" s="4" t="n">
        <v>6.6</v>
      </c>
      <c r="L6" t="inlineStr">
        <is>
          <t>documents</t>
        </is>
      </c>
      <c r="M6" s="19" t="inlineStr">
        <is>
          <t>34899776</t>
        </is>
      </c>
      <c r="N6" t="inlineStr">
        <is>
          <t>https://drive.google.com/file/d/1LMi5pj2ZXxZnqbNKNzf_j2iSIru1WK79/view?usp=drivesdk</t>
        </is>
      </c>
    </row>
    <row r="7" ht="12" customHeight="1">
      <c r="A7" t="inlineStr">
        <is>
          <t>202601</t>
        </is>
      </c>
      <c r="B7" t="inlineStr">
        <is>
          <t>INC</t>
        </is>
      </c>
      <c r="C7" t="inlineStr">
        <is>
          <t>opex</t>
        </is>
      </c>
      <c r="D7" t="inlineStr">
        <is>
          <t>administration</t>
        </is>
      </c>
      <c r="E7" t="inlineStr">
        <is>
          <t>IPOSTAL</t>
        </is>
      </c>
      <c r="F7" t="inlineStr">
        <is>
          <t>invoice</t>
        </is>
      </c>
      <c r="G7" s="4" t="n">
        <v>14.99</v>
      </c>
      <c r="H7" t="inlineStr">
        <is>
          <t>USD</t>
        </is>
      </c>
      <c r="I7" t="inlineStr">
        <is>
          <t>USD</t>
        </is>
      </c>
      <c r="J7" s="18" t="n">
        <v>1</v>
      </c>
      <c r="K7" s="4" t="n">
        <v>14.99</v>
      </c>
      <c r="L7" t="inlineStr">
        <is>
          <t>documents</t>
        </is>
      </c>
      <c r="M7" s="19" t="inlineStr">
        <is>
          <t>35170891</t>
        </is>
      </c>
      <c r="N7" t="inlineStr">
        <is>
          <t>https://drive.google.com/file/d/1KbHUnph5gmHbdTxLjqKqYInKlrmdz4wL/view?usp=drivesdk</t>
        </is>
      </c>
    </row>
    <row r="8" ht="12" customHeight="1">
      <c r="A8" t="inlineStr">
        <is>
          <t>202601</t>
        </is>
      </c>
      <c r="B8" t="inlineStr">
        <is>
          <t>INC</t>
        </is>
      </c>
      <c r="C8" t="inlineStr">
        <is>
          <t>opex</t>
        </is>
      </c>
      <c r="D8" t="inlineStr">
        <is>
          <t>administration</t>
        </is>
      </c>
      <c r="E8" t="inlineStr">
        <is>
          <t>IPOSTAL</t>
        </is>
      </c>
      <c r="F8" t="inlineStr">
        <is>
          <t>invoice</t>
        </is>
      </c>
      <c r="G8" s="4" t="n">
        <v>1.1</v>
      </c>
      <c r="H8" t="inlineStr">
        <is>
          <t>USD</t>
        </is>
      </c>
      <c r="I8" t="inlineStr">
        <is>
          <t>USD</t>
        </is>
      </c>
      <c r="J8" s="18" t="n">
        <v>1</v>
      </c>
      <c r="K8" s="4" t="n">
        <v>1.1</v>
      </c>
      <c r="L8" t="inlineStr">
        <is>
          <t>documents</t>
        </is>
      </c>
      <c r="M8" s="19" t="inlineStr">
        <is>
          <t>35204899</t>
        </is>
      </c>
      <c r="N8" t="inlineStr">
        <is>
          <t>https://drive.google.com/file/d/1yyR0exo4N4IjQeijc-RMOgOFPehkmWG7/view?usp=drivesdk</t>
        </is>
      </c>
    </row>
    <row r="9" ht="12" customHeight="1">
      <c r="A9" t="inlineStr">
        <is>
          <t>202601</t>
        </is>
      </c>
      <c r="B9" t="inlineStr">
        <is>
          <t>INC</t>
        </is>
      </c>
      <c r="C9" t="inlineStr">
        <is>
          <t>cogs</t>
        </is>
      </c>
      <c r="D9" t="inlineStr">
        <is>
          <t>manufacturing</t>
        </is>
      </c>
      <c r="E9" t="inlineStr">
        <is>
          <t>JONDO</t>
        </is>
      </c>
      <c r="F9" t="inlineStr">
        <is>
          <t>manufacturing</t>
        </is>
      </c>
      <c r="G9" s="4" t="n">
        <v>24.54</v>
      </c>
      <c r="H9" t="inlineStr">
        <is>
          <t>USD</t>
        </is>
      </c>
      <c r="I9" t="inlineStr">
        <is>
          <t>USD</t>
        </is>
      </c>
      <c r="J9" s="18" t="n">
        <v>1</v>
      </c>
      <c r="K9" s="4" t="n">
        <v>24.54</v>
      </c>
      <c r="L9" t="inlineStr">
        <is>
          <t>documents</t>
        </is>
      </c>
      <c r="M9" s="19" t="inlineStr">
        <is>
          <t>AS-93451</t>
        </is>
      </c>
      <c r="N9" t="inlineStr">
        <is>
          <t>https://drive.google.com/file/d/1O0P3vzvWe4u3W1s9Cfr7AhvvLpiFmCxE/view?usp=drivesdk</t>
        </is>
      </c>
    </row>
    <row r="10" ht="12" customHeight="1">
      <c r="A10" t="inlineStr">
        <is>
          <t>202601</t>
        </is>
      </c>
      <c r="B10" t="inlineStr">
        <is>
          <t>INC</t>
        </is>
      </c>
      <c r="C10" t="inlineStr">
        <is>
          <t>cogs</t>
        </is>
      </c>
      <c r="D10" t="inlineStr">
        <is>
          <t>manufacturing</t>
        </is>
      </c>
      <c r="E10" t="inlineStr">
        <is>
          <t>JONDO</t>
        </is>
      </c>
      <c r="F10" t="inlineStr">
        <is>
          <t>manufacturing</t>
        </is>
      </c>
      <c r="G10" s="4" t="n">
        <v>182.02</v>
      </c>
      <c r="H10" t="inlineStr">
        <is>
          <t>USD</t>
        </is>
      </c>
      <c r="I10" t="inlineStr">
        <is>
          <t>USD</t>
        </is>
      </c>
      <c r="J10" s="18" t="n">
        <v>1</v>
      </c>
      <c r="K10" s="4" t="n">
        <v>182.02</v>
      </c>
      <c r="L10" t="inlineStr">
        <is>
          <t>documents</t>
        </is>
      </c>
      <c r="M10" s="19" t="inlineStr">
        <is>
          <t>AS-94908</t>
        </is>
      </c>
      <c r="N10" t="inlineStr">
        <is>
          <t>https://drive.google.com/file/d/1jyxd9FqicevsnM8DLiOFiRnzfnmWfzky/view?usp=drivesdk</t>
        </is>
      </c>
    </row>
    <row r="11" ht="12" customHeight="1">
      <c r="A11" t="inlineStr">
        <is>
          <t>202601</t>
        </is>
      </c>
      <c r="B11" t="inlineStr">
        <is>
          <t>INC</t>
        </is>
      </c>
      <c r="C11" t="inlineStr">
        <is>
          <t>cogs</t>
        </is>
      </c>
      <c r="D11" t="inlineStr">
        <is>
          <t>manufacturing</t>
        </is>
      </c>
      <c r="E11" t="inlineStr">
        <is>
          <t>JONDO</t>
        </is>
      </c>
      <c r="F11" t="inlineStr">
        <is>
          <t>manufacturing</t>
        </is>
      </c>
      <c r="G11" s="4" t="n">
        <v>56.22</v>
      </c>
      <c r="H11" t="inlineStr">
        <is>
          <t>USD</t>
        </is>
      </c>
      <c r="I11" t="inlineStr">
        <is>
          <t>USD</t>
        </is>
      </c>
      <c r="J11" s="18" t="n">
        <v>1</v>
      </c>
      <c r="K11" s="4" t="n">
        <v>56.22</v>
      </c>
      <c r="L11" t="inlineStr">
        <is>
          <t>documents</t>
        </is>
      </c>
      <c r="M11" s="19" t="inlineStr">
        <is>
          <t>AS-94969</t>
        </is>
      </c>
      <c r="N11" t="inlineStr">
        <is>
          <t>https://drive.google.com/file/d/1RevzUHhRECleLrhtwD-YjTJp9jaJUWDK/view?usp=drivesdk</t>
        </is>
      </c>
    </row>
    <row r="12" ht="12" customHeight="1">
      <c r="A12" t="inlineStr">
        <is>
          <t>202601</t>
        </is>
      </c>
      <c r="B12" t="inlineStr">
        <is>
          <t>INC</t>
        </is>
      </c>
      <c r="C12" t="inlineStr">
        <is>
          <t>cogs</t>
        </is>
      </c>
      <c r="D12" t="inlineStr">
        <is>
          <t>manufacturing</t>
        </is>
      </c>
      <c r="E12" t="inlineStr">
        <is>
          <t>JONDO</t>
        </is>
      </c>
      <c r="F12" t="inlineStr">
        <is>
          <t>manufacturing</t>
        </is>
      </c>
      <c r="G12" s="4" t="n">
        <v>42.06</v>
      </c>
      <c r="H12" t="inlineStr">
        <is>
          <t>USD</t>
        </is>
      </c>
      <c r="I12" t="inlineStr">
        <is>
          <t>USD</t>
        </is>
      </c>
      <c r="J12" s="18" t="n">
        <v>1</v>
      </c>
      <c r="K12" s="4" t="n">
        <v>42.06</v>
      </c>
      <c r="L12" t="inlineStr">
        <is>
          <t>documents</t>
        </is>
      </c>
      <c r="M12" s="19" t="inlineStr">
        <is>
          <t>AS-95058</t>
        </is>
      </c>
      <c r="N12" t="inlineStr">
        <is>
          <t>https://drive.google.com/file/d/1mBJHgNO2xg-5FqhSFbZNhgENNhUoZFlO/view?usp=drivesdk</t>
        </is>
      </c>
    </row>
    <row r="13" ht="12" customHeight="1">
      <c r="A13" t="inlineStr">
        <is>
          <t>202601</t>
        </is>
      </c>
      <c r="B13" t="inlineStr">
        <is>
          <t>INC</t>
        </is>
      </c>
      <c r="C13" t="inlineStr">
        <is>
          <t>cogs</t>
        </is>
      </c>
      <c r="D13" t="inlineStr">
        <is>
          <t>manufacturing</t>
        </is>
      </c>
      <c r="E13" t="inlineStr">
        <is>
          <t>JONDO</t>
        </is>
      </c>
      <c r="F13" t="inlineStr">
        <is>
          <t>manufacturing</t>
        </is>
      </c>
      <c r="G13" s="4" t="n">
        <v>44.06</v>
      </c>
      <c r="H13" t="inlineStr">
        <is>
          <t>USD</t>
        </is>
      </c>
      <c r="I13" t="inlineStr">
        <is>
          <t>USD</t>
        </is>
      </c>
      <c r="J13" s="18" t="n">
        <v>1</v>
      </c>
      <c r="K13" s="4" t="n">
        <v>44.06</v>
      </c>
      <c r="L13" t="inlineStr">
        <is>
          <t>documents</t>
        </is>
      </c>
      <c r="M13" s="19" t="inlineStr">
        <is>
          <t>AS-95513</t>
        </is>
      </c>
      <c r="N13" t="inlineStr">
        <is>
          <t>https://drive.google.com/file/d/1n0jkiCaVd0_gWUGq-nbHvrLmzbH5wqOe/view?usp=drivesdk</t>
        </is>
      </c>
    </row>
    <row r="14" ht="12" customHeight="1">
      <c r="A14" t="inlineStr">
        <is>
          <t>202601</t>
        </is>
      </c>
      <c r="B14" t="inlineStr">
        <is>
          <t>INC</t>
        </is>
      </c>
      <c r="C14" t="inlineStr">
        <is>
          <t>cogs</t>
        </is>
      </c>
      <c r="D14" t="inlineStr">
        <is>
          <t>manufacturing</t>
        </is>
      </c>
      <c r="E14" t="inlineStr">
        <is>
          <t>JONDO</t>
        </is>
      </c>
      <c r="F14" t="inlineStr">
        <is>
          <t>manufacturing</t>
        </is>
      </c>
      <c r="G14" s="4" t="n">
        <v>36.41</v>
      </c>
      <c r="H14" t="inlineStr">
        <is>
          <t>USD</t>
        </is>
      </c>
      <c r="I14" t="inlineStr">
        <is>
          <t>USD</t>
        </is>
      </c>
      <c r="J14" s="18" t="n">
        <v>1</v>
      </c>
      <c r="K14" s="4" t="n">
        <v>36.41</v>
      </c>
      <c r="L14" t="inlineStr">
        <is>
          <t>documents</t>
        </is>
      </c>
      <c r="M14" s="19" t="inlineStr">
        <is>
          <t>AS-96265</t>
        </is>
      </c>
      <c r="N14" t="inlineStr">
        <is>
          <t>https://drive.google.com/file/d/1oaJt7342H9v6JYlHDXVc1qKPm1x6UfSA/view?usp=drivesdk</t>
        </is>
      </c>
    </row>
    <row r="15" ht="12" customHeight="1">
      <c r="A15" t="inlineStr">
        <is>
          <t>202601</t>
        </is>
      </c>
      <c r="B15" t="inlineStr">
        <is>
          <t>INC</t>
        </is>
      </c>
      <c r="C15" t="inlineStr">
        <is>
          <t>cogs</t>
        </is>
      </c>
      <c r="D15" t="inlineStr">
        <is>
          <t>manufacturing</t>
        </is>
      </c>
      <c r="E15" t="inlineStr">
        <is>
          <t>JONDO</t>
        </is>
      </c>
      <c r="F15" t="inlineStr">
        <is>
          <t>manufacturing</t>
        </is>
      </c>
      <c r="G15" s="4" t="n">
        <v>56.22</v>
      </c>
      <c r="H15" t="inlineStr">
        <is>
          <t>USD</t>
        </is>
      </c>
      <c r="I15" t="inlineStr">
        <is>
          <t>USD</t>
        </is>
      </c>
      <c r="J15" s="18" t="n">
        <v>1</v>
      </c>
      <c r="K15" s="4" t="n">
        <v>56.22</v>
      </c>
      <c r="L15" t="inlineStr">
        <is>
          <t>documents</t>
        </is>
      </c>
      <c r="M15" s="19" t="inlineStr">
        <is>
          <t>AS-96361</t>
        </is>
      </c>
      <c r="N15" t="inlineStr">
        <is>
          <t>https://drive.google.com/file/d/1XcWHHiuZhYBfTD9p5V8io5vc60MnzuTH/view?usp=drivesdk</t>
        </is>
      </c>
    </row>
    <row r="16" ht="12" customHeight="1">
      <c r="A16" t="inlineStr">
        <is>
          <t>202601</t>
        </is>
      </c>
      <c r="B16" t="inlineStr">
        <is>
          <t>INC</t>
        </is>
      </c>
      <c r="C16" t="inlineStr">
        <is>
          <t>opex</t>
        </is>
      </c>
      <c r="D16" t="inlineStr">
        <is>
          <t>administration</t>
        </is>
      </c>
      <c r="E16" t="inlineStr">
        <is>
          <t>QUICKBOOKS</t>
        </is>
      </c>
      <c r="F16" t="inlineStr">
        <is>
          <t>invoice</t>
        </is>
      </c>
      <c r="G16" s="4" t="n">
        <v>121.9</v>
      </c>
      <c r="H16" t="inlineStr">
        <is>
          <t>USD</t>
        </is>
      </c>
      <c r="I16" t="inlineStr">
        <is>
          <t>USD</t>
        </is>
      </c>
      <c r="J16" s="18" t="n">
        <v>1</v>
      </c>
      <c r="K16" s="4" t="n">
        <v>121.9</v>
      </c>
      <c r="L16" t="inlineStr">
        <is>
          <t>documents</t>
        </is>
      </c>
      <c r="M16" s="19" t="inlineStr">
        <is>
          <t>10001458238017</t>
        </is>
      </c>
      <c r="N16" t="inlineStr">
        <is>
          <t>https://drive.google.com/file/d/1O3JQWCljxjpurBip-btRlPPIgNjLDS8z/view?usp=drivesdk</t>
        </is>
      </c>
    </row>
    <row r="17" ht="12" customHeight="1">
      <c r="A17" t="inlineStr">
        <is>
          <t>202601</t>
        </is>
      </c>
      <c r="B17" t="inlineStr">
        <is>
          <t>INC</t>
        </is>
      </c>
      <c r="C17" t="inlineStr">
        <is>
          <t>opex</t>
        </is>
      </c>
      <c r="D17" t="inlineStr">
        <is>
          <t>administration</t>
        </is>
      </c>
      <c r="E17" t="inlineStr">
        <is>
          <t>REGUS</t>
        </is>
      </c>
      <c r="F17" t="inlineStr">
        <is>
          <t>invoice</t>
        </is>
      </c>
      <c r="G17" s="4" t="n">
        <v>31.8</v>
      </c>
      <c r="H17" t="inlineStr">
        <is>
          <t>USD</t>
        </is>
      </c>
      <c r="I17" t="inlineStr">
        <is>
          <t>USD</t>
        </is>
      </c>
      <c r="J17" s="18" t="n">
        <v>1</v>
      </c>
      <c r="K17" s="4" t="n">
        <v>31.8</v>
      </c>
      <c r="L17" t="inlineStr">
        <is>
          <t>documents</t>
        </is>
      </c>
      <c r="M17" s="19" t="inlineStr">
        <is>
          <t>3313-43306</t>
        </is>
      </c>
      <c r="N17" t="inlineStr">
        <is>
          <t>https://drive.google.com/file/d/1gZQTLCPSHOk4TktpGvMCAtrlr8UHdVJj/view?usp=drivesdk</t>
        </is>
      </c>
    </row>
    <row r="18" ht="12" customHeight="1">
      <c r="A18" t="inlineStr">
        <is>
          <t>202601</t>
        </is>
      </c>
      <c r="B18" t="inlineStr">
        <is>
          <t>INC</t>
        </is>
      </c>
      <c r="C18" t="inlineStr">
        <is>
          <t>opex</t>
        </is>
      </c>
      <c r="D18" t="inlineStr">
        <is>
          <t>shared_services</t>
        </is>
      </c>
      <c r="E18" t="inlineStr">
        <is>
          <t>SHAREDSERVICESSL</t>
        </is>
      </c>
      <c r="F18" t="inlineStr">
        <is>
          <t>invoice</t>
        </is>
      </c>
      <c r="G18" s="4" t="n">
        <v>7334.44</v>
      </c>
      <c r="H18" t="inlineStr">
        <is>
          <t>EUR</t>
        </is>
      </c>
      <c r="I18" t="inlineStr">
        <is>
          <t>USD</t>
        </is>
      </c>
      <c r="J18" s="18" t="n">
        <v>1.1919</v>
      </c>
      <c r="K18" s="4" t="n">
        <v>8741.92</v>
      </c>
      <c r="L18" t="inlineStr">
        <is>
          <t>documents</t>
        </is>
      </c>
      <c r="M18" s="19" t="inlineStr">
        <is>
          <t>2026-0009</t>
        </is>
      </c>
      <c r="N18" t="inlineStr">
        <is>
          <t>https://drive.google.com/file/d/1f0y-ak8qjEua6xrzfcweFpWZqOtA8h9C/view?usp=drivesdk</t>
        </is>
      </c>
    </row>
    <row r="19" ht="12" customHeight="1">
      <c r="A19" t="inlineStr">
        <is>
          <t>202601</t>
        </is>
      </c>
      <c r="B19" t="inlineStr">
        <is>
          <t>INC</t>
        </is>
      </c>
      <c r="C19" t="inlineStr">
        <is>
          <t>cogs</t>
        </is>
      </c>
      <c r="D19" t="inlineStr">
        <is>
          <t>manufacturing</t>
        </is>
      </c>
      <c r="E19" t="inlineStr">
        <is>
          <t>TGI</t>
        </is>
      </c>
      <c r="F19" t="inlineStr">
        <is>
          <t>manufacturing</t>
        </is>
      </c>
      <c r="G19" s="4" t="n">
        <v>1562.55</v>
      </c>
      <c r="H19" t="inlineStr">
        <is>
          <t>USD</t>
        </is>
      </c>
      <c r="I19" t="inlineStr">
        <is>
          <t>USD</t>
        </is>
      </c>
      <c r="J19" s="18" t="n">
        <v>1</v>
      </c>
      <c r="K19" s="4" t="n">
        <v>1562.55</v>
      </c>
      <c r="L19" t="inlineStr">
        <is>
          <t>documents</t>
        </is>
      </c>
      <c r="M19" s="19" t="inlineStr">
        <is>
          <t>171197</t>
        </is>
      </c>
      <c r="N19" t="inlineStr">
        <is>
          <t>https://drive.google.com/file/d/1EUtQF-FleTAy3EgSdssG3kIsBahVXhP7/view?usp=drivesdk</t>
        </is>
      </c>
    </row>
    <row r="20" ht="12" customHeight="1">
      <c r="A20" t="inlineStr">
        <is>
          <t>202601</t>
        </is>
      </c>
      <c r="B20" t="inlineStr">
        <is>
          <t>INC</t>
        </is>
      </c>
      <c r="C20" t="inlineStr">
        <is>
          <t>cogs</t>
        </is>
      </c>
      <c r="D20" t="inlineStr">
        <is>
          <t>logistics</t>
        </is>
      </c>
      <c r="E20" t="inlineStr">
        <is>
          <t>TGI</t>
        </is>
      </c>
      <c r="F20" t="inlineStr">
        <is>
          <t>logistics</t>
        </is>
      </c>
      <c r="G20" s="4" t="n">
        <v>2888.86</v>
      </c>
      <c r="H20" t="inlineStr">
        <is>
          <t>USD</t>
        </is>
      </c>
      <c r="I20" t="inlineStr">
        <is>
          <t>USD</t>
        </is>
      </c>
      <c r="J20" s="18" t="n">
        <v>1</v>
      </c>
      <c r="K20" s="4" t="n">
        <v>2888.86</v>
      </c>
      <c r="L20" t="inlineStr">
        <is>
          <t>documents</t>
        </is>
      </c>
      <c r="M20" s="19" t="inlineStr">
        <is>
          <t>171198</t>
        </is>
      </c>
      <c r="N20" t="inlineStr">
        <is>
          <t>https://drive.google.com/file/d/15ijSn48A6cTNkNH6H12fgOkucD-ULCFE/view?usp=drivesdk</t>
        </is>
      </c>
    </row>
    <row r="21" ht="12" customHeight="1">
      <c r="A21" t="inlineStr">
        <is>
          <t>202602</t>
        </is>
      </c>
      <c r="B21" t="inlineStr">
        <is>
          <t>INC</t>
        </is>
      </c>
      <c r="C21" t="inlineStr">
        <is>
          <t>opex</t>
        </is>
      </c>
      <c r="D21" t="inlineStr">
        <is>
          <t>administration</t>
        </is>
      </c>
      <c r="E21" t="inlineStr">
        <is>
          <t>CONTINUUM</t>
        </is>
      </c>
      <c r="F21" t="inlineStr">
        <is>
          <t>invoice</t>
        </is>
      </c>
      <c r="G21" s="4" t="n">
        <v>1150</v>
      </c>
      <c r="H21" t="inlineStr">
        <is>
          <t>USD</t>
        </is>
      </c>
      <c r="I21" t="inlineStr">
        <is>
          <t>USD</t>
        </is>
      </c>
      <c r="J21" s="18" t="n">
        <v>1</v>
      </c>
      <c r="K21" s="4" t="n">
        <v>1150</v>
      </c>
      <c r="L21" t="inlineStr">
        <is>
          <t>documents</t>
        </is>
      </c>
      <c r="M21" s="19" t="inlineStr">
        <is>
          <t>1236</t>
        </is>
      </c>
      <c r="N21" t="inlineStr">
        <is>
          <t>https://drive.google.com/file/d/19qRHVy1VXN3r8_I38sW_TfnopkqkdH5y/view?usp=drivesdk</t>
        </is>
      </c>
    </row>
    <row r="22" ht="12" customHeight="1">
      <c r="A22" t="inlineStr">
        <is>
          <t>202602</t>
        </is>
      </c>
      <c r="B22" t="inlineStr">
        <is>
          <t>INC</t>
        </is>
      </c>
      <c r="C22" t="inlineStr">
        <is>
          <t>opex</t>
        </is>
      </c>
      <c r="D22" t="inlineStr">
        <is>
          <t>administration</t>
        </is>
      </c>
      <c r="E22" t="inlineStr">
        <is>
          <t>HUSHED</t>
        </is>
      </c>
      <c r="F22" t="inlineStr">
        <is>
          <t>invoice</t>
        </is>
      </c>
      <c r="G22" s="4" t="n">
        <v>4.99</v>
      </c>
      <c r="H22" t="inlineStr">
        <is>
          <t>USD</t>
        </is>
      </c>
      <c r="I22" t="inlineStr">
        <is>
          <t>USD</t>
        </is>
      </c>
      <c r="J22" s="18" t="n">
        <v>1</v>
      </c>
      <c r="K22" s="4" t="n">
        <v>4.99</v>
      </c>
      <c r="L22" t="inlineStr">
        <is>
          <t>documents</t>
        </is>
      </c>
      <c r="M22" s="19" t="inlineStr">
        <is>
          <t>2353-3823</t>
        </is>
      </c>
      <c r="N22" t="inlineStr">
        <is>
          <t>https://drive.google.com/file/d/1ucffmXSTwbEd1NPh3IgAuKV_LAbciIE3/view?usp=drivesdk</t>
        </is>
      </c>
    </row>
    <row r="23" ht="12" customHeight="1">
      <c r="A23" t="inlineStr">
        <is>
          <t>202602</t>
        </is>
      </c>
      <c r="B23" t="inlineStr">
        <is>
          <t>INC</t>
        </is>
      </c>
      <c r="C23" t="inlineStr">
        <is>
          <t>opex</t>
        </is>
      </c>
      <c r="D23" t="inlineStr">
        <is>
          <t>administration</t>
        </is>
      </c>
      <c r="E23" t="inlineStr">
        <is>
          <t>IPOSTAL</t>
        </is>
      </c>
      <c r="F23" t="inlineStr">
        <is>
          <t>invoice</t>
        </is>
      </c>
      <c r="G23" s="4" t="n">
        <v>1.1</v>
      </c>
      <c r="H23" t="inlineStr">
        <is>
          <t>USD</t>
        </is>
      </c>
      <c r="I23" t="inlineStr">
        <is>
          <t>USD</t>
        </is>
      </c>
      <c r="J23" s="18" t="n">
        <v>1</v>
      </c>
      <c r="K23" s="4" t="n">
        <v>1.1</v>
      </c>
      <c r="L23" t="inlineStr">
        <is>
          <t>documents</t>
        </is>
      </c>
      <c r="M23" s="19" t="inlineStr">
        <is>
          <t>35389577</t>
        </is>
      </c>
      <c r="N23" t="inlineStr">
        <is>
          <t>https://drive.google.com/file/d/1Qv3sUtITrFrr0vCvvVDO9E2rkyQ_GGDR/view?usp=drivesdk</t>
        </is>
      </c>
    </row>
    <row r="24" ht="12" customHeight="1">
      <c r="A24" t="inlineStr">
        <is>
          <t>202602</t>
        </is>
      </c>
      <c r="B24" t="inlineStr">
        <is>
          <t>INC</t>
        </is>
      </c>
      <c r="C24" t="inlineStr">
        <is>
          <t>opex</t>
        </is>
      </c>
      <c r="D24" t="inlineStr">
        <is>
          <t>administration</t>
        </is>
      </c>
      <c r="E24" t="inlineStr">
        <is>
          <t>IPOSTAL</t>
        </is>
      </c>
      <c r="F24" t="inlineStr">
        <is>
          <t>invoice</t>
        </is>
      </c>
      <c r="G24" s="4" t="n">
        <v>3.3</v>
      </c>
      <c r="H24" t="inlineStr">
        <is>
          <t>USD</t>
        </is>
      </c>
      <c r="I24" t="inlineStr">
        <is>
          <t>USD</t>
        </is>
      </c>
      <c r="J24" s="18" t="n">
        <v>1</v>
      </c>
      <c r="K24" s="4" t="n">
        <v>3.3</v>
      </c>
      <c r="L24" t="inlineStr">
        <is>
          <t>documents</t>
        </is>
      </c>
      <c r="M24" s="19" t="inlineStr">
        <is>
          <t>35565709</t>
        </is>
      </c>
      <c r="N24" t="inlineStr">
        <is>
          <t>https://drive.google.com/file/d/1x0UkVSghoqqzzwFf7y0HgzoZgXkCaS8G/view?usp=drivesdk</t>
        </is>
      </c>
    </row>
    <row r="25" ht="12" customHeight="1">
      <c r="A25" t="inlineStr">
        <is>
          <t>202602</t>
        </is>
      </c>
      <c r="B25" t="inlineStr">
        <is>
          <t>INC</t>
        </is>
      </c>
      <c r="C25" t="inlineStr">
        <is>
          <t>opex</t>
        </is>
      </c>
      <c r="D25" t="inlineStr">
        <is>
          <t>administration</t>
        </is>
      </c>
      <c r="E25" t="inlineStr">
        <is>
          <t>IPOSTAL</t>
        </is>
      </c>
      <c r="F25" t="inlineStr">
        <is>
          <t>invoice</t>
        </is>
      </c>
      <c r="G25" s="4" t="n">
        <v>3.3</v>
      </c>
      <c r="H25" t="inlineStr">
        <is>
          <t>USD</t>
        </is>
      </c>
      <c r="I25" t="inlineStr">
        <is>
          <t>USD</t>
        </is>
      </c>
      <c r="J25" s="18" t="n">
        <v>1</v>
      </c>
      <c r="K25" s="4" t="n">
        <v>3.3</v>
      </c>
      <c r="L25" t="inlineStr">
        <is>
          <t>documents</t>
        </is>
      </c>
      <c r="M25" s="19" t="inlineStr">
        <is>
          <t>35722393</t>
        </is>
      </c>
      <c r="N25" t="inlineStr">
        <is>
          <t>https://drive.google.com/file/d/1YfOki42vge4FANfVk-MA2_HuwrNAPmOR/view?usp=drivesdk</t>
        </is>
      </c>
    </row>
    <row r="26" ht="12" customHeight="1">
      <c r="A26" t="inlineStr">
        <is>
          <t>202602</t>
        </is>
      </c>
      <c r="B26" t="inlineStr">
        <is>
          <t>INC</t>
        </is>
      </c>
      <c r="C26" t="inlineStr">
        <is>
          <t>opex</t>
        </is>
      </c>
      <c r="D26" t="inlineStr">
        <is>
          <t>administration</t>
        </is>
      </c>
      <c r="E26" t="inlineStr">
        <is>
          <t>IPOSTAL</t>
        </is>
      </c>
      <c r="F26" t="inlineStr">
        <is>
          <t>invoice</t>
        </is>
      </c>
      <c r="G26" s="4" t="n">
        <v>14.99</v>
      </c>
      <c r="H26" t="inlineStr">
        <is>
          <t>USD</t>
        </is>
      </c>
      <c r="I26" t="inlineStr">
        <is>
          <t>USD</t>
        </is>
      </c>
      <c r="J26" s="18" t="n">
        <v>1</v>
      </c>
      <c r="K26" s="4" t="n">
        <v>14.99</v>
      </c>
      <c r="L26" t="inlineStr">
        <is>
          <t>documents</t>
        </is>
      </c>
      <c r="M26" s="19" t="inlineStr">
        <is>
          <t>35894810</t>
        </is>
      </c>
      <c r="N26" t="inlineStr">
        <is>
          <t>https://drive.google.com/file/d/1yIsmWVg1oRuboG-zbYrLUho04HzIiIyK/view?usp=drivesdk</t>
        </is>
      </c>
    </row>
    <row r="27" ht="12" customHeight="1">
      <c r="A27" t="inlineStr">
        <is>
          <t>202602</t>
        </is>
      </c>
      <c r="B27" t="inlineStr">
        <is>
          <t>INC</t>
        </is>
      </c>
      <c r="C27" t="inlineStr">
        <is>
          <t>opex</t>
        </is>
      </c>
      <c r="D27" t="inlineStr">
        <is>
          <t>administration</t>
        </is>
      </c>
      <c r="E27" t="inlineStr">
        <is>
          <t>IPOSTAL</t>
        </is>
      </c>
      <c r="F27" t="inlineStr">
        <is>
          <t>invoice</t>
        </is>
      </c>
      <c r="G27" s="4" t="n">
        <v>1.1</v>
      </c>
      <c r="H27" t="inlineStr">
        <is>
          <t>USD</t>
        </is>
      </c>
      <c r="I27" t="inlineStr">
        <is>
          <t>USD</t>
        </is>
      </c>
      <c r="J27" s="18" t="n">
        <v>1</v>
      </c>
      <c r="K27" s="4" t="n">
        <v>1.1</v>
      </c>
      <c r="L27" t="inlineStr">
        <is>
          <t>documents</t>
        </is>
      </c>
      <c r="M27" s="19" t="inlineStr">
        <is>
          <t>35920058</t>
        </is>
      </c>
      <c r="N27" t="inlineStr">
        <is>
          <t>https://drive.google.com/file/d/1wXV9fWvwxyEBQq62-UJe49I7S0KXvaSG/view?usp=drivesdk</t>
        </is>
      </c>
    </row>
    <row r="28" ht="12" customHeight="1">
      <c r="A28" t="inlineStr">
        <is>
          <t>202602</t>
        </is>
      </c>
      <c r="B28" t="inlineStr">
        <is>
          <t>INC</t>
        </is>
      </c>
      <c r="C28" t="inlineStr">
        <is>
          <t>cogs</t>
        </is>
      </c>
      <c r="D28" t="inlineStr">
        <is>
          <t>manufacturing</t>
        </is>
      </c>
      <c r="E28" t="inlineStr">
        <is>
          <t>JONDO</t>
        </is>
      </c>
      <c r="F28" t="inlineStr">
        <is>
          <t>manufacturing</t>
        </is>
      </c>
      <c r="G28" s="4" t="n">
        <v>44.06</v>
      </c>
      <c r="H28" t="inlineStr">
        <is>
          <t>USD</t>
        </is>
      </c>
      <c r="I28" t="inlineStr">
        <is>
          <t>USD</t>
        </is>
      </c>
      <c r="J28" s="18" t="n">
        <v>1</v>
      </c>
      <c r="K28" s="4" t="n">
        <v>44.06</v>
      </c>
      <c r="L28" t="inlineStr">
        <is>
          <t>documents</t>
        </is>
      </c>
      <c r="M28" s="19" t="inlineStr">
        <is>
          <t>AS-97102</t>
        </is>
      </c>
      <c r="N28" t="inlineStr">
        <is>
          <t>https://drive.google.com/file/d/17yz-OjOD_OiscKegCKHsuLS2iph8Iq2Z/view?usp=drivesdk</t>
        </is>
      </c>
    </row>
    <row r="29" ht="12" customHeight="1">
      <c r="A29" t="inlineStr">
        <is>
          <t>202602</t>
        </is>
      </c>
      <c r="B29" t="inlineStr">
        <is>
          <t>INC</t>
        </is>
      </c>
      <c r="C29" t="inlineStr">
        <is>
          <t>cogs</t>
        </is>
      </c>
      <c r="D29" t="inlineStr">
        <is>
          <t>manufacturing</t>
        </is>
      </c>
      <c r="E29" t="inlineStr">
        <is>
          <t>JONDO</t>
        </is>
      </c>
      <c r="F29" t="inlineStr">
        <is>
          <t>manufacturing</t>
        </is>
      </c>
      <c r="G29" s="4" t="n">
        <v>36.82</v>
      </c>
      <c r="H29" t="inlineStr">
        <is>
          <t>USD</t>
        </is>
      </c>
      <c r="I29" t="inlineStr">
        <is>
          <t>USD</t>
        </is>
      </c>
      <c r="J29" s="18" t="n">
        <v>1</v>
      </c>
      <c r="K29" s="4" t="n">
        <v>36.82</v>
      </c>
      <c r="L29" t="inlineStr">
        <is>
          <t>documents</t>
        </is>
      </c>
      <c r="M29" s="19" t="inlineStr">
        <is>
          <t>AS-97313</t>
        </is>
      </c>
      <c r="N29" t="inlineStr">
        <is>
          <t>https://drive.google.com/file/d/1jDsCgTUxIQfP-43lMMhxyWNGIfFcyKi1/view?usp=drivesdk</t>
        </is>
      </c>
    </row>
    <row r="30" ht="12" customHeight="1">
      <c r="A30" t="inlineStr">
        <is>
          <t>202602</t>
        </is>
      </c>
      <c r="B30" t="inlineStr">
        <is>
          <t>INC</t>
        </is>
      </c>
      <c r="C30" t="inlineStr">
        <is>
          <t>cogs</t>
        </is>
      </c>
      <c r="D30" t="inlineStr">
        <is>
          <t>manufacturing</t>
        </is>
      </c>
      <c r="E30" t="inlineStr">
        <is>
          <t>JONDO</t>
        </is>
      </c>
      <c r="F30" t="inlineStr">
        <is>
          <t>manufacturing</t>
        </is>
      </c>
      <c r="G30" s="4" t="n">
        <v>93.04000000000001</v>
      </c>
      <c r="H30" t="inlineStr">
        <is>
          <t>USD</t>
        </is>
      </c>
      <c r="I30" t="inlineStr">
        <is>
          <t>USD</t>
        </is>
      </c>
      <c r="J30" s="18" t="n">
        <v>1</v>
      </c>
      <c r="K30" s="4" t="n">
        <v>93.04000000000001</v>
      </c>
      <c r="L30" t="inlineStr">
        <is>
          <t>documents</t>
        </is>
      </c>
      <c r="M30" s="19" t="inlineStr">
        <is>
          <t>AS-97766</t>
        </is>
      </c>
      <c r="N30" t="inlineStr">
        <is>
          <t>https://drive.google.com/file/d/1cRmaF6PcrmnIb2R1odSy7Vfe9PCmm33F/view?usp=drivesdk</t>
        </is>
      </c>
    </row>
    <row r="31" ht="12" customHeight="1">
      <c r="A31" t="inlineStr">
        <is>
          <t>202602</t>
        </is>
      </c>
      <c r="B31" t="inlineStr">
        <is>
          <t>INC</t>
        </is>
      </c>
      <c r="C31" t="inlineStr">
        <is>
          <t>cogs</t>
        </is>
      </c>
      <c r="D31" t="inlineStr">
        <is>
          <t>manufacturing</t>
        </is>
      </c>
      <c r="E31" t="inlineStr">
        <is>
          <t>JONDO</t>
        </is>
      </c>
      <c r="F31" t="inlineStr">
        <is>
          <t>manufacturing</t>
        </is>
      </c>
      <c r="G31" s="4" t="n">
        <v>71.59999999999999</v>
      </c>
      <c r="H31" t="inlineStr">
        <is>
          <t>USD</t>
        </is>
      </c>
      <c r="I31" t="inlineStr">
        <is>
          <t>USD</t>
        </is>
      </c>
      <c r="J31" s="18" t="n">
        <v>1</v>
      </c>
      <c r="K31" s="4" t="n">
        <v>71.59999999999999</v>
      </c>
      <c r="L31" t="inlineStr">
        <is>
          <t>documents</t>
        </is>
      </c>
      <c r="M31" s="19" t="inlineStr">
        <is>
          <t>AS-97929</t>
        </is>
      </c>
      <c r="N31" t="inlineStr">
        <is>
          <t>https://drive.google.com/file/d/1XSd6qUVZmmUut5jXHAu0boyCzx24IyXY/view?usp=drivesdk</t>
        </is>
      </c>
    </row>
    <row r="32" ht="12" customHeight="1">
      <c r="A32" t="inlineStr">
        <is>
          <t>202602</t>
        </is>
      </c>
      <c r="B32" t="inlineStr">
        <is>
          <t>INC</t>
        </is>
      </c>
      <c r="C32" t="inlineStr">
        <is>
          <t>cogs</t>
        </is>
      </c>
      <c r="D32" t="inlineStr">
        <is>
          <t>manufacturing</t>
        </is>
      </c>
      <c r="E32" t="inlineStr">
        <is>
          <t>JONDO</t>
        </is>
      </c>
      <c r="F32" t="inlineStr">
        <is>
          <t>manufacturing</t>
        </is>
      </c>
      <c r="G32" s="4" t="n">
        <v>44.06</v>
      </c>
      <c r="H32" t="inlineStr">
        <is>
          <t>USD</t>
        </is>
      </c>
      <c r="I32" t="inlineStr">
        <is>
          <t>USD</t>
        </is>
      </c>
      <c r="J32" s="18" t="n">
        <v>1</v>
      </c>
      <c r="K32" s="4" t="n">
        <v>44.06</v>
      </c>
      <c r="L32" t="inlineStr">
        <is>
          <t>documents</t>
        </is>
      </c>
      <c r="M32" s="19" t="inlineStr">
        <is>
          <t>AS-98182</t>
        </is>
      </c>
      <c r="N32" t="inlineStr">
        <is>
          <t>https://drive.google.com/file/d/18-431Zp6DTVo2m9HUh3SMuz2qyBKoLem/view?usp=drivesdk</t>
        </is>
      </c>
    </row>
    <row r="33" ht="12" customHeight="1">
      <c r="A33" t="inlineStr">
        <is>
          <t>202602</t>
        </is>
      </c>
      <c r="B33" t="inlineStr">
        <is>
          <t>INC</t>
        </is>
      </c>
      <c r="C33" t="inlineStr">
        <is>
          <t>cogs</t>
        </is>
      </c>
      <c r="D33" t="inlineStr">
        <is>
          <t>manufacturing</t>
        </is>
      </c>
      <c r="E33" t="inlineStr">
        <is>
          <t>JONDO</t>
        </is>
      </c>
      <c r="F33" t="inlineStr">
        <is>
          <t>manufacturing</t>
        </is>
      </c>
      <c r="G33" s="4" t="n">
        <v>36.82</v>
      </c>
      <c r="H33" t="inlineStr">
        <is>
          <t>USD</t>
        </is>
      </c>
      <c r="I33" t="inlineStr">
        <is>
          <t>USD</t>
        </is>
      </c>
      <c r="J33" s="18" t="n">
        <v>1</v>
      </c>
      <c r="K33" s="4" t="n">
        <v>36.82</v>
      </c>
      <c r="L33" t="inlineStr">
        <is>
          <t>documents</t>
        </is>
      </c>
      <c r="M33" s="19" t="inlineStr">
        <is>
          <t>AS-98184</t>
        </is>
      </c>
      <c r="N33" t="inlineStr">
        <is>
          <t>https://drive.google.com/file/d/1cP0o74jkhXdQk9aPXo7L1osS8x5cwT_j/view?usp=drivesdk</t>
        </is>
      </c>
    </row>
    <row r="34" ht="12" customHeight="1">
      <c r="A34" t="inlineStr">
        <is>
          <t>202602</t>
        </is>
      </c>
      <c r="B34" t="inlineStr">
        <is>
          <t>INC</t>
        </is>
      </c>
      <c r="C34" t="inlineStr">
        <is>
          <t>cogs</t>
        </is>
      </c>
      <c r="D34" t="inlineStr">
        <is>
          <t>manufacturing</t>
        </is>
      </c>
      <c r="E34" t="inlineStr">
        <is>
          <t>JONDO</t>
        </is>
      </c>
      <c r="F34" t="inlineStr">
        <is>
          <t>manufacturing</t>
        </is>
      </c>
      <c r="G34" s="4" t="n">
        <v>36.82</v>
      </c>
      <c r="H34" t="inlineStr">
        <is>
          <t>USD</t>
        </is>
      </c>
      <c r="I34" t="inlineStr">
        <is>
          <t>USD</t>
        </is>
      </c>
      <c r="J34" s="18" t="n">
        <v>1</v>
      </c>
      <c r="K34" s="4" t="n">
        <v>36.82</v>
      </c>
      <c r="L34" t="inlineStr">
        <is>
          <t>documents</t>
        </is>
      </c>
      <c r="M34" s="19" t="inlineStr">
        <is>
          <t>AS-98186</t>
        </is>
      </c>
      <c r="N34" t="inlineStr">
        <is>
          <t>https://drive.google.com/file/d/1MaJcncxz7W_PmnWCBLG0TWeEkCieXw6n/view?usp=drivesdk</t>
        </is>
      </c>
    </row>
    <row r="35" ht="12" customHeight="1">
      <c r="A35" t="inlineStr">
        <is>
          <t>202602</t>
        </is>
      </c>
      <c r="B35" t="inlineStr">
        <is>
          <t>INC</t>
        </is>
      </c>
      <c r="C35" t="inlineStr">
        <is>
          <t>cogs</t>
        </is>
      </c>
      <c r="D35" t="inlineStr">
        <is>
          <t>manufacturing</t>
        </is>
      </c>
      <c r="E35" t="inlineStr">
        <is>
          <t>JONDO</t>
        </is>
      </c>
      <c r="F35" t="inlineStr">
        <is>
          <t>manufacturing</t>
        </is>
      </c>
      <c r="G35" s="4" t="n">
        <v>44.06</v>
      </c>
      <c r="H35" t="inlineStr">
        <is>
          <t>USD</t>
        </is>
      </c>
      <c r="I35" t="inlineStr">
        <is>
          <t>USD</t>
        </is>
      </c>
      <c r="J35" s="18" t="n">
        <v>1</v>
      </c>
      <c r="K35" s="4" t="n">
        <v>44.06</v>
      </c>
      <c r="L35" t="inlineStr">
        <is>
          <t>documents</t>
        </is>
      </c>
      <c r="M35" s="19" t="inlineStr">
        <is>
          <t>AS-98295</t>
        </is>
      </c>
      <c r="N35" t="inlineStr">
        <is>
          <t>https://drive.google.com/file/d/1gPRda7kqtCsp7y3XsBonf8t2GHm4RxiY/view?usp=drivesdk</t>
        </is>
      </c>
    </row>
    <row r="36" ht="12" customHeight="1">
      <c r="A36" t="inlineStr">
        <is>
          <t>202602</t>
        </is>
      </c>
      <c r="B36" t="inlineStr">
        <is>
          <t>INC</t>
        </is>
      </c>
      <c r="C36" t="inlineStr">
        <is>
          <t>cogs</t>
        </is>
      </c>
      <c r="D36" t="inlineStr">
        <is>
          <t>manufacturing</t>
        </is>
      </c>
      <c r="E36" t="inlineStr">
        <is>
          <t>JONDO</t>
        </is>
      </c>
      <c r="F36" t="inlineStr">
        <is>
          <t>manufacturing</t>
        </is>
      </c>
      <c r="G36" s="4" t="n">
        <v>36.41</v>
      </c>
      <c r="H36" t="inlineStr">
        <is>
          <t>USD</t>
        </is>
      </c>
      <c r="I36" t="inlineStr">
        <is>
          <t>USD</t>
        </is>
      </c>
      <c r="J36" s="18" t="n">
        <v>1</v>
      </c>
      <c r="K36" s="4" t="n">
        <v>36.41</v>
      </c>
      <c r="L36" t="inlineStr">
        <is>
          <t>documents</t>
        </is>
      </c>
      <c r="M36" s="19" t="inlineStr">
        <is>
          <t>AS-98569</t>
        </is>
      </c>
      <c r="N36" t="inlineStr">
        <is>
          <t>https://drive.google.com/file/d/1CF9gddWi0M8W61isQoq9hLg1wgCd0YU0/view?usp=drivesdk</t>
        </is>
      </c>
    </row>
    <row r="37" ht="12" customHeight="1">
      <c r="A37" t="inlineStr">
        <is>
          <t>202602</t>
        </is>
      </c>
      <c r="B37" t="inlineStr">
        <is>
          <t>INC</t>
        </is>
      </c>
      <c r="C37" t="inlineStr">
        <is>
          <t>cogs</t>
        </is>
      </c>
      <c r="D37" t="inlineStr">
        <is>
          <t>manufacturing</t>
        </is>
      </c>
      <c r="E37" t="inlineStr">
        <is>
          <t>JONDO</t>
        </is>
      </c>
      <c r="F37" t="inlineStr">
        <is>
          <t>manufacturing</t>
        </is>
      </c>
      <c r="G37" s="4" t="n">
        <v>28.4</v>
      </c>
      <c r="H37" t="inlineStr">
        <is>
          <t>USD</t>
        </is>
      </c>
      <c r="I37" t="inlineStr">
        <is>
          <t>USD</t>
        </is>
      </c>
      <c r="J37" s="18" t="n">
        <v>1</v>
      </c>
      <c r="K37" s="4" t="n">
        <v>28.4</v>
      </c>
      <c r="L37" t="inlineStr">
        <is>
          <t>documents</t>
        </is>
      </c>
      <c r="M37" s="19" t="inlineStr">
        <is>
          <t>AS-98850</t>
        </is>
      </c>
      <c r="N37" t="inlineStr">
        <is>
          <t>https://drive.google.com/file/d/124eW3cPeSVU9chNVpkckm3lApHmcSpeY/view?usp=drivesdk</t>
        </is>
      </c>
    </row>
    <row r="38" ht="12" customHeight="1">
      <c r="A38" t="inlineStr">
        <is>
          <t>202602</t>
        </is>
      </c>
      <c r="B38" t="inlineStr">
        <is>
          <t>INC</t>
        </is>
      </c>
      <c r="C38" t="inlineStr">
        <is>
          <t>cogs</t>
        </is>
      </c>
      <c r="D38" t="inlineStr">
        <is>
          <t>manufacturing</t>
        </is>
      </c>
      <c r="E38" t="inlineStr">
        <is>
          <t>JONDO</t>
        </is>
      </c>
      <c r="F38" t="inlineStr">
        <is>
          <t>manufacturing</t>
        </is>
      </c>
      <c r="G38" s="4" t="n">
        <v>24.54</v>
      </c>
      <c r="H38" t="inlineStr">
        <is>
          <t>USD</t>
        </is>
      </c>
      <c r="I38" t="inlineStr">
        <is>
          <t>USD</t>
        </is>
      </c>
      <c r="J38" s="18" t="n">
        <v>1</v>
      </c>
      <c r="K38" s="4" t="n">
        <v>24.54</v>
      </c>
      <c r="L38" t="inlineStr">
        <is>
          <t>documents</t>
        </is>
      </c>
      <c r="M38" s="19" t="inlineStr">
        <is>
          <t>AS-99137</t>
        </is>
      </c>
      <c r="N38" t="inlineStr">
        <is>
          <t>https://drive.google.com/file/d/1UJD1YgQGDw_lhkgllw-qAY40gjr1CXD3/view?usp=drivesdk</t>
        </is>
      </c>
    </row>
    <row r="39" ht="12" customHeight="1">
      <c r="A39" t="inlineStr">
        <is>
          <t>202602</t>
        </is>
      </c>
      <c r="B39" t="inlineStr">
        <is>
          <t>INC</t>
        </is>
      </c>
      <c r="C39" t="inlineStr">
        <is>
          <t>cogs</t>
        </is>
      </c>
      <c r="D39" t="inlineStr">
        <is>
          <t>manufacturing</t>
        </is>
      </c>
      <c r="E39" t="inlineStr">
        <is>
          <t>JONDO</t>
        </is>
      </c>
      <c r="F39" t="inlineStr">
        <is>
          <t>manufacturing</t>
        </is>
      </c>
      <c r="G39" s="4" t="n">
        <v>15.64</v>
      </c>
      <c r="H39" t="inlineStr">
        <is>
          <t>USD</t>
        </is>
      </c>
      <c r="I39" t="inlineStr">
        <is>
          <t>USD</t>
        </is>
      </c>
      <c r="J39" s="18" t="n">
        <v>1</v>
      </c>
      <c r="K39" s="4" t="n">
        <v>15.64</v>
      </c>
      <c r="L39" t="inlineStr">
        <is>
          <t>documents</t>
        </is>
      </c>
      <c r="M39" s="19" t="inlineStr">
        <is>
          <t>AS-99148</t>
        </is>
      </c>
      <c r="N39" t="inlineStr">
        <is>
          <t>https://drive.google.com/file/d/15FcdLXRiAC-fc5rJJ0HumhzpjebgySO2/view?usp=drivesdk</t>
        </is>
      </c>
    </row>
    <row r="40" ht="12" customHeight="1">
      <c r="A40" t="inlineStr">
        <is>
          <t>202602</t>
        </is>
      </c>
      <c r="B40" t="inlineStr">
        <is>
          <t>INC</t>
        </is>
      </c>
      <c r="C40" t="inlineStr">
        <is>
          <t>cogs</t>
        </is>
      </c>
      <c r="D40" t="inlineStr">
        <is>
          <t>manufacturing</t>
        </is>
      </c>
      <c r="E40" t="inlineStr">
        <is>
          <t>JONDO</t>
        </is>
      </c>
      <c r="F40" t="inlineStr">
        <is>
          <t>manufacturing</t>
        </is>
      </c>
      <c r="G40" s="4" t="n">
        <v>93.04000000000001</v>
      </c>
      <c r="H40" t="inlineStr">
        <is>
          <t>USD</t>
        </is>
      </c>
      <c r="I40" t="inlineStr">
        <is>
          <t>USD</t>
        </is>
      </c>
      <c r="J40" s="18" t="n">
        <v>1</v>
      </c>
      <c r="K40" s="4" t="n">
        <v>93.04000000000001</v>
      </c>
      <c r="L40" t="inlineStr">
        <is>
          <t>documents</t>
        </is>
      </c>
      <c r="M40" s="19" t="inlineStr">
        <is>
          <t>AS-99337</t>
        </is>
      </c>
      <c r="N40" t="inlineStr">
        <is>
          <t>https://drive.google.com/file/d/1qCQb7DfrhSMf1s5fBDZI6Cr38Ujt69gI/view?usp=drivesdk</t>
        </is>
      </c>
    </row>
    <row r="41" ht="12" customHeight="1">
      <c r="A41" t="inlineStr">
        <is>
          <t>202602</t>
        </is>
      </c>
      <c r="B41" t="inlineStr">
        <is>
          <t>INC</t>
        </is>
      </c>
      <c r="C41" t="inlineStr">
        <is>
          <t>cogs</t>
        </is>
      </c>
      <c r="D41" t="inlineStr">
        <is>
          <t>manufacturing</t>
        </is>
      </c>
      <c r="E41" t="inlineStr">
        <is>
          <t>JONDO</t>
        </is>
      </c>
      <c r="F41" t="inlineStr">
        <is>
          <t>manufacturing</t>
        </is>
      </c>
      <c r="G41" s="4" t="n">
        <v>182.02</v>
      </c>
      <c r="H41" t="inlineStr">
        <is>
          <t>USD</t>
        </is>
      </c>
      <c r="I41" t="inlineStr">
        <is>
          <t>USD</t>
        </is>
      </c>
      <c r="J41" s="18" t="n">
        <v>1</v>
      </c>
      <c r="K41" s="4" t="n">
        <v>182.02</v>
      </c>
      <c r="L41" t="inlineStr">
        <is>
          <t>documents</t>
        </is>
      </c>
      <c r="M41" s="19" t="inlineStr">
        <is>
          <t>AS-99436</t>
        </is>
      </c>
      <c r="N41" t="inlineStr">
        <is>
          <t>https://drive.google.com/file/d/16HigSV6-0JvXWtaIr0tm6I9tZmtUDVtP/view?usp=drivesdk</t>
        </is>
      </c>
    </row>
    <row r="42" ht="12" customHeight="1">
      <c r="A42" t="inlineStr">
        <is>
          <t>202602</t>
        </is>
      </c>
      <c r="B42" t="inlineStr">
        <is>
          <t>INC</t>
        </is>
      </c>
      <c r="C42" t="inlineStr">
        <is>
          <t>cogs</t>
        </is>
      </c>
      <c r="D42" t="inlineStr">
        <is>
          <t>manufacturing</t>
        </is>
      </c>
      <c r="E42" t="inlineStr">
        <is>
          <t>JONDO</t>
        </is>
      </c>
      <c r="F42" t="inlineStr">
        <is>
          <t>manufacturing</t>
        </is>
      </c>
      <c r="G42" s="4" t="n">
        <v>44.06</v>
      </c>
      <c r="H42" t="inlineStr">
        <is>
          <t>USD</t>
        </is>
      </c>
      <c r="I42" t="inlineStr">
        <is>
          <t>USD</t>
        </is>
      </c>
      <c r="J42" s="18" t="n">
        <v>1</v>
      </c>
      <c r="K42" s="4" t="n">
        <v>44.06</v>
      </c>
      <c r="L42" t="inlineStr">
        <is>
          <t>documents</t>
        </is>
      </c>
      <c r="M42" s="19" t="inlineStr">
        <is>
          <t>AS-99460</t>
        </is>
      </c>
      <c r="N42" t="inlineStr">
        <is>
          <t>https://drive.google.com/file/d/16TRaXUZMQYZeQPs1Vj3jmfRAukB4q81A/view?usp=drivesdk</t>
        </is>
      </c>
    </row>
    <row r="43" ht="12" customHeight="1">
      <c r="A43" t="inlineStr">
        <is>
          <t>202602</t>
        </is>
      </c>
      <c r="B43" t="inlineStr">
        <is>
          <t>INC</t>
        </is>
      </c>
      <c r="C43" t="inlineStr">
        <is>
          <t>cogs</t>
        </is>
      </c>
      <c r="D43" t="inlineStr">
        <is>
          <t>manufacturing</t>
        </is>
      </c>
      <c r="E43" t="inlineStr">
        <is>
          <t>JONDO</t>
        </is>
      </c>
      <c r="F43" t="inlineStr">
        <is>
          <t>manufacturing</t>
        </is>
      </c>
      <c r="G43" s="4" t="n">
        <v>71.59999999999999</v>
      </c>
      <c r="H43" t="inlineStr">
        <is>
          <t>USD</t>
        </is>
      </c>
      <c r="I43" t="inlineStr">
        <is>
          <t>USD</t>
        </is>
      </c>
      <c r="J43" s="18" t="n">
        <v>1</v>
      </c>
      <c r="K43" s="4" t="n">
        <v>71.59999999999999</v>
      </c>
      <c r="L43" t="inlineStr">
        <is>
          <t>documents</t>
        </is>
      </c>
      <c r="M43" s="19" t="inlineStr">
        <is>
          <t>AS-99461</t>
        </is>
      </c>
      <c r="N43" t="inlineStr">
        <is>
          <t>https://drive.google.com/file/d/1oQJmNDemN2VYUTX6QTYyicXd9Jd_sfP9/view?usp=drivesdk</t>
        </is>
      </c>
    </row>
    <row r="44" ht="12" customHeight="1">
      <c r="A44" t="inlineStr">
        <is>
          <t>202602</t>
        </is>
      </c>
      <c r="B44" t="inlineStr">
        <is>
          <t>INC</t>
        </is>
      </c>
      <c r="C44" t="inlineStr">
        <is>
          <t>cogs</t>
        </is>
      </c>
      <c r="D44" t="inlineStr">
        <is>
          <t>manufacturing</t>
        </is>
      </c>
      <c r="E44" t="inlineStr">
        <is>
          <t>JONDO</t>
        </is>
      </c>
      <c r="F44" t="inlineStr">
        <is>
          <t>manufacturing</t>
        </is>
      </c>
      <c r="G44" s="4" t="n">
        <v>56.22</v>
      </c>
      <c r="H44" t="inlineStr">
        <is>
          <t>USD</t>
        </is>
      </c>
      <c r="I44" t="inlineStr">
        <is>
          <t>USD</t>
        </is>
      </c>
      <c r="J44" s="18" t="n">
        <v>1</v>
      </c>
      <c r="K44" s="4" t="n">
        <v>56.22</v>
      </c>
      <c r="L44" t="inlineStr">
        <is>
          <t>documents</t>
        </is>
      </c>
      <c r="M44" s="19" t="inlineStr">
        <is>
          <t>AS-99636</t>
        </is>
      </c>
      <c r="N44" t="inlineStr">
        <is>
          <t>https://drive.google.com/file/d/1-cHfa02zhjklsbE1q-cLpj5dZxl0FAh1/view?usp=drivesdk</t>
        </is>
      </c>
    </row>
    <row r="45" ht="12" customHeight="1">
      <c r="A45" t="inlineStr">
        <is>
          <t>202602</t>
        </is>
      </c>
      <c r="B45" t="inlineStr">
        <is>
          <t>INC</t>
        </is>
      </c>
      <c r="C45" t="inlineStr">
        <is>
          <t>cogs</t>
        </is>
      </c>
      <c r="D45" t="inlineStr">
        <is>
          <t>manufacturing</t>
        </is>
      </c>
      <c r="E45" t="inlineStr">
        <is>
          <t>JONDO</t>
        </is>
      </c>
      <c r="F45" t="inlineStr">
        <is>
          <t>manufacturing</t>
        </is>
      </c>
      <c r="G45" s="4" t="n">
        <v>20.5</v>
      </c>
      <c r="H45" t="inlineStr">
        <is>
          <t>USD</t>
        </is>
      </c>
      <c r="I45" t="inlineStr">
        <is>
          <t>USD</t>
        </is>
      </c>
      <c r="J45" s="18" t="n">
        <v>1</v>
      </c>
      <c r="K45" s="4" t="n">
        <v>20.5</v>
      </c>
      <c r="L45" t="inlineStr">
        <is>
          <t>documents</t>
        </is>
      </c>
      <c r="M45" s="19" t="inlineStr">
        <is>
          <t>AS-99795</t>
        </is>
      </c>
      <c r="N45" t="inlineStr">
        <is>
          <t>https://drive.google.com/file/d/1u1gkkYGB0B7zP2eCx87KEw2V5LsGNihA/view?usp=drivesdk</t>
        </is>
      </c>
    </row>
    <row r="46" ht="12" customHeight="1">
      <c r="A46" t="inlineStr">
        <is>
          <t>202602</t>
        </is>
      </c>
      <c r="B46" t="inlineStr">
        <is>
          <t>INC</t>
        </is>
      </c>
      <c r="C46" t="inlineStr">
        <is>
          <t>opex</t>
        </is>
      </c>
      <c r="D46" t="inlineStr">
        <is>
          <t>administration</t>
        </is>
      </c>
      <c r="E46" t="inlineStr">
        <is>
          <t>QUICKBOOKS</t>
        </is>
      </c>
      <c r="F46" t="inlineStr">
        <is>
          <t>invoice</t>
        </is>
      </c>
      <c r="G46" s="4" t="n">
        <v>121.9</v>
      </c>
      <c r="H46" t="inlineStr">
        <is>
          <t>USD</t>
        </is>
      </c>
      <c r="I46" t="inlineStr">
        <is>
          <t>USD</t>
        </is>
      </c>
      <c r="J46" s="18" t="n">
        <v>1</v>
      </c>
      <c r="K46" s="4" t="n">
        <v>121.9</v>
      </c>
      <c r="L46" t="inlineStr">
        <is>
          <t>documents</t>
        </is>
      </c>
      <c r="M46" s="19" t="inlineStr">
        <is>
          <t>10001466838914</t>
        </is>
      </c>
      <c r="N46" t="inlineStr">
        <is>
          <t>https://drive.google.com/file/d/1iQV7Ay6VzQkBn1F-2LKdlzE6SlYah9nh/view?usp=drivesdk</t>
        </is>
      </c>
    </row>
    <row r="47" ht="12" customHeight="1">
      <c r="A47" t="inlineStr">
        <is>
          <t>202602</t>
        </is>
      </c>
      <c r="B47" t="inlineStr">
        <is>
          <t>INC</t>
        </is>
      </c>
      <c r="C47" t="inlineStr">
        <is>
          <t>opex</t>
        </is>
      </c>
      <c r="D47" t="inlineStr">
        <is>
          <t>administration</t>
        </is>
      </c>
      <c r="E47" t="inlineStr">
        <is>
          <t>REGUS</t>
        </is>
      </c>
      <c r="F47" t="inlineStr">
        <is>
          <t>invoice</t>
        </is>
      </c>
      <c r="G47" s="4" t="n">
        <v>31.8</v>
      </c>
      <c r="H47" t="inlineStr">
        <is>
          <t>USD</t>
        </is>
      </c>
      <c r="I47" t="inlineStr">
        <is>
          <t>USD</t>
        </is>
      </c>
      <c r="J47" s="18" t="n">
        <v>1</v>
      </c>
      <c r="K47" s="4" t="n">
        <v>31.8</v>
      </c>
      <c r="L47" t="inlineStr">
        <is>
          <t>documents</t>
        </is>
      </c>
      <c r="M47" s="19" t="inlineStr">
        <is>
          <t>3313-43718</t>
        </is>
      </c>
      <c r="N47" t="inlineStr">
        <is>
          <t>https://drive.google.com/file/d/1NS01lvut_GaX32JXr0pbMFEHm2VsNjei/view?usp=drivesdk</t>
        </is>
      </c>
    </row>
    <row r="48" ht="12" customHeight="1">
      <c r="A48" t="inlineStr">
        <is>
          <t>202602</t>
        </is>
      </c>
      <c r="B48" t="inlineStr">
        <is>
          <t>INC</t>
        </is>
      </c>
      <c r="C48" t="inlineStr">
        <is>
          <t>opex</t>
        </is>
      </c>
      <c r="D48" t="inlineStr">
        <is>
          <t>shared_services</t>
        </is>
      </c>
      <c r="E48" t="inlineStr">
        <is>
          <t>SHAREDSERVICESSL</t>
        </is>
      </c>
      <c r="F48" t="inlineStr">
        <is>
          <t>invoice</t>
        </is>
      </c>
      <c r="G48" s="4" t="n">
        <v>8462.360000000001</v>
      </c>
      <c r="H48" t="inlineStr">
        <is>
          <t>EUR</t>
        </is>
      </c>
      <c r="I48" t="inlineStr">
        <is>
          <t>USD</t>
        </is>
      </c>
      <c r="J48" s="18" t="n">
        <v>1.1805</v>
      </c>
      <c r="K48" s="4" t="n">
        <v>9989.82</v>
      </c>
      <c r="L48" t="inlineStr">
        <is>
          <t>documents</t>
        </is>
      </c>
      <c r="M48" s="19" t="inlineStr">
        <is>
          <t>2026-0014</t>
        </is>
      </c>
      <c r="N48" t="inlineStr">
        <is>
          <t>https://drive.google.com/file/d/1rlqcAuJUaWxt0Udjbpq3E6fP_lfRq58_/view?usp=drivesdk</t>
        </is>
      </c>
    </row>
    <row r="49" ht="12" customHeight="1">
      <c r="A49" t="inlineStr">
        <is>
          <t>202602</t>
        </is>
      </c>
      <c r="B49" t="inlineStr">
        <is>
          <t>INC</t>
        </is>
      </c>
      <c r="C49" t="inlineStr">
        <is>
          <t>cogs</t>
        </is>
      </c>
      <c r="D49" t="inlineStr">
        <is>
          <t>logistics</t>
        </is>
      </c>
      <c r="E49" t="inlineStr">
        <is>
          <t>TGI</t>
        </is>
      </c>
      <c r="F49" t="inlineStr">
        <is>
          <t>logistics</t>
        </is>
      </c>
      <c r="G49" s="4" t="n">
        <v>4445.62</v>
      </c>
      <c r="H49" t="inlineStr">
        <is>
          <t>USD</t>
        </is>
      </c>
      <c r="I49" t="inlineStr">
        <is>
          <t>USD</t>
        </is>
      </c>
      <c r="J49" s="18" t="n">
        <v>1</v>
      </c>
      <c r="K49" s="4" t="n">
        <v>4445.62</v>
      </c>
      <c r="L49" t="inlineStr">
        <is>
          <t>documents</t>
        </is>
      </c>
      <c r="M49" s="19" t="inlineStr">
        <is>
          <t>171420</t>
        </is>
      </c>
      <c r="N49" t="inlineStr">
        <is>
          <t>https://drive.google.com/file/d/1InywJ9PnYh3UCqxE9lRE2PWmjWaBcmnD/view?usp=drivesdk</t>
        </is>
      </c>
    </row>
    <row r="50" ht="12" customHeight="1">
      <c r="A50" t="inlineStr">
        <is>
          <t>202602</t>
        </is>
      </c>
      <c r="B50" t="inlineStr">
        <is>
          <t>INC</t>
        </is>
      </c>
      <c r="C50" t="inlineStr">
        <is>
          <t>cogs</t>
        </is>
      </c>
      <c r="D50" t="inlineStr">
        <is>
          <t>manufacturing</t>
        </is>
      </c>
      <c r="E50" t="inlineStr">
        <is>
          <t>TGI</t>
        </is>
      </c>
      <c r="F50" t="inlineStr">
        <is>
          <t>manufacturing</t>
        </is>
      </c>
      <c r="G50" s="4" t="n">
        <v>2616.28</v>
      </c>
      <c r="H50" t="inlineStr">
        <is>
          <t>USD</t>
        </is>
      </c>
      <c r="I50" t="inlineStr">
        <is>
          <t>USD</t>
        </is>
      </c>
      <c r="J50" s="18" t="n">
        <v>1</v>
      </c>
      <c r="K50" s="4" t="n">
        <v>2616.28</v>
      </c>
      <c r="L50" t="inlineStr">
        <is>
          <t>documents</t>
        </is>
      </c>
      <c r="M50" s="19" t="inlineStr">
        <is>
          <t>171421</t>
        </is>
      </c>
      <c r="N50" t="inlineStr">
        <is>
          <t>https://drive.google.com/file/d/1PO_RD2CHNRNOEBltczl9fkFpwCsNwxPc/view?usp=drivesdk</t>
        </is>
      </c>
    </row>
    <row r="51" ht="12" customHeight="1">
      <c r="A51" t="inlineStr">
        <is>
          <t>202603</t>
        </is>
      </c>
      <c r="B51" t="inlineStr">
        <is>
          <t>INC</t>
        </is>
      </c>
      <c r="C51" t="inlineStr">
        <is>
          <t>opex</t>
        </is>
      </c>
      <c r="D51" t="inlineStr">
        <is>
          <t>administration</t>
        </is>
      </c>
      <c r="E51" t="inlineStr">
        <is>
          <t>CONTINUUM</t>
        </is>
      </c>
      <c r="F51" t="inlineStr">
        <is>
          <t>invoice</t>
        </is>
      </c>
      <c r="G51" s="4" t="n">
        <v>1150</v>
      </c>
      <c r="H51" t="inlineStr">
        <is>
          <t>USD</t>
        </is>
      </c>
      <c r="I51" t="inlineStr">
        <is>
          <t>USD</t>
        </is>
      </c>
      <c r="J51" s="18" t="n">
        <v>1</v>
      </c>
      <c r="K51" s="4" t="n">
        <v>1150</v>
      </c>
      <c r="L51" t="inlineStr">
        <is>
          <t>documents</t>
        </is>
      </c>
      <c r="M51" s="19" t="inlineStr">
        <is>
          <t>1253</t>
        </is>
      </c>
      <c r="N51" t="inlineStr">
        <is>
          <t>https://drive.google.com/file/d/10g4rvQi3froy77rnSdW_9mo36rDSW1U2/view?usp=drivesdk</t>
        </is>
      </c>
    </row>
    <row r="52" ht="12" customHeight="1">
      <c r="A52" t="inlineStr">
        <is>
          <t>202603</t>
        </is>
      </c>
      <c r="B52" t="inlineStr">
        <is>
          <t>INC</t>
        </is>
      </c>
      <c r="C52" t="inlineStr">
        <is>
          <t>opex</t>
        </is>
      </c>
      <c r="D52" t="inlineStr">
        <is>
          <t>administration</t>
        </is>
      </c>
      <c r="E52" t="inlineStr">
        <is>
          <t>DELAWARE</t>
        </is>
      </c>
      <c r="F52" t="inlineStr">
        <is>
          <t>invoice</t>
        </is>
      </c>
      <c r="G52" s="4" t="n">
        <v>99</v>
      </c>
      <c r="H52" t="inlineStr">
        <is>
          <t>USD</t>
        </is>
      </c>
      <c r="I52" t="inlineStr">
        <is>
          <t>USD</t>
        </is>
      </c>
      <c r="J52" s="18" t="n">
        <v>1</v>
      </c>
      <c r="K52" s="4" t="n">
        <v>99</v>
      </c>
      <c r="L52" t="inlineStr">
        <is>
          <t>documents</t>
        </is>
      </c>
      <c r="M52" s="19" t="inlineStr">
        <is>
          <t>6FF58AC</t>
        </is>
      </c>
      <c r="N52" t="inlineStr">
        <is>
          <t>https://drive.google.com/file/d/1b3lRk0uvFhmBHXBXSVqk0Z_qtSygPXDE/view</t>
        </is>
      </c>
    </row>
    <row r="53" ht="12" customHeight="1">
      <c r="A53" t="inlineStr">
        <is>
          <t>202603</t>
        </is>
      </c>
      <c r="B53" t="inlineStr">
        <is>
          <t>INC</t>
        </is>
      </c>
      <c r="C53" t="inlineStr">
        <is>
          <t>opex</t>
        </is>
      </c>
      <c r="D53" t="inlineStr">
        <is>
          <t>administration</t>
        </is>
      </c>
      <c r="E53" t="inlineStr">
        <is>
          <t>HUSHED</t>
        </is>
      </c>
      <c r="F53" t="inlineStr">
        <is>
          <t>invoice</t>
        </is>
      </c>
      <c r="G53" s="4" t="n">
        <v>4.99</v>
      </c>
      <c r="H53" t="inlineStr">
        <is>
          <t>USD</t>
        </is>
      </c>
      <c r="I53" t="inlineStr">
        <is>
          <t>USD</t>
        </is>
      </c>
      <c r="J53" s="18" t="n">
        <v>1</v>
      </c>
      <c r="K53" s="4" t="n">
        <v>4.99</v>
      </c>
      <c r="L53" t="inlineStr">
        <is>
          <t>documents</t>
        </is>
      </c>
      <c r="M53" s="19" t="inlineStr">
        <is>
          <t>2262-7837</t>
        </is>
      </c>
      <c r="N53" t="inlineStr">
        <is>
          <t>https://drive.google.com/file/d/176yfc70ezTIGdi4KorC09_glKVNPgXHX/view?usp=drivesdk</t>
        </is>
      </c>
    </row>
    <row r="54" ht="12" customHeight="1">
      <c r="A54" t="inlineStr">
        <is>
          <t>202603</t>
        </is>
      </c>
      <c r="B54" t="inlineStr">
        <is>
          <t>INC</t>
        </is>
      </c>
      <c r="C54" t="inlineStr">
        <is>
          <t>opex</t>
        </is>
      </c>
      <c r="D54" t="inlineStr">
        <is>
          <t>administration</t>
        </is>
      </c>
      <c r="E54" t="inlineStr">
        <is>
          <t>IPOSTAL</t>
        </is>
      </c>
      <c r="F54" t="inlineStr">
        <is>
          <t>invoice</t>
        </is>
      </c>
      <c r="G54" s="4" t="n">
        <v>1.1</v>
      </c>
      <c r="H54" t="inlineStr">
        <is>
          <t>USD</t>
        </is>
      </c>
      <c r="I54" t="inlineStr">
        <is>
          <t>USD</t>
        </is>
      </c>
      <c r="J54" s="18" t="n">
        <v>1</v>
      </c>
      <c r="K54" s="4" t="n">
        <v>1.1</v>
      </c>
      <c r="L54" t="inlineStr">
        <is>
          <t>documents</t>
        </is>
      </c>
      <c r="M54" s="19" t="inlineStr">
        <is>
          <t>36093781</t>
        </is>
      </c>
      <c r="N54" t="inlineStr">
        <is>
          <t>https://drive.google.com/file/d/12HKshlwi77vzpCgTTirEXD-MZNuhFA-c/view?usp=drivesdk</t>
        </is>
      </c>
    </row>
    <row r="55" ht="12" customHeight="1">
      <c r="A55" t="inlineStr">
        <is>
          <t>202603</t>
        </is>
      </c>
      <c r="B55" t="inlineStr">
        <is>
          <t>INC</t>
        </is>
      </c>
      <c r="C55" t="inlineStr">
        <is>
          <t>opex</t>
        </is>
      </c>
      <c r="D55" t="inlineStr">
        <is>
          <t>administration</t>
        </is>
      </c>
      <c r="E55" t="inlineStr">
        <is>
          <t>IPOSTAL</t>
        </is>
      </c>
      <c r="F55" t="inlineStr">
        <is>
          <t>invoice</t>
        </is>
      </c>
      <c r="G55" s="4" t="n">
        <v>3.3</v>
      </c>
      <c r="H55" t="inlineStr">
        <is>
          <t>USD</t>
        </is>
      </c>
      <c r="I55" t="inlineStr">
        <is>
          <t>USD</t>
        </is>
      </c>
      <c r="J55" s="18" t="n">
        <v>1</v>
      </c>
      <c r="K55" s="4" t="n">
        <v>3.3</v>
      </c>
      <c r="L55" t="inlineStr">
        <is>
          <t>documents</t>
        </is>
      </c>
      <c r="M55" s="19" t="inlineStr">
        <is>
          <t>36265975</t>
        </is>
      </c>
      <c r="N55" t="inlineStr">
        <is>
          <t>https://drive.google.com/file/d/1LmADNjxt37qcWuUuhWGuUTAjIyKHA5TN/view?usp=drivesdk</t>
        </is>
      </c>
    </row>
    <row r="56" ht="12" customHeight="1">
      <c r="A56" t="inlineStr">
        <is>
          <t>202603</t>
        </is>
      </c>
      <c r="B56" t="inlineStr">
        <is>
          <t>INC</t>
        </is>
      </c>
      <c r="C56" t="inlineStr">
        <is>
          <t>opex</t>
        </is>
      </c>
      <c r="D56" t="inlineStr">
        <is>
          <t>administration</t>
        </is>
      </c>
      <c r="E56" t="inlineStr">
        <is>
          <t>IPOSTAL</t>
        </is>
      </c>
      <c r="F56" t="inlineStr">
        <is>
          <t>invoice</t>
        </is>
      </c>
      <c r="G56" s="4" t="n">
        <v>3.3</v>
      </c>
      <c r="H56" t="inlineStr">
        <is>
          <t>USD</t>
        </is>
      </c>
      <c r="I56" t="inlineStr">
        <is>
          <t>USD</t>
        </is>
      </c>
      <c r="J56" s="18" t="n">
        <v>1</v>
      </c>
      <c r="K56" s="4" t="n">
        <v>3.3</v>
      </c>
      <c r="L56" t="inlineStr">
        <is>
          <t>documents</t>
        </is>
      </c>
      <c r="M56" s="19" t="inlineStr">
        <is>
          <t>36427002</t>
        </is>
      </c>
      <c r="N56" t="inlineStr">
        <is>
          <t>https://drive.google.com/file/d/1T9KWZxBKxvW0g6TR87InMH1N6L7fKbK-/view?usp=drivesdk</t>
        </is>
      </c>
    </row>
    <row r="57" ht="12" customHeight="1">
      <c r="A57" t="inlineStr">
        <is>
          <t>202603</t>
        </is>
      </c>
      <c r="B57" t="inlineStr">
        <is>
          <t>INC</t>
        </is>
      </c>
      <c r="C57" t="inlineStr">
        <is>
          <t>opex</t>
        </is>
      </c>
      <c r="D57" t="inlineStr">
        <is>
          <t>administration</t>
        </is>
      </c>
      <c r="E57" t="inlineStr">
        <is>
          <t>IPOSTAL</t>
        </is>
      </c>
      <c r="F57" t="inlineStr">
        <is>
          <t>invoice</t>
        </is>
      </c>
      <c r="G57" s="4" t="n">
        <v>10</v>
      </c>
      <c r="H57" t="inlineStr">
        <is>
          <t>USD</t>
        </is>
      </c>
      <c r="I57" t="inlineStr">
        <is>
          <t>USD</t>
        </is>
      </c>
      <c r="J57" s="18" t="n">
        <v>1</v>
      </c>
      <c r="K57" s="4" t="n">
        <v>10</v>
      </c>
      <c r="L57" t="inlineStr">
        <is>
          <t>documents</t>
        </is>
      </c>
      <c r="M57" s="19" t="inlineStr">
        <is>
          <t>36541238</t>
        </is>
      </c>
      <c r="N57" t="inlineStr">
        <is>
          <t>https://drive.google.com/file/d/1q2P_FQTEKlc2oi9V12k0V2g4Ly8j4pcm/view?usp=drivesdk</t>
        </is>
      </c>
    </row>
    <row r="58" ht="12" customHeight="1">
      <c r="A58" t="inlineStr">
        <is>
          <t>202603</t>
        </is>
      </c>
      <c r="B58" t="inlineStr">
        <is>
          <t>INC</t>
        </is>
      </c>
      <c r="C58" t="inlineStr">
        <is>
          <t>opex</t>
        </is>
      </c>
      <c r="D58" t="inlineStr">
        <is>
          <t>administration</t>
        </is>
      </c>
      <c r="E58" t="inlineStr">
        <is>
          <t>IPOSTAL</t>
        </is>
      </c>
      <c r="F58" t="inlineStr">
        <is>
          <t>invoice</t>
        </is>
      </c>
      <c r="G58" s="4" t="n">
        <v>14.99</v>
      </c>
      <c r="H58" t="inlineStr">
        <is>
          <t>USD</t>
        </is>
      </c>
      <c r="I58" t="inlineStr">
        <is>
          <t>USD</t>
        </is>
      </c>
      <c r="J58" s="18" t="n">
        <v>1</v>
      </c>
      <c r="K58" s="4" t="n">
        <v>14.99</v>
      </c>
      <c r="L58" t="inlineStr">
        <is>
          <t>documents</t>
        </is>
      </c>
      <c r="M58" s="19" t="inlineStr">
        <is>
          <t>36584953</t>
        </is>
      </c>
      <c r="N58" t="inlineStr">
        <is>
          <t>https://drive.google.com/file/d/1qtaz8f1JVhjTszda1jSXMoHUhdimgxN4/view?usp=drivesdk</t>
        </is>
      </c>
    </row>
    <row r="59" ht="12" customHeight="1">
      <c r="A59" t="inlineStr">
        <is>
          <t>202603</t>
        </is>
      </c>
      <c r="B59" t="inlineStr">
        <is>
          <t>INC</t>
        </is>
      </c>
      <c r="C59" t="inlineStr">
        <is>
          <t>opex</t>
        </is>
      </c>
      <c r="D59" t="inlineStr">
        <is>
          <t>administration</t>
        </is>
      </c>
      <c r="E59" t="inlineStr">
        <is>
          <t>IPOSTAL</t>
        </is>
      </c>
      <c r="F59" t="inlineStr">
        <is>
          <t>invoice</t>
        </is>
      </c>
      <c r="G59" s="4" t="n">
        <v>1.1</v>
      </c>
      <c r="H59" t="inlineStr">
        <is>
          <t>USD</t>
        </is>
      </c>
      <c r="I59" t="inlineStr">
        <is>
          <t>USD</t>
        </is>
      </c>
      <c r="J59" s="18" t="n">
        <v>1</v>
      </c>
      <c r="K59" s="4" t="n">
        <v>1.1</v>
      </c>
      <c r="L59" t="inlineStr">
        <is>
          <t>documents</t>
        </is>
      </c>
      <c r="M59" s="19" t="inlineStr">
        <is>
          <t>36600953</t>
        </is>
      </c>
      <c r="N59" t="inlineStr">
        <is>
          <t>https://drive.google.com/file/d/148hQ1ctHcLYbkGm3jEcIflExnc5ngCjE/view?usp=drivesdk</t>
        </is>
      </c>
    </row>
    <row r="60" ht="12" customHeight="1">
      <c r="A60" t="inlineStr">
        <is>
          <t>202603</t>
        </is>
      </c>
      <c r="B60" t="inlineStr">
        <is>
          <t>INC</t>
        </is>
      </c>
      <c r="C60" t="inlineStr">
        <is>
          <t>cogs</t>
        </is>
      </c>
      <c r="D60" t="inlineStr">
        <is>
          <t>manufacturing</t>
        </is>
      </c>
      <c r="E60" t="inlineStr">
        <is>
          <t>JONDO</t>
        </is>
      </c>
      <c r="F60" t="inlineStr">
        <is>
          <t>invoice</t>
        </is>
      </c>
      <c r="G60" s="4" t="n">
        <v>42.06</v>
      </c>
      <c r="H60" t="inlineStr">
        <is>
          <t>USD</t>
        </is>
      </c>
      <c r="I60" t="inlineStr">
        <is>
          <t>USD</t>
        </is>
      </c>
      <c r="J60" s="18" t="n">
        <v>1</v>
      </c>
      <c r="K60" s="4" t="n">
        <v>42.06</v>
      </c>
      <c r="L60" t="inlineStr">
        <is>
          <t>documents</t>
        </is>
      </c>
      <c r="M60" s="19" t="inlineStr">
        <is>
          <t>AS-100001</t>
        </is>
      </c>
      <c r="N60" t="inlineStr">
        <is>
          <t>https://drive.google.com/file/d/1R0UDJ1fU0jyIr6k39RjCTcQLgDGhaZkb/view?usp=drivesdk</t>
        </is>
      </c>
    </row>
    <row r="61" ht="12" customHeight="1">
      <c r="A61" t="inlineStr">
        <is>
          <t>202603</t>
        </is>
      </c>
      <c r="B61" t="inlineStr">
        <is>
          <t>INC</t>
        </is>
      </c>
      <c r="C61" t="inlineStr">
        <is>
          <t>cogs</t>
        </is>
      </c>
      <c r="D61" t="inlineStr">
        <is>
          <t>manufacturing</t>
        </is>
      </c>
      <c r="E61" t="inlineStr">
        <is>
          <t>JONDO</t>
        </is>
      </c>
      <c r="F61" t="inlineStr">
        <is>
          <t>manufacturing</t>
        </is>
      </c>
      <c r="G61" s="4" t="n">
        <v>93.04000000000001</v>
      </c>
      <c r="H61" t="inlineStr">
        <is>
          <t>USD</t>
        </is>
      </c>
      <c r="I61" t="inlineStr">
        <is>
          <t>USD</t>
        </is>
      </c>
      <c r="J61" s="18" t="n">
        <v>1</v>
      </c>
      <c r="K61" s="4" t="n">
        <v>93.04000000000001</v>
      </c>
      <c r="L61" t="inlineStr">
        <is>
          <t>documents</t>
        </is>
      </c>
      <c r="M61" s="19" t="inlineStr">
        <is>
          <t>AS-100189</t>
        </is>
      </c>
      <c r="N61" t="inlineStr">
        <is>
          <t>https://drive.google.com/file/d/1TYtEUECTDsFNrsj6k4o7ceUycXUJdVfz/view?usp=drivesdk</t>
        </is>
      </c>
    </row>
    <row r="62" ht="12" customHeight="1">
      <c r="A62" t="inlineStr">
        <is>
          <t>202603</t>
        </is>
      </c>
      <c r="B62" t="inlineStr">
        <is>
          <t>INC</t>
        </is>
      </c>
      <c r="C62" t="inlineStr">
        <is>
          <t>cogs</t>
        </is>
      </c>
      <c r="D62" t="inlineStr">
        <is>
          <t>manufacturing</t>
        </is>
      </c>
      <c r="E62" t="inlineStr">
        <is>
          <t>JONDO</t>
        </is>
      </c>
      <c r="F62" t="inlineStr">
        <is>
          <t>manufacturing</t>
        </is>
      </c>
      <c r="G62" s="4" t="n">
        <v>33.98</v>
      </c>
      <c r="H62" t="inlineStr">
        <is>
          <t>USD</t>
        </is>
      </c>
      <c r="I62" t="inlineStr">
        <is>
          <t>USD</t>
        </is>
      </c>
      <c r="J62" s="18" t="n">
        <v>1</v>
      </c>
      <c r="K62" s="4" t="n">
        <v>33.98</v>
      </c>
      <c r="L62" t="inlineStr">
        <is>
          <t>documents</t>
        </is>
      </c>
      <c r="M62" s="19" t="inlineStr">
        <is>
          <t>AS-100208</t>
        </is>
      </c>
      <c r="N62" t="inlineStr">
        <is>
          <t>https://drive.google.com/file/d/1RPIi58UZHvF1QZ2EWIPyyeAqJT4KuHpe/view?usp=drivesdk</t>
        </is>
      </c>
    </row>
    <row r="63" ht="12" customHeight="1">
      <c r="A63" t="inlineStr">
        <is>
          <t>202603</t>
        </is>
      </c>
      <c r="B63" t="inlineStr">
        <is>
          <t>INC</t>
        </is>
      </c>
      <c r="C63" t="inlineStr">
        <is>
          <t>cogs</t>
        </is>
      </c>
      <c r="D63" t="inlineStr">
        <is>
          <t>manufacturing</t>
        </is>
      </c>
      <c r="E63" t="inlineStr">
        <is>
          <t>JONDO</t>
        </is>
      </c>
      <c r="F63" t="inlineStr">
        <is>
          <t>manufacturing</t>
        </is>
      </c>
      <c r="G63" s="4" t="n">
        <v>44.06</v>
      </c>
      <c r="H63" t="inlineStr">
        <is>
          <t>USD</t>
        </is>
      </c>
      <c r="I63" t="inlineStr">
        <is>
          <t>USD</t>
        </is>
      </c>
      <c r="J63" s="18" t="n">
        <v>1</v>
      </c>
      <c r="K63" s="4" t="n">
        <v>44.06</v>
      </c>
      <c r="L63" t="inlineStr">
        <is>
          <t>documents</t>
        </is>
      </c>
      <c r="M63" s="19" t="inlineStr">
        <is>
          <t>AS-100505</t>
        </is>
      </c>
      <c r="N63" t="inlineStr">
        <is>
          <t>https://drive.google.com/file/d/1zpf3eQjrD-VvbFJf4oilNyE8LTzx-Mkz/view?usp=drivesdk</t>
        </is>
      </c>
    </row>
    <row r="64" ht="12" customHeight="1">
      <c r="A64" t="inlineStr">
        <is>
          <t>202603</t>
        </is>
      </c>
      <c r="B64" t="inlineStr">
        <is>
          <t>INC</t>
        </is>
      </c>
      <c r="C64" t="inlineStr">
        <is>
          <t>cogs</t>
        </is>
      </c>
      <c r="D64" t="inlineStr">
        <is>
          <t>manufacturing</t>
        </is>
      </c>
      <c r="E64" t="inlineStr">
        <is>
          <t>JONDO</t>
        </is>
      </c>
      <c r="F64" t="inlineStr">
        <is>
          <t>manufacturing</t>
        </is>
      </c>
      <c r="G64" s="4" t="n">
        <v>56.22</v>
      </c>
      <c r="H64" t="inlineStr">
        <is>
          <t>USD</t>
        </is>
      </c>
      <c r="I64" t="inlineStr">
        <is>
          <t>USD</t>
        </is>
      </c>
      <c r="J64" s="18" t="n">
        <v>1</v>
      </c>
      <c r="K64" s="4" t="n">
        <v>56.22</v>
      </c>
      <c r="L64" t="inlineStr">
        <is>
          <t>documents</t>
        </is>
      </c>
      <c r="M64" s="19" t="inlineStr">
        <is>
          <t>AS-100874</t>
        </is>
      </c>
      <c r="N64" t="inlineStr">
        <is>
          <t>https://drive.google.com/file/d/1tXUDS7Y3FysYp6H4r4QDmMELk_P5L6lg/view?usp=drivesdk</t>
        </is>
      </c>
    </row>
    <row r="65" ht="12" customHeight="1">
      <c r="A65" t="inlineStr">
        <is>
          <t>202603</t>
        </is>
      </c>
      <c r="B65" t="inlineStr">
        <is>
          <t>INC</t>
        </is>
      </c>
      <c r="C65" t="inlineStr">
        <is>
          <t>cogs</t>
        </is>
      </c>
      <c r="D65" t="inlineStr">
        <is>
          <t>manufacturing</t>
        </is>
      </c>
      <c r="E65" t="inlineStr">
        <is>
          <t>JONDO</t>
        </is>
      </c>
      <c r="F65" t="inlineStr">
        <is>
          <t>manufacturing</t>
        </is>
      </c>
      <c r="G65" s="4" t="n">
        <v>93.04000000000001</v>
      </c>
      <c r="H65" t="inlineStr">
        <is>
          <t>USD</t>
        </is>
      </c>
      <c r="I65" t="inlineStr">
        <is>
          <t>USD</t>
        </is>
      </c>
      <c r="J65" s="18" t="n">
        <v>1</v>
      </c>
      <c r="K65" s="4" t="n">
        <v>93.04000000000001</v>
      </c>
      <c r="L65" t="inlineStr">
        <is>
          <t>documents</t>
        </is>
      </c>
      <c r="M65" s="19" t="inlineStr">
        <is>
          <t>AS-100996</t>
        </is>
      </c>
      <c r="N65" t="inlineStr">
        <is>
          <t>https://drive.google.com/file/d/1y0K_gBPthDyVzyNsw_YHf-53BN434i9x/view?usp=drivesdk</t>
        </is>
      </c>
    </row>
    <row r="66" ht="12" customHeight="1">
      <c r="A66" t="inlineStr">
        <is>
          <t>202603</t>
        </is>
      </c>
      <c r="B66" t="inlineStr">
        <is>
          <t>INC</t>
        </is>
      </c>
      <c r="C66" t="inlineStr">
        <is>
          <t>cogs</t>
        </is>
      </c>
      <c r="D66" t="inlineStr">
        <is>
          <t>manufacturing</t>
        </is>
      </c>
      <c r="E66" t="inlineStr">
        <is>
          <t>JONDO</t>
        </is>
      </c>
      <c r="F66" t="inlineStr">
        <is>
          <t>invoice</t>
        </is>
      </c>
      <c r="G66" s="4" t="n">
        <v>286.4</v>
      </c>
      <c r="H66" t="inlineStr">
        <is>
          <t>USD</t>
        </is>
      </c>
      <c r="I66" t="inlineStr">
        <is>
          <t>USD</t>
        </is>
      </c>
      <c r="J66" s="18" t="n">
        <v>1</v>
      </c>
      <c r="K66" s="4" t="n">
        <v>286.4</v>
      </c>
      <c r="L66" t="inlineStr">
        <is>
          <t>documents</t>
        </is>
      </c>
      <c r="M66" s="19" t="inlineStr">
        <is>
          <t>AS-101113</t>
        </is>
      </c>
      <c r="N66" t="inlineStr">
        <is>
          <t>https://drive.google.com/file/d/1vdHrWT_SVLcmzDZbOw1DHUWOdXyUqB-p/view?usp=drivesdk</t>
        </is>
      </c>
    </row>
    <row r="67" ht="12" customHeight="1">
      <c r="A67" t="inlineStr">
        <is>
          <t>202603</t>
        </is>
      </c>
      <c r="B67" t="inlineStr">
        <is>
          <t>INC</t>
        </is>
      </c>
      <c r="C67" t="inlineStr">
        <is>
          <t>cogs</t>
        </is>
      </c>
      <c r="D67" t="inlineStr">
        <is>
          <t>manufacturing</t>
        </is>
      </c>
      <c r="E67" t="inlineStr">
        <is>
          <t>JONDO</t>
        </is>
      </c>
      <c r="F67" t="inlineStr">
        <is>
          <t>invoice</t>
        </is>
      </c>
      <c r="G67" s="4" t="n">
        <v>15.64</v>
      </c>
      <c r="H67" t="inlineStr">
        <is>
          <t>USD</t>
        </is>
      </c>
      <c r="I67" t="inlineStr">
        <is>
          <t>USD</t>
        </is>
      </c>
      <c r="J67" s="18" t="n">
        <v>1</v>
      </c>
      <c r="K67" s="4" t="n">
        <v>15.64</v>
      </c>
      <c r="L67" t="inlineStr">
        <is>
          <t>documents</t>
        </is>
      </c>
      <c r="M67" s="19" t="inlineStr">
        <is>
          <t>AS-101200</t>
        </is>
      </c>
      <c r="N67" t="inlineStr">
        <is>
          <t>https://drive.google.com/file/d/1yrn7IddHlYFUVsL9TPovbi5qfWRKqaUh/view?usp=drivesdk</t>
        </is>
      </c>
    </row>
    <row r="68" ht="12" customHeight="1">
      <c r="A68" t="inlineStr">
        <is>
          <t>202603</t>
        </is>
      </c>
      <c r="B68" t="inlineStr">
        <is>
          <t>INC</t>
        </is>
      </c>
      <c r="C68" t="inlineStr">
        <is>
          <t>cogs</t>
        </is>
      </c>
      <c r="D68" t="inlineStr">
        <is>
          <t>manufacturing</t>
        </is>
      </c>
      <c r="E68" t="inlineStr">
        <is>
          <t>JONDO</t>
        </is>
      </c>
      <c r="F68" t="inlineStr">
        <is>
          <t>invoice</t>
        </is>
      </c>
      <c r="G68" s="4" t="n">
        <v>71.59999999999999</v>
      </c>
      <c r="H68" t="inlineStr">
        <is>
          <t>USD</t>
        </is>
      </c>
      <c r="I68" t="inlineStr">
        <is>
          <t>USD</t>
        </is>
      </c>
      <c r="J68" s="18" t="n">
        <v>1</v>
      </c>
      <c r="K68" s="4" t="n">
        <v>71.59999999999999</v>
      </c>
      <c r="L68" t="inlineStr">
        <is>
          <t>documents</t>
        </is>
      </c>
      <c r="M68" s="19" t="inlineStr">
        <is>
          <t>AS-101203</t>
        </is>
      </c>
      <c r="N68" t="inlineStr">
        <is>
          <t>https://drive.google.com/file/d/1Uc-zN0AmJNB0Ls2D2fQnCv0kC0mYYFfx/view?usp=drivesdk</t>
        </is>
      </c>
    </row>
    <row r="69" ht="12" customHeight="1">
      <c r="A69" t="inlineStr">
        <is>
          <t>202603</t>
        </is>
      </c>
      <c r="B69" t="inlineStr">
        <is>
          <t>INC</t>
        </is>
      </c>
      <c r="C69" t="inlineStr">
        <is>
          <t>cogs</t>
        </is>
      </c>
      <c r="D69" t="inlineStr">
        <is>
          <t>manufacturing</t>
        </is>
      </c>
      <c r="E69" t="inlineStr">
        <is>
          <t>JONDO</t>
        </is>
      </c>
      <c r="F69" t="inlineStr">
        <is>
          <t>invoice</t>
        </is>
      </c>
      <c r="G69" s="4" t="n">
        <v>56.22</v>
      </c>
      <c r="H69" t="inlineStr">
        <is>
          <t>USD</t>
        </is>
      </c>
      <c r="I69" t="inlineStr">
        <is>
          <t>USD</t>
        </is>
      </c>
      <c r="J69" s="18" t="n">
        <v>1</v>
      </c>
      <c r="K69" s="4" t="n">
        <v>56.22</v>
      </c>
      <c r="L69" t="inlineStr">
        <is>
          <t>documents</t>
        </is>
      </c>
      <c r="M69" s="19" t="inlineStr">
        <is>
          <t>AS-101378</t>
        </is>
      </c>
      <c r="N69" t="inlineStr">
        <is>
          <t>https://drive.google.com/file/d/1cNFvFmpmrhSDzJZGxJC4_VbaDQuBnDjq/view?usp=drivesdk</t>
        </is>
      </c>
    </row>
    <row r="70" ht="12" customHeight="1">
      <c r="A70" t="inlineStr">
        <is>
          <t>202603</t>
        </is>
      </c>
      <c r="B70" t="inlineStr">
        <is>
          <t>INC</t>
        </is>
      </c>
      <c r="C70" t="inlineStr">
        <is>
          <t>cogs</t>
        </is>
      </c>
      <c r="D70" t="inlineStr">
        <is>
          <t>manufacturing</t>
        </is>
      </c>
      <c r="E70" t="inlineStr">
        <is>
          <t>JONDO</t>
        </is>
      </c>
      <c r="F70" t="inlineStr">
        <is>
          <t>invoice</t>
        </is>
      </c>
      <c r="G70" s="4" t="n">
        <v>36.82</v>
      </c>
      <c r="H70" t="inlineStr">
        <is>
          <t>USD</t>
        </is>
      </c>
      <c r="I70" t="inlineStr">
        <is>
          <t>USD</t>
        </is>
      </c>
      <c r="J70" s="18" t="n">
        <v>1</v>
      </c>
      <c r="K70" s="4" t="n">
        <v>36.82</v>
      </c>
      <c r="L70" t="inlineStr">
        <is>
          <t>documents</t>
        </is>
      </c>
      <c r="M70" s="19" t="inlineStr">
        <is>
          <t>AS-101565</t>
        </is>
      </c>
      <c r="N70" t="inlineStr">
        <is>
          <t>https://drive.google.com/file/d/1qu0mx5pb241hfjo981F5ydijE7gET8Wx/view?usp=drivesdk</t>
        </is>
      </c>
    </row>
    <row r="71" ht="12" customHeight="1">
      <c r="A71" t="inlineStr">
        <is>
          <t>202603</t>
        </is>
      </c>
      <c r="B71" t="inlineStr">
        <is>
          <t>INC</t>
        </is>
      </c>
      <c r="C71" t="inlineStr">
        <is>
          <t>cogs</t>
        </is>
      </c>
      <c r="D71" t="inlineStr">
        <is>
          <t>manufacturing</t>
        </is>
      </c>
      <c r="E71" t="inlineStr">
        <is>
          <t>JONDO</t>
        </is>
      </c>
      <c r="F71" t="inlineStr">
        <is>
          <t>invoice</t>
        </is>
      </c>
      <c r="G71" s="4" t="n">
        <v>44.06</v>
      </c>
      <c r="H71" t="inlineStr">
        <is>
          <t>USD</t>
        </is>
      </c>
      <c r="I71" t="inlineStr">
        <is>
          <t>USD</t>
        </is>
      </c>
      <c r="J71" s="18" t="n">
        <v>1</v>
      </c>
      <c r="K71" s="4" t="n">
        <v>44.06</v>
      </c>
      <c r="L71" t="inlineStr">
        <is>
          <t>documents</t>
        </is>
      </c>
      <c r="M71" s="19" t="inlineStr">
        <is>
          <t>AS-101625</t>
        </is>
      </c>
      <c r="N71" t="inlineStr">
        <is>
          <t>https://drive.google.com/file/d/1R_MvGhiBksTOJuTVj-PPDWZGUXumyABi/view?usp=drivesdk</t>
        </is>
      </c>
    </row>
    <row r="72" ht="12" customHeight="1">
      <c r="A72" t="inlineStr">
        <is>
          <t>202603</t>
        </is>
      </c>
      <c r="B72" t="inlineStr">
        <is>
          <t>INC</t>
        </is>
      </c>
      <c r="C72" t="inlineStr">
        <is>
          <t>cogs</t>
        </is>
      </c>
      <c r="D72" t="inlineStr">
        <is>
          <t>manufacturing</t>
        </is>
      </c>
      <c r="E72" t="inlineStr">
        <is>
          <t>JONDO</t>
        </is>
      </c>
      <c r="F72" t="inlineStr">
        <is>
          <t>invoice</t>
        </is>
      </c>
      <c r="G72" s="4" t="n">
        <v>42.06</v>
      </c>
      <c r="H72" t="inlineStr">
        <is>
          <t>USD</t>
        </is>
      </c>
      <c r="I72" t="inlineStr">
        <is>
          <t>USD</t>
        </is>
      </c>
      <c r="J72" s="18" t="n">
        <v>1</v>
      </c>
      <c r="K72" s="4" t="n">
        <v>42.06</v>
      </c>
      <c r="L72" t="inlineStr">
        <is>
          <t>documents</t>
        </is>
      </c>
      <c r="M72" s="19" t="inlineStr">
        <is>
          <t>AS-101687</t>
        </is>
      </c>
      <c r="N72" t="inlineStr">
        <is>
          <t>https://drive.google.com/file/d/1Vj2JB3XmkotEZ_rwHLvKFds1VxC0jEtR/view?usp=drivesdk</t>
        </is>
      </c>
    </row>
    <row r="73" ht="12" customHeight="1">
      <c r="A73" t="inlineStr">
        <is>
          <t>202603</t>
        </is>
      </c>
      <c r="B73" t="inlineStr">
        <is>
          <t>INC</t>
        </is>
      </c>
      <c r="C73" t="inlineStr">
        <is>
          <t>cogs</t>
        </is>
      </c>
      <c r="D73" t="inlineStr">
        <is>
          <t>manufacturing</t>
        </is>
      </c>
      <c r="E73" t="inlineStr">
        <is>
          <t>JONDO</t>
        </is>
      </c>
      <c r="F73" t="inlineStr">
        <is>
          <t>invoice</t>
        </is>
      </c>
      <c r="G73" s="4" t="n">
        <v>36.41</v>
      </c>
      <c r="H73" t="inlineStr">
        <is>
          <t>USD</t>
        </is>
      </c>
      <c r="I73" t="inlineStr">
        <is>
          <t>USD</t>
        </is>
      </c>
      <c r="J73" s="18" t="n">
        <v>1</v>
      </c>
      <c r="K73" s="4" t="n">
        <v>36.41</v>
      </c>
      <c r="L73" t="inlineStr">
        <is>
          <t>documents</t>
        </is>
      </c>
      <c r="M73" s="19" t="inlineStr">
        <is>
          <t>AS-101720</t>
        </is>
      </c>
      <c r="N73" t="inlineStr">
        <is>
          <t>https://drive.google.com/file/d/1S2WQJ2d_2BB1eFnFBIic2fGe1zYRAT1y/view?usp=drivesdk</t>
        </is>
      </c>
    </row>
    <row r="74" ht="12" customHeight="1">
      <c r="A74" t="inlineStr">
        <is>
          <t>202603</t>
        </is>
      </c>
      <c r="B74" t="inlineStr">
        <is>
          <t>INC</t>
        </is>
      </c>
      <c r="C74" t="inlineStr">
        <is>
          <t>cogs</t>
        </is>
      </c>
      <c r="D74" t="inlineStr">
        <is>
          <t>manufacturing</t>
        </is>
      </c>
      <c r="E74" t="inlineStr">
        <is>
          <t>JONDO</t>
        </is>
      </c>
      <c r="F74" t="inlineStr">
        <is>
          <t>invoice</t>
        </is>
      </c>
      <c r="G74" s="4" t="n">
        <v>56.22</v>
      </c>
      <c r="H74" t="inlineStr">
        <is>
          <t>USD</t>
        </is>
      </c>
      <c r="I74" t="inlineStr">
        <is>
          <t>USD</t>
        </is>
      </c>
      <c r="J74" s="18" t="n">
        <v>1</v>
      </c>
      <c r="K74" s="4" t="n">
        <v>56.22</v>
      </c>
      <c r="L74" t="inlineStr">
        <is>
          <t>documents</t>
        </is>
      </c>
      <c r="M74" s="19" t="inlineStr">
        <is>
          <t>AS-101875</t>
        </is>
      </c>
      <c r="N74" t="inlineStr">
        <is>
          <t>https://drive.google.com/file/d/1jU9NNf4_wzLCbF1iVHbRHrz-s36y6FNi/view?usp=drivesdk</t>
        </is>
      </c>
    </row>
    <row r="75" ht="12" customHeight="1">
      <c r="A75" t="inlineStr">
        <is>
          <t>202603</t>
        </is>
      </c>
      <c r="B75" t="inlineStr">
        <is>
          <t>INC</t>
        </is>
      </c>
      <c r="C75" t="inlineStr">
        <is>
          <t>cogs</t>
        </is>
      </c>
      <c r="D75" t="inlineStr">
        <is>
          <t>manufacturing</t>
        </is>
      </c>
      <c r="E75" t="inlineStr">
        <is>
          <t>JONDO</t>
        </is>
      </c>
      <c r="F75" t="inlineStr">
        <is>
          <t>invoice</t>
        </is>
      </c>
      <c r="G75" s="4" t="n">
        <v>24.54</v>
      </c>
      <c r="H75" t="inlineStr">
        <is>
          <t>USD</t>
        </is>
      </c>
      <c r="I75" t="inlineStr">
        <is>
          <t>USD</t>
        </is>
      </c>
      <c r="J75" s="18" t="n">
        <v>1</v>
      </c>
      <c r="K75" s="4" t="n">
        <v>24.54</v>
      </c>
      <c r="L75" t="inlineStr">
        <is>
          <t>documents</t>
        </is>
      </c>
      <c r="M75" s="19" t="inlineStr">
        <is>
          <t>AS-101899</t>
        </is>
      </c>
      <c r="N75" t="inlineStr">
        <is>
          <t>https://drive.google.com/file/d/1IwBgxSlGdttKi41ivuvMXvT6Hu8z2E1_/view?usp=drivesdk</t>
        </is>
      </c>
    </row>
    <row r="76" ht="12" customHeight="1">
      <c r="A76" t="inlineStr">
        <is>
          <t>202603</t>
        </is>
      </c>
      <c r="B76" t="inlineStr">
        <is>
          <t>INC</t>
        </is>
      </c>
      <c r="C76" t="inlineStr">
        <is>
          <t>cogs</t>
        </is>
      </c>
      <c r="D76" t="inlineStr">
        <is>
          <t>manufacturing</t>
        </is>
      </c>
      <c r="E76" t="inlineStr">
        <is>
          <t>JONDO</t>
        </is>
      </c>
      <c r="F76" t="inlineStr">
        <is>
          <t>invoice</t>
        </is>
      </c>
      <c r="G76" s="4" t="n">
        <v>56.22</v>
      </c>
      <c r="H76" t="inlineStr">
        <is>
          <t>USD</t>
        </is>
      </c>
      <c r="I76" t="inlineStr">
        <is>
          <t>USD</t>
        </is>
      </c>
      <c r="J76" s="18" t="n">
        <v>1</v>
      </c>
      <c r="K76" s="4" t="n">
        <v>56.22</v>
      </c>
      <c r="L76" t="inlineStr">
        <is>
          <t>documents</t>
        </is>
      </c>
      <c r="M76" s="19" t="inlineStr">
        <is>
          <t>AS-101925</t>
        </is>
      </c>
      <c r="N76" t="inlineStr">
        <is>
          <t>https://drive.google.com/file/d/1rmZW6WMTXdJvVUm26QzTJA94sajDVpWq/view?usp=drivesdk</t>
        </is>
      </c>
    </row>
    <row r="77" ht="12" customHeight="1">
      <c r="A77" t="inlineStr">
        <is>
          <t>202603</t>
        </is>
      </c>
      <c r="B77" t="inlineStr">
        <is>
          <t>INC</t>
        </is>
      </c>
      <c r="C77" t="inlineStr">
        <is>
          <t>cogs</t>
        </is>
      </c>
      <c r="D77" t="inlineStr">
        <is>
          <t>manufacturing</t>
        </is>
      </c>
      <c r="E77" t="inlineStr">
        <is>
          <t>JONDO</t>
        </is>
      </c>
      <c r="F77" t="inlineStr">
        <is>
          <t>invoice</t>
        </is>
      </c>
      <c r="G77" s="4" t="n">
        <v>36.82</v>
      </c>
      <c r="H77" t="inlineStr">
        <is>
          <t>USD</t>
        </is>
      </c>
      <c r="I77" t="inlineStr">
        <is>
          <t>USD</t>
        </is>
      </c>
      <c r="J77" s="18" t="n">
        <v>1</v>
      </c>
      <c r="K77" s="4" t="n">
        <v>36.82</v>
      </c>
      <c r="L77" t="inlineStr">
        <is>
          <t>documents</t>
        </is>
      </c>
      <c r="M77" s="19" t="inlineStr">
        <is>
          <t>AS-101927</t>
        </is>
      </c>
      <c r="N77" t="inlineStr">
        <is>
          <t>https://drive.google.com/file/d/15JRxcPZJ_hVHDLJ8z5Yro4FDJovLx0tK/view?usp=drivesdk</t>
        </is>
      </c>
    </row>
    <row r="78" ht="12" customHeight="1">
      <c r="A78" t="inlineStr">
        <is>
          <t>202603</t>
        </is>
      </c>
      <c r="B78" t="inlineStr">
        <is>
          <t>INC</t>
        </is>
      </c>
      <c r="C78" t="inlineStr">
        <is>
          <t>cogs</t>
        </is>
      </c>
      <c r="D78" t="inlineStr">
        <is>
          <t>manufacturing</t>
        </is>
      </c>
      <c r="E78" t="inlineStr">
        <is>
          <t>JONDO</t>
        </is>
      </c>
      <c r="F78" t="inlineStr">
        <is>
          <t>invoice</t>
        </is>
      </c>
      <c r="G78" s="4" t="n">
        <v>24.54</v>
      </c>
      <c r="H78" t="inlineStr">
        <is>
          <t>USD</t>
        </is>
      </c>
      <c r="I78" t="inlineStr">
        <is>
          <t>USD</t>
        </is>
      </c>
      <c r="J78" s="18" t="n">
        <v>1</v>
      </c>
      <c r="K78" s="4" t="n">
        <v>24.54</v>
      </c>
      <c r="L78" t="inlineStr">
        <is>
          <t>documents</t>
        </is>
      </c>
      <c r="M78" s="19" t="inlineStr">
        <is>
          <t>AS-101932</t>
        </is>
      </c>
      <c r="N78" t="inlineStr">
        <is>
          <t>https://drive.google.com/file/d/13weQ7Y4G8KgjFaRrcenGtTdmOa1WFGMs/view?usp=drivesdk</t>
        </is>
      </c>
    </row>
    <row r="79" ht="12" customHeight="1">
      <c r="A79" t="inlineStr">
        <is>
          <t>202603</t>
        </is>
      </c>
      <c r="B79" t="inlineStr">
        <is>
          <t>INC</t>
        </is>
      </c>
      <c r="C79" t="inlineStr">
        <is>
          <t>cogs</t>
        </is>
      </c>
      <c r="D79" t="inlineStr">
        <is>
          <t>manufacturing</t>
        </is>
      </c>
      <c r="E79" t="inlineStr">
        <is>
          <t>JONDO</t>
        </is>
      </c>
      <c r="F79" t="inlineStr">
        <is>
          <t>invoice</t>
        </is>
      </c>
      <c r="G79" s="4" t="n">
        <v>44.06</v>
      </c>
      <c r="H79" t="inlineStr">
        <is>
          <t>USD</t>
        </is>
      </c>
      <c r="I79" t="inlineStr">
        <is>
          <t>USD</t>
        </is>
      </c>
      <c r="J79" s="18" t="n">
        <v>1</v>
      </c>
      <c r="K79" s="4" t="n">
        <v>44.06</v>
      </c>
      <c r="L79" t="inlineStr">
        <is>
          <t>documents</t>
        </is>
      </c>
      <c r="M79" s="19" t="inlineStr">
        <is>
          <t>AS-102156</t>
        </is>
      </c>
      <c r="N79" t="inlineStr">
        <is>
          <t>https://drive.google.com/file/d/1Hs1vUcuZkelPAwLMKmyLOzZ1ZzxTmpHC/view?usp=drivesdk</t>
        </is>
      </c>
    </row>
    <row r="80" ht="12" customHeight="1">
      <c r="A80" t="inlineStr">
        <is>
          <t>202603</t>
        </is>
      </c>
      <c r="B80" t="inlineStr">
        <is>
          <t>INC</t>
        </is>
      </c>
      <c r="C80" t="inlineStr">
        <is>
          <t>cogs</t>
        </is>
      </c>
      <c r="D80" t="inlineStr">
        <is>
          <t>manufacturing</t>
        </is>
      </c>
      <c r="E80" t="inlineStr">
        <is>
          <t>JONDO</t>
        </is>
      </c>
      <c r="F80" t="inlineStr">
        <is>
          <t>invoice</t>
        </is>
      </c>
      <c r="G80" s="4" t="n">
        <v>56.22</v>
      </c>
      <c r="H80" t="inlineStr">
        <is>
          <t>USD</t>
        </is>
      </c>
      <c r="I80" t="inlineStr">
        <is>
          <t>USD</t>
        </is>
      </c>
      <c r="J80" s="18" t="n">
        <v>1</v>
      </c>
      <c r="K80" s="4" t="n">
        <v>56.22</v>
      </c>
      <c r="L80" t="inlineStr">
        <is>
          <t>documents</t>
        </is>
      </c>
      <c r="M80" s="19" t="inlineStr">
        <is>
          <t>AS-102233</t>
        </is>
      </c>
      <c r="N80" t="inlineStr">
        <is>
          <t>https://drive.google.com/file/d/17DD7Tsl8Uzy2qdnX2BWCYhZjUuE7FIC-/view?usp=drivesdk</t>
        </is>
      </c>
    </row>
    <row r="81" ht="12" customHeight="1">
      <c r="A81" t="inlineStr">
        <is>
          <t>202603</t>
        </is>
      </c>
      <c r="B81" t="inlineStr">
        <is>
          <t>INC</t>
        </is>
      </c>
      <c r="C81" t="inlineStr">
        <is>
          <t>cogs</t>
        </is>
      </c>
      <c r="D81" t="inlineStr">
        <is>
          <t>manufacturing</t>
        </is>
      </c>
      <c r="E81" t="inlineStr">
        <is>
          <t>JONDO</t>
        </is>
      </c>
      <c r="F81" t="inlineStr">
        <is>
          <t>invoice</t>
        </is>
      </c>
      <c r="G81" s="4" t="n">
        <v>20.5</v>
      </c>
      <c r="H81" t="inlineStr">
        <is>
          <t>USD</t>
        </is>
      </c>
      <c r="I81" t="inlineStr">
        <is>
          <t>USD</t>
        </is>
      </c>
      <c r="J81" s="18" t="n">
        <v>1</v>
      </c>
      <c r="K81" s="4" t="n">
        <v>20.5</v>
      </c>
      <c r="L81" t="inlineStr">
        <is>
          <t>documents</t>
        </is>
      </c>
      <c r="M81" s="19" t="inlineStr">
        <is>
          <t>AS-99872</t>
        </is>
      </c>
      <c r="N81" t="inlineStr">
        <is>
          <t>https://drive.google.com/file/d/1fz0py0TlKS9CdvqLBj6obnIyKdFd-Ocr/view?usp=drivesdk</t>
        </is>
      </c>
    </row>
    <row r="82" ht="12" customHeight="1">
      <c r="A82" t="inlineStr">
        <is>
          <t>202603</t>
        </is>
      </c>
      <c r="B82" t="inlineStr">
        <is>
          <t>INC</t>
        </is>
      </c>
      <c r="C82" t="inlineStr">
        <is>
          <t>opex</t>
        </is>
      </c>
      <c r="D82" t="inlineStr">
        <is>
          <t>administration</t>
        </is>
      </c>
      <c r="E82" t="inlineStr">
        <is>
          <t>QUICKBOOKS</t>
        </is>
      </c>
      <c r="F82" t="inlineStr">
        <is>
          <t>invoice</t>
        </is>
      </c>
      <c r="G82" s="4" t="n">
        <v>121.9</v>
      </c>
      <c r="H82" t="inlineStr">
        <is>
          <t>USD</t>
        </is>
      </c>
      <c r="I82" t="inlineStr">
        <is>
          <t>USD</t>
        </is>
      </c>
      <c r="J82" s="18" t="n">
        <v>1</v>
      </c>
      <c r="K82" s="4" t="n">
        <v>121.9</v>
      </c>
      <c r="L82" t="inlineStr">
        <is>
          <t>documents</t>
        </is>
      </c>
      <c r="M82" s="19" t="inlineStr">
        <is>
          <t>10001475281494</t>
        </is>
      </c>
      <c r="N82" t="inlineStr">
        <is>
          <t>https://drive.google.com/file/d/1OI4OBm0RC_6F4A459LM3KgrTwDxv30Lf/view?usp=drivesdk</t>
        </is>
      </c>
    </row>
    <row r="83" ht="12" customHeight="1">
      <c r="A83" t="inlineStr">
        <is>
          <t>202603</t>
        </is>
      </c>
      <c r="B83" t="inlineStr">
        <is>
          <t>INC</t>
        </is>
      </c>
      <c r="C83" t="inlineStr">
        <is>
          <t>opex</t>
        </is>
      </c>
      <c r="D83" t="inlineStr">
        <is>
          <t>shared_services</t>
        </is>
      </c>
      <c r="E83" t="inlineStr">
        <is>
          <t>SHAREDSERVICESSL</t>
        </is>
      </c>
      <c r="F83" t="inlineStr">
        <is>
          <t>invoice</t>
        </is>
      </c>
      <c r="G83" s="4" t="n">
        <v>7586.05</v>
      </c>
      <c r="H83" t="inlineStr">
        <is>
          <t>EUR</t>
        </is>
      </c>
      <c r="I83" t="inlineStr">
        <is>
          <t>USD</t>
        </is>
      </c>
      <c r="J83" s="18" t="n">
        <v>1.1498</v>
      </c>
      <c r="K83" s="4" t="n">
        <v>8722.440000000001</v>
      </c>
      <c r="L83" t="inlineStr">
        <is>
          <t>documents</t>
        </is>
      </c>
      <c r="M83" s="19" t="inlineStr">
        <is>
          <t>2026-0017</t>
        </is>
      </c>
      <c r="N83" t="inlineStr">
        <is>
          <t>https://drive.google.com/file/d/1ixVdpnGpB3KUF2QQIt94W1I4J6yD6ybZ/view?usp=drivesdk</t>
        </is>
      </c>
    </row>
    <row r="84" ht="12" customHeight="1">
      <c r="A84" t="inlineStr">
        <is>
          <t>202604</t>
        </is>
      </c>
      <c r="B84" t="inlineStr">
        <is>
          <t>INC</t>
        </is>
      </c>
      <c r="C84" t="inlineStr">
        <is>
          <t>opex</t>
        </is>
      </c>
      <c r="D84" t="inlineStr">
        <is>
          <t>administration</t>
        </is>
      </c>
      <c r="E84" t="inlineStr">
        <is>
          <t>CONTINUUM</t>
        </is>
      </c>
      <c r="F84" t="inlineStr">
        <is>
          <t>invoice</t>
        </is>
      </c>
      <c r="G84" s="4" t="n">
        <v>1150</v>
      </c>
      <c r="H84" t="inlineStr">
        <is>
          <t>USD</t>
        </is>
      </c>
      <c r="I84" t="inlineStr">
        <is>
          <t>USD</t>
        </is>
      </c>
      <c r="J84" s="18" t="n">
        <v>1</v>
      </c>
      <c r="K84" s="4" t="n">
        <v>1150</v>
      </c>
      <c r="L84" t="inlineStr">
        <is>
          <t>documents</t>
        </is>
      </c>
      <c r="M84" s="19" t="inlineStr">
        <is>
          <t>1268</t>
        </is>
      </c>
      <c r="N84" t="inlineStr">
        <is>
          <t>https://drive.google.com/file/d/1IRL2tRQ5R66B1XtT5WF43fvSBNABo2MK/view?usp=drivesdk</t>
        </is>
      </c>
    </row>
    <row r="85" ht="12" customHeight="1">
      <c r="A85" t="inlineStr">
        <is>
          <t>202604</t>
        </is>
      </c>
      <c r="B85" t="inlineStr">
        <is>
          <t>INC</t>
        </is>
      </c>
      <c r="C85" t="inlineStr">
        <is>
          <t>opex</t>
        </is>
      </c>
      <c r="D85" t="inlineStr">
        <is>
          <t>administration</t>
        </is>
      </c>
      <c r="E85" t="inlineStr">
        <is>
          <t>DELAWARE</t>
        </is>
      </c>
      <c r="F85" t="inlineStr">
        <is>
          <t>invoice</t>
        </is>
      </c>
      <c r="G85" s="4" t="n">
        <v>107</v>
      </c>
      <c r="H85" t="inlineStr">
        <is>
          <t>USD</t>
        </is>
      </c>
      <c r="I85" t="inlineStr">
        <is>
          <t>USD</t>
        </is>
      </c>
      <c r="J85" s="18" t="n">
        <v>1</v>
      </c>
      <c r="K85" s="4" t="n">
        <v>107</v>
      </c>
      <c r="L85" t="inlineStr">
        <is>
          <t>documents</t>
        </is>
      </c>
      <c r="M85" s="19" t="inlineStr">
        <is>
          <t>DZWHFH4</t>
        </is>
      </c>
      <c r="N85" t="inlineStr">
        <is>
          <t>https://drive.google.com/file/d/18Bz5GqwljLihnHs4k9hmETmifyo6LER2/view?usp=drivesdk</t>
        </is>
      </c>
    </row>
  </sheetData>
  <hyperlinks>
    <hyperlink ref="A1" location="'P&amp;G-INC'!A1" display="&lt;- Volver a P&amp;G-INC"/>
    <hyperlink xmlns:r="http://schemas.openxmlformats.org/officeDocument/2006/relationships" ref="M3" r:id="rId1"/>
    <hyperlink xmlns:r="http://schemas.openxmlformats.org/officeDocument/2006/relationships" ref="M4" r:id="rId2"/>
    <hyperlink xmlns:r="http://schemas.openxmlformats.org/officeDocument/2006/relationships" ref="M5" r:id="rId3"/>
    <hyperlink xmlns:r="http://schemas.openxmlformats.org/officeDocument/2006/relationships" ref="M6" r:id="rId4"/>
    <hyperlink xmlns:r="http://schemas.openxmlformats.org/officeDocument/2006/relationships" ref="M7" r:id="rId5"/>
    <hyperlink xmlns:r="http://schemas.openxmlformats.org/officeDocument/2006/relationships" ref="M8" r:id="rId6"/>
    <hyperlink xmlns:r="http://schemas.openxmlformats.org/officeDocument/2006/relationships" ref="M9" r:id="rId7"/>
    <hyperlink xmlns:r="http://schemas.openxmlformats.org/officeDocument/2006/relationships" ref="M10" r:id="rId8"/>
    <hyperlink xmlns:r="http://schemas.openxmlformats.org/officeDocument/2006/relationships" ref="M11" r:id="rId9"/>
    <hyperlink xmlns:r="http://schemas.openxmlformats.org/officeDocument/2006/relationships" ref="M12" r:id="rId10"/>
    <hyperlink xmlns:r="http://schemas.openxmlformats.org/officeDocument/2006/relationships" ref="M13" r:id="rId11"/>
    <hyperlink xmlns:r="http://schemas.openxmlformats.org/officeDocument/2006/relationships" ref="M14" r:id="rId12"/>
    <hyperlink xmlns:r="http://schemas.openxmlformats.org/officeDocument/2006/relationships" ref="M15" r:id="rId13"/>
    <hyperlink xmlns:r="http://schemas.openxmlformats.org/officeDocument/2006/relationships" ref="M16" r:id="rId14"/>
    <hyperlink xmlns:r="http://schemas.openxmlformats.org/officeDocument/2006/relationships" ref="M17" r:id="rId15"/>
    <hyperlink xmlns:r="http://schemas.openxmlformats.org/officeDocument/2006/relationships" ref="M18" r:id="rId16"/>
    <hyperlink xmlns:r="http://schemas.openxmlformats.org/officeDocument/2006/relationships" ref="M19" r:id="rId17"/>
    <hyperlink xmlns:r="http://schemas.openxmlformats.org/officeDocument/2006/relationships" ref="M20" r:id="rId18"/>
    <hyperlink xmlns:r="http://schemas.openxmlformats.org/officeDocument/2006/relationships" ref="M21" r:id="rId19"/>
    <hyperlink xmlns:r="http://schemas.openxmlformats.org/officeDocument/2006/relationships" ref="M22" r:id="rId20"/>
    <hyperlink xmlns:r="http://schemas.openxmlformats.org/officeDocument/2006/relationships" ref="M23" r:id="rId21"/>
    <hyperlink xmlns:r="http://schemas.openxmlformats.org/officeDocument/2006/relationships" ref="M24" r:id="rId22"/>
    <hyperlink xmlns:r="http://schemas.openxmlformats.org/officeDocument/2006/relationships" ref="M25" r:id="rId23"/>
    <hyperlink xmlns:r="http://schemas.openxmlformats.org/officeDocument/2006/relationships" ref="M26" r:id="rId24"/>
    <hyperlink xmlns:r="http://schemas.openxmlformats.org/officeDocument/2006/relationships" ref="M27" r:id="rId25"/>
    <hyperlink xmlns:r="http://schemas.openxmlformats.org/officeDocument/2006/relationships" ref="M28" r:id="rId26"/>
    <hyperlink xmlns:r="http://schemas.openxmlformats.org/officeDocument/2006/relationships" ref="M29" r:id="rId27"/>
    <hyperlink xmlns:r="http://schemas.openxmlformats.org/officeDocument/2006/relationships" ref="M30" r:id="rId28"/>
    <hyperlink xmlns:r="http://schemas.openxmlformats.org/officeDocument/2006/relationships" ref="M31" r:id="rId29"/>
    <hyperlink xmlns:r="http://schemas.openxmlformats.org/officeDocument/2006/relationships" ref="M32" r:id="rId30"/>
    <hyperlink xmlns:r="http://schemas.openxmlformats.org/officeDocument/2006/relationships" ref="M33" r:id="rId31"/>
    <hyperlink xmlns:r="http://schemas.openxmlformats.org/officeDocument/2006/relationships" ref="M34" r:id="rId32"/>
    <hyperlink xmlns:r="http://schemas.openxmlformats.org/officeDocument/2006/relationships" ref="M35" r:id="rId33"/>
    <hyperlink xmlns:r="http://schemas.openxmlformats.org/officeDocument/2006/relationships" ref="M36" r:id="rId34"/>
    <hyperlink xmlns:r="http://schemas.openxmlformats.org/officeDocument/2006/relationships" ref="M37" r:id="rId35"/>
    <hyperlink xmlns:r="http://schemas.openxmlformats.org/officeDocument/2006/relationships" ref="M38" r:id="rId36"/>
    <hyperlink xmlns:r="http://schemas.openxmlformats.org/officeDocument/2006/relationships" ref="M39" r:id="rId37"/>
    <hyperlink xmlns:r="http://schemas.openxmlformats.org/officeDocument/2006/relationships" ref="M40" r:id="rId38"/>
    <hyperlink xmlns:r="http://schemas.openxmlformats.org/officeDocument/2006/relationships" ref="M41" r:id="rId39"/>
    <hyperlink xmlns:r="http://schemas.openxmlformats.org/officeDocument/2006/relationships" ref="M42" r:id="rId40"/>
    <hyperlink xmlns:r="http://schemas.openxmlformats.org/officeDocument/2006/relationships" ref="M43" r:id="rId41"/>
    <hyperlink xmlns:r="http://schemas.openxmlformats.org/officeDocument/2006/relationships" ref="M44" r:id="rId42"/>
    <hyperlink xmlns:r="http://schemas.openxmlformats.org/officeDocument/2006/relationships" ref="M45" r:id="rId43"/>
    <hyperlink xmlns:r="http://schemas.openxmlformats.org/officeDocument/2006/relationships" ref="M46" r:id="rId44"/>
    <hyperlink xmlns:r="http://schemas.openxmlformats.org/officeDocument/2006/relationships" ref="M47" r:id="rId45"/>
    <hyperlink xmlns:r="http://schemas.openxmlformats.org/officeDocument/2006/relationships" ref="M48" r:id="rId46"/>
    <hyperlink xmlns:r="http://schemas.openxmlformats.org/officeDocument/2006/relationships" ref="M49" r:id="rId47"/>
    <hyperlink xmlns:r="http://schemas.openxmlformats.org/officeDocument/2006/relationships" ref="M50" r:id="rId48"/>
    <hyperlink xmlns:r="http://schemas.openxmlformats.org/officeDocument/2006/relationships" ref="M51" r:id="rId49"/>
    <hyperlink xmlns:r="http://schemas.openxmlformats.org/officeDocument/2006/relationships" ref="M52" r:id="rId50"/>
    <hyperlink xmlns:r="http://schemas.openxmlformats.org/officeDocument/2006/relationships" ref="M53" r:id="rId51"/>
    <hyperlink xmlns:r="http://schemas.openxmlformats.org/officeDocument/2006/relationships" ref="M54" r:id="rId52"/>
    <hyperlink xmlns:r="http://schemas.openxmlformats.org/officeDocument/2006/relationships" ref="M55" r:id="rId53"/>
    <hyperlink xmlns:r="http://schemas.openxmlformats.org/officeDocument/2006/relationships" ref="M56" r:id="rId54"/>
    <hyperlink xmlns:r="http://schemas.openxmlformats.org/officeDocument/2006/relationships" ref="M57" r:id="rId55"/>
    <hyperlink xmlns:r="http://schemas.openxmlformats.org/officeDocument/2006/relationships" ref="M58" r:id="rId56"/>
    <hyperlink xmlns:r="http://schemas.openxmlformats.org/officeDocument/2006/relationships" ref="M59" r:id="rId57"/>
    <hyperlink xmlns:r="http://schemas.openxmlformats.org/officeDocument/2006/relationships" ref="M60" r:id="rId58"/>
    <hyperlink xmlns:r="http://schemas.openxmlformats.org/officeDocument/2006/relationships" ref="M61" r:id="rId59"/>
    <hyperlink xmlns:r="http://schemas.openxmlformats.org/officeDocument/2006/relationships" ref="M62" r:id="rId60"/>
    <hyperlink xmlns:r="http://schemas.openxmlformats.org/officeDocument/2006/relationships" ref="M63" r:id="rId61"/>
    <hyperlink xmlns:r="http://schemas.openxmlformats.org/officeDocument/2006/relationships" ref="M64" r:id="rId62"/>
    <hyperlink xmlns:r="http://schemas.openxmlformats.org/officeDocument/2006/relationships" ref="M65" r:id="rId63"/>
    <hyperlink xmlns:r="http://schemas.openxmlformats.org/officeDocument/2006/relationships" ref="M66" r:id="rId64"/>
    <hyperlink xmlns:r="http://schemas.openxmlformats.org/officeDocument/2006/relationships" ref="M67" r:id="rId65"/>
    <hyperlink xmlns:r="http://schemas.openxmlformats.org/officeDocument/2006/relationships" ref="M68" r:id="rId66"/>
    <hyperlink xmlns:r="http://schemas.openxmlformats.org/officeDocument/2006/relationships" ref="M69" r:id="rId67"/>
    <hyperlink xmlns:r="http://schemas.openxmlformats.org/officeDocument/2006/relationships" ref="M70" r:id="rId68"/>
    <hyperlink xmlns:r="http://schemas.openxmlformats.org/officeDocument/2006/relationships" ref="M71" r:id="rId69"/>
    <hyperlink xmlns:r="http://schemas.openxmlformats.org/officeDocument/2006/relationships" ref="M72" r:id="rId70"/>
    <hyperlink xmlns:r="http://schemas.openxmlformats.org/officeDocument/2006/relationships" ref="M73" r:id="rId71"/>
    <hyperlink xmlns:r="http://schemas.openxmlformats.org/officeDocument/2006/relationships" ref="M74" r:id="rId72"/>
    <hyperlink xmlns:r="http://schemas.openxmlformats.org/officeDocument/2006/relationships" ref="M75" r:id="rId73"/>
    <hyperlink xmlns:r="http://schemas.openxmlformats.org/officeDocument/2006/relationships" ref="M76" r:id="rId74"/>
    <hyperlink xmlns:r="http://schemas.openxmlformats.org/officeDocument/2006/relationships" ref="M77" r:id="rId75"/>
    <hyperlink xmlns:r="http://schemas.openxmlformats.org/officeDocument/2006/relationships" ref="M78" r:id="rId76"/>
    <hyperlink xmlns:r="http://schemas.openxmlformats.org/officeDocument/2006/relationships" ref="M79" r:id="rId77"/>
    <hyperlink xmlns:r="http://schemas.openxmlformats.org/officeDocument/2006/relationships" ref="M80" r:id="rId78"/>
    <hyperlink xmlns:r="http://schemas.openxmlformats.org/officeDocument/2006/relationships" ref="M81" r:id="rId79"/>
    <hyperlink xmlns:r="http://schemas.openxmlformats.org/officeDocument/2006/relationships" ref="M82" r:id="rId80"/>
    <hyperlink xmlns:r="http://schemas.openxmlformats.org/officeDocument/2006/relationships" ref="M83" r:id="rId81"/>
    <hyperlink xmlns:r="http://schemas.openxmlformats.org/officeDocument/2006/relationships" ref="M84" r:id="rId82"/>
    <hyperlink xmlns:r="http://schemas.openxmlformats.org/officeDocument/2006/relationships" ref="M85" r:id="rId8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5" customWidth="1" min="3" max="3"/>
    <col width="17" customWidth="1" min="4" max="4"/>
    <col width="19" customWidth="1" min="5" max="5"/>
    <col width="20" customWidth="1" min="6" max="6"/>
    <col width="14" customWidth="1" min="7" max="7"/>
    <col width="18" customWidth="1" min="8" max="8"/>
    <col width="14" customWidth="1" min="9" max="9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entity</t>
        </is>
      </c>
      <c r="C2" s="17" t="inlineStr">
        <is>
          <t>supplier_code</t>
        </is>
      </c>
      <c r="D2" s="17" t="inlineStr">
        <is>
          <t>amount_original</t>
        </is>
      </c>
      <c r="E2" s="17" t="inlineStr">
        <is>
          <t>currency_original</t>
        </is>
      </c>
      <c r="F2" s="17" t="inlineStr">
        <is>
          <t>reporting_currency</t>
        </is>
      </c>
      <c r="G2" s="17" t="inlineStr">
        <is>
          <t>fx_rate</t>
        </is>
      </c>
      <c r="H2" s="17" t="inlineStr">
        <is>
          <t>amount_reporting</t>
        </is>
      </c>
      <c r="I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INC</t>
        </is>
      </c>
      <c r="C3" t="inlineStr">
        <is>
          <t>SHOPIFY</t>
        </is>
      </c>
      <c r="D3" s="4" t="n">
        <v>293.05</v>
      </c>
      <c r="E3" t="inlineStr">
        <is>
          <t>USD</t>
        </is>
      </c>
      <c r="F3" t="inlineStr">
        <is>
          <t>USD</t>
        </is>
      </c>
      <c r="G3" s="18" t="n">
        <v>1</v>
      </c>
      <c r="H3" s="4" t="n">
        <v>293.05</v>
      </c>
      <c r="I3" t="inlineStr">
        <is>
          <t>payment_fee_monthly_summary</t>
        </is>
      </c>
    </row>
    <row r="4" ht="12" customHeight="1">
      <c r="A4" t="inlineStr">
        <is>
          <t>202602</t>
        </is>
      </c>
      <c r="B4" t="inlineStr">
        <is>
          <t>INC</t>
        </is>
      </c>
      <c r="C4" t="inlineStr">
        <is>
          <t>SHOPIFY</t>
        </is>
      </c>
      <c r="D4" s="4" t="n">
        <v>470.09</v>
      </c>
      <c r="E4" t="inlineStr">
        <is>
          <t>USD</t>
        </is>
      </c>
      <c r="F4" t="inlineStr">
        <is>
          <t>USD</t>
        </is>
      </c>
      <c r="G4" s="18" t="n">
        <v>1</v>
      </c>
      <c r="H4" s="4" t="n">
        <v>470.09</v>
      </c>
      <c r="I4" t="inlineStr">
        <is>
          <t>payment_fee_monthly_summary</t>
        </is>
      </c>
    </row>
    <row r="5" ht="12" customHeight="1">
      <c r="A5" t="inlineStr">
        <is>
          <t>202603</t>
        </is>
      </c>
      <c r="B5" t="inlineStr">
        <is>
          <t>INC</t>
        </is>
      </c>
      <c r="C5" t="inlineStr">
        <is>
          <t>SHOPIFY</t>
        </is>
      </c>
      <c r="D5" s="4" t="n">
        <v>520.41</v>
      </c>
      <c r="E5" t="inlineStr">
        <is>
          <t>USD</t>
        </is>
      </c>
      <c r="F5" t="inlineStr">
        <is>
          <t>USD</t>
        </is>
      </c>
      <c r="G5" s="18" t="n">
        <v>1</v>
      </c>
      <c r="H5" s="4" t="n">
        <v>520.41</v>
      </c>
      <c r="I5" t="inlineStr">
        <is>
          <t>payment_fee_monthly_summary</t>
        </is>
      </c>
    </row>
    <row r="6" ht="12" customHeight="1">
      <c r="A6" t="inlineStr">
        <is>
          <t>202604</t>
        </is>
      </c>
      <c r="B6" t="inlineStr">
        <is>
          <t>INC</t>
        </is>
      </c>
      <c r="C6" t="inlineStr">
        <is>
          <t>SHOPIFY</t>
        </is>
      </c>
      <c r="D6" s="4" t="n">
        <v>101</v>
      </c>
      <c r="E6" t="inlineStr">
        <is>
          <t>USD</t>
        </is>
      </c>
      <c r="F6" t="inlineStr">
        <is>
          <t>USD</t>
        </is>
      </c>
      <c r="G6" s="18" t="n">
        <v>1</v>
      </c>
      <c r="H6" s="4" t="n">
        <v>101</v>
      </c>
      <c r="I6" t="inlineStr">
        <is>
          <t>payment_fee_monthly_summary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9" customWidth="1" min="3" max="3"/>
    <col width="20" customWidth="1" min="4" max="4"/>
    <col width="16" customWidth="1" min="5" max="5"/>
    <col width="14" customWidth="1" min="6" max="6"/>
    <col width="14" customWidth="1" min="7" max="7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yyyymm</t>
        </is>
      </c>
      <c r="B2" s="17" t="inlineStr">
        <is>
          <t>rate_date</t>
        </is>
      </c>
      <c r="C2" s="17" t="inlineStr">
        <is>
          <t>currency_original</t>
        </is>
      </c>
      <c r="D2" s="17" t="inlineStr">
        <is>
          <t>reporting_currency</t>
        </is>
      </c>
      <c r="E2" s="17" t="inlineStr">
        <is>
          <t>reference_rate</t>
        </is>
      </c>
      <c r="F2" s="17" t="inlineStr">
        <is>
          <t>fx_rate</t>
        </is>
      </c>
      <c r="G2" s="17" t="inlineStr">
        <is>
          <t>source</t>
        </is>
      </c>
    </row>
    <row r="3" ht="12" customHeight="1">
      <c r="A3" t="inlineStr">
        <is>
          <t>202601</t>
        </is>
      </c>
      <c r="B3" t="inlineStr">
        <is>
          <t>2026-01-01</t>
        </is>
      </c>
      <c r="C3" t="inlineStr">
        <is>
          <t>EUR</t>
        </is>
      </c>
      <c r="D3" t="inlineStr">
        <is>
          <t>USD</t>
        </is>
      </c>
      <c r="E3" s="18" t="n">
        <v>1</v>
      </c>
      <c r="F3" s="18" t="n">
        <v>1.1919</v>
      </c>
      <c r="G3" t="inlineStr">
        <is>
          <t>identity -&gt; https://www.ecb.europa.eu/stats/eurofxref/eurofxref-hist.xml</t>
        </is>
      </c>
    </row>
    <row r="4" ht="12" customHeight="1">
      <c r="A4" t="inlineStr">
        <is>
          <t>202601</t>
        </is>
      </c>
      <c r="B4" t="inlineStr">
        <is>
          <t>2026-01-01</t>
        </is>
      </c>
      <c r="C4" t="inlineStr">
        <is>
          <t>USD</t>
        </is>
      </c>
      <c r="D4" t="inlineStr">
        <is>
          <t>USD</t>
        </is>
      </c>
      <c r="E4" s="18" t="n">
        <v>1</v>
      </c>
      <c r="F4" s="18" t="n">
        <v>1</v>
      </c>
      <c r="G4" t="inlineStr">
        <is>
          <t>identity</t>
        </is>
      </c>
    </row>
    <row r="5" ht="12" customHeight="1">
      <c r="A5" t="inlineStr">
        <is>
          <t>202602</t>
        </is>
      </c>
      <c r="B5" t="inlineStr">
        <is>
          <t>2026-02-01</t>
        </is>
      </c>
      <c r="C5" t="inlineStr">
        <is>
          <t>EUR</t>
        </is>
      </c>
      <c r="D5" t="inlineStr">
        <is>
          <t>USD</t>
        </is>
      </c>
      <c r="E5" s="18" t="n">
        <v>1</v>
      </c>
      <c r="F5" s="18" t="n">
        <v>1.1805</v>
      </c>
      <c r="G5" t="inlineStr">
        <is>
          <t>identity -&gt; https://www.ecb.europa.eu/stats/eurofxref/eurofxref-hist.xml</t>
        </is>
      </c>
    </row>
    <row r="6" ht="12" customHeight="1">
      <c r="A6" t="inlineStr">
        <is>
          <t>202602</t>
        </is>
      </c>
      <c r="B6" t="inlineStr">
        <is>
          <t>2026-02-01</t>
        </is>
      </c>
      <c r="C6" t="inlineStr">
        <is>
          <t>USD</t>
        </is>
      </c>
      <c r="D6" t="inlineStr">
        <is>
          <t>USD</t>
        </is>
      </c>
      <c r="E6" s="18" t="n">
        <v>1</v>
      </c>
      <c r="F6" s="18" t="n">
        <v>1</v>
      </c>
      <c r="G6" t="inlineStr">
        <is>
          <t>identity</t>
        </is>
      </c>
    </row>
    <row r="7" ht="12" customHeight="1">
      <c r="A7" t="inlineStr">
        <is>
          <t>202603</t>
        </is>
      </c>
      <c r="B7" t="inlineStr">
        <is>
          <t>2026-03-01</t>
        </is>
      </c>
      <c r="C7" t="inlineStr">
        <is>
          <t>EUR</t>
        </is>
      </c>
      <c r="D7" t="inlineStr">
        <is>
          <t>USD</t>
        </is>
      </c>
      <c r="E7" s="18" t="n">
        <v>1</v>
      </c>
      <c r="F7" s="18" t="n">
        <v>1.1498</v>
      </c>
      <c r="G7" t="inlineStr">
        <is>
          <t>identity -&gt; https://www.ecb.europa.eu/stats/eurofxref/eurofxref-hist.xml</t>
        </is>
      </c>
    </row>
    <row r="8" ht="12" customHeight="1">
      <c r="A8" t="inlineStr">
        <is>
          <t>202603</t>
        </is>
      </c>
      <c r="B8" t="inlineStr">
        <is>
          <t>2026-03-01</t>
        </is>
      </c>
      <c r="C8" t="inlineStr">
        <is>
          <t>USD</t>
        </is>
      </c>
      <c r="D8" t="inlineStr">
        <is>
          <t>USD</t>
        </is>
      </c>
      <c r="E8" s="18" t="n">
        <v>1</v>
      </c>
      <c r="F8" s="18" t="n">
        <v>1</v>
      </c>
      <c r="G8" t="inlineStr">
        <is>
          <t>identity</t>
        </is>
      </c>
    </row>
    <row r="9" ht="12" customHeight="1">
      <c r="A9" t="inlineStr">
        <is>
          <t>202604</t>
        </is>
      </c>
      <c r="B9" t="inlineStr">
        <is>
          <t>2026-04-01</t>
        </is>
      </c>
      <c r="C9" t="inlineStr">
        <is>
          <t>USD</t>
        </is>
      </c>
      <c r="D9" t="inlineStr">
        <is>
          <t>USD</t>
        </is>
      </c>
      <c r="E9" s="18" t="n">
        <v>1</v>
      </c>
      <c r="F9" s="18" t="n">
        <v>1</v>
      </c>
      <c r="G9" t="inlineStr">
        <is>
          <t>identity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6" customWidth="1" min="3" max="3"/>
    <col width="18" customWidth="1" min="4" max="4"/>
    <col width="14" customWidth="1" min="5" max="5"/>
  </cols>
  <sheetData>
    <row r="1" ht="12" customHeight="1">
      <c r="A1" s="16" t="inlineStr">
        <is>
          <t>&lt;- Volver a P&amp;G-INC</t>
        </is>
      </c>
    </row>
    <row r="2" ht="12" customHeight="1">
      <c r="A2" s="17" t="inlineStr">
        <is>
          <t>supplier_code</t>
        </is>
      </c>
      <c r="B2" s="17" t="inlineStr">
        <is>
          <t>supplier_name</t>
        </is>
      </c>
      <c r="C2" s="17" t="inlineStr">
        <is>
          <t>current_folder</t>
        </is>
      </c>
      <c r="D2" s="17" t="inlineStr">
        <is>
          <t>destination_path</t>
        </is>
      </c>
      <c r="E2" s="17" t="inlineStr">
        <is>
          <t>notes</t>
        </is>
      </c>
    </row>
    <row r="3" ht="12" customHeight="1">
      <c r="A3" t="inlineStr">
        <is>
          <t>JONDO</t>
        </is>
      </c>
      <c r="B3" t="inlineStr">
        <is>
          <t>JONDO</t>
        </is>
      </c>
      <c r="C3" t="inlineStr">
        <is>
          <t>jondo</t>
        </is>
      </c>
      <c r="D3" t="inlineStr">
        <is>
          <t>expenses/cogs/manufacturing</t>
        </is>
      </c>
      <c r="E3" t="inlineStr">
        <is>
          <t>Imported JONDO US supplier</t>
        </is>
      </c>
    </row>
    <row r="4" ht="12" customHeight="1">
      <c r="A4" t="inlineStr">
        <is>
          <t>TGI</t>
        </is>
      </c>
      <c r="B4" t="inlineStr">
        <is>
          <t>TGI</t>
        </is>
      </c>
      <c r="C4" t="inlineStr">
        <is>
          <t>tgi</t>
        </is>
      </c>
      <c r="D4" t="inlineStr">
        <is>
          <t>expenses/cogs/manufacturing-logistics</t>
        </is>
      </c>
      <c r="E4" t="inlineStr"/>
    </row>
    <row r="5" ht="12" customHeight="1">
      <c r="A5" t="inlineStr">
        <is>
          <t>CONTINUUM</t>
        </is>
      </c>
      <c r="B5" t="inlineStr">
        <is>
          <t>CONTINUUM</t>
        </is>
      </c>
      <c r="C5" t="inlineStr">
        <is>
          <t>Continuum</t>
        </is>
      </c>
      <c r="D5" t="inlineStr">
        <is>
          <t>expenses/opex/administration</t>
        </is>
      </c>
      <c r="E5" t="inlineStr"/>
    </row>
    <row r="6" ht="12" customHeight="1">
      <c r="A6" t="inlineStr">
        <is>
          <t>DELAWARE</t>
        </is>
      </c>
      <c r="B6" t="inlineStr">
        <is>
          <t>DELAWARE</t>
        </is>
      </c>
      <c r="C6" t="inlineStr">
        <is>
          <t>Delaware</t>
        </is>
      </c>
      <c r="D6" t="inlineStr">
        <is>
          <t>expenses/opex/administration</t>
        </is>
      </c>
      <c r="E6" t="inlineStr">
        <is>
          <t>US filing and registered office services</t>
        </is>
      </c>
    </row>
    <row r="7" ht="12" customHeight="1">
      <c r="A7" t="inlineStr">
        <is>
          <t>HUSHED</t>
        </is>
      </c>
      <c r="B7" t="inlineStr">
        <is>
          <t>HUSHED</t>
        </is>
      </c>
      <c r="C7" t="inlineStr">
        <is>
          <t>hushed</t>
        </is>
      </c>
      <c r="D7" t="inlineStr">
        <is>
          <t>expenses/opex/administration</t>
        </is>
      </c>
      <c r="E7" t="inlineStr"/>
    </row>
    <row r="8" ht="12" customHeight="1">
      <c r="A8" t="inlineStr">
        <is>
          <t>IPOSTAL</t>
        </is>
      </c>
      <c r="B8" t="inlineStr">
        <is>
          <t>IPOSTAL</t>
        </is>
      </c>
      <c r="C8" t="inlineStr">
        <is>
          <t>iPostal</t>
        </is>
      </c>
      <c r="D8" t="inlineStr">
        <is>
          <t>expenses/opex/administration</t>
        </is>
      </c>
      <c r="E8" t="inlineStr">
        <is>
          <t>Virtual mailbox and mailing address service</t>
        </is>
      </c>
    </row>
    <row r="9" ht="12" customHeight="1">
      <c r="A9" t="inlineStr">
        <is>
          <t>QUICKBOOKS</t>
        </is>
      </c>
      <c r="B9" t="inlineStr">
        <is>
          <t>QUICKBOOKS</t>
        </is>
      </c>
      <c r="C9" t="inlineStr">
        <is>
          <t>QuickBooks</t>
        </is>
      </c>
      <c r="D9" t="inlineStr">
        <is>
          <t>expenses/opex/administration</t>
        </is>
      </c>
      <c r="E9" t="inlineStr">
        <is>
          <t>Accounting software subscription</t>
        </is>
      </c>
    </row>
    <row r="10" ht="12" customHeight="1">
      <c r="A10" t="inlineStr">
        <is>
          <t>REGUS</t>
        </is>
      </c>
      <c r="B10" t="inlineStr">
        <is>
          <t>REGUS</t>
        </is>
      </c>
      <c r="C10" t="inlineStr">
        <is>
          <t>regus</t>
        </is>
      </c>
      <c r="D10" t="inlineStr">
        <is>
          <t>expenses/opex/administration</t>
        </is>
      </c>
      <c r="E10" t="inlineStr"/>
    </row>
    <row r="11" ht="12" customHeight="1">
      <c r="A11" t="inlineStr">
        <is>
          <t>SHAREDSERVICESSL</t>
        </is>
      </c>
      <c r="B11" t="inlineStr">
        <is>
          <t>SHAREDSERVICESSL</t>
        </is>
      </c>
      <c r="C11" t="inlineStr">
        <is>
          <t>HANNUN</t>
        </is>
      </c>
      <c r="D11" t="inlineStr">
        <is>
          <t>expenses/opex/shared-services</t>
        </is>
      </c>
      <c r="E11" t="inlineStr">
        <is>
          <t>Intercompany shared services</t>
        </is>
      </c>
    </row>
  </sheetData>
  <hyperlinks>
    <hyperlink ref="A1" location="'P&amp;G-INC'!A1" display="&lt;- Volver a P&amp;G-INC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4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24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</cols>
  <sheetData>
    <row r="1" ht="1" customHeight="1">
      <c r="A1" s="1" t="n"/>
      <c r="B1" s="1" t="n"/>
      <c r="C1" s="1" t="n"/>
      <c r="D1" s="1" t="inlineStr">
        <is>
          <t>202601</t>
        </is>
      </c>
      <c r="E1" s="1" t="inlineStr">
        <is>
          <t>202602</t>
        </is>
      </c>
      <c r="F1" s="1" t="inlineStr">
        <is>
          <t>202603</t>
        </is>
      </c>
      <c r="G1" s="1" t="inlineStr">
        <is>
          <t>202604</t>
        </is>
      </c>
      <c r="H1" s="1" t="inlineStr">
        <is>
          <t>202605</t>
        </is>
      </c>
      <c r="I1" s="1" t="inlineStr">
        <is>
          <t>202606</t>
        </is>
      </c>
      <c r="J1" s="1" t="inlineStr">
        <is>
          <t>202607</t>
        </is>
      </c>
      <c r="K1" s="1" t="inlineStr">
        <is>
          <t>202608</t>
        </is>
      </c>
      <c r="L1" s="1" t="inlineStr">
        <is>
          <t>202609</t>
        </is>
      </c>
      <c r="M1" s="1" t="inlineStr">
        <is>
          <t>202610</t>
        </is>
      </c>
      <c r="N1" s="1" t="inlineStr">
        <is>
          <t>202611</t>
        </is>
      </c>
      <c r="O1" s="1" t="inlineStr">
        <is>
          <t>202612</t>
        </is>
      </c>
      <c r="P1" s="1" t="inlineStr">
        <is>
          <t>TOTAL</t>
        </is>
      </c>
    </row>
    <row r="2" ht="12" customHeight="1">
      <c r="A2" s="20" t="inlineStr">
        <is>
          <t>Nº Facturas INC 2026</t>
        </is>
      </c>
      <c r="B2" s="1" t="n"/>
      <c r="C2" s="1" t="n"/>
      <c r="D2" s="1" t="inlineStr">
        <is>
          <t>Enero</t>
        </is>
      </c>
      <c r="E2" s="1" t="inlineStr">
        <is>
          <t>Febrero</t>
        </is>
      </c>
      <c r="F2" s="1" t="inlineStr">
        <is>
          <t>Marzo</t>
        </is>
      </c>
      <c r="G2" s="1" t="inlineStr">
        <is>
          <t>Abril</t>
        </is>
      </c>
      <c r="H2" s="1" t="inlineStr">
        <is>
          <t>Mayo</t>
        </is>
      </c>
      <c r="I2" s="1" t="inlineStr">
        <is>
          <t>Junio</t>
        </is>
      </c>
      <c r="J2" s="1" t="inlineStr">
        <is>
          <t>Julio</t>
        </is>
      </c>
      <c r="K2" s="1" t="inlineStr">
        <is>
          <t>Agosto</t>
        </is>
      </c>
      <c r="L2" s="1" t="inlineStr">
        <is>
          <t>Septiembre</t>
        </is>
      </c>
      <c r="M2" s="1" t="inlineStr">
        <is>
          <t>Octubre</t>
        </is>
      </c>
      <c r="N2" s="1" t="inlineStr">
        <is>
          <t>Noviembre</t>
        </is>
      </c>
      <c r="O2" s="1" t="inlineStr">
        <is>
          <t>Diciembre</t>
        </is>
      </c>
      <c r="P2" s="1" t="inlineStr">
        <is>
          <t>Total</t>
        </is>
      </c>
    </row>
    <row r="4" ht="12" customHeight="1">
      <c r="A4" s="21" t="inlineStr">
        <is>
          <t>Turnover</t>
        </is>
      </c>
      <c r="B4" s="22" t="n"/>
      <c r="C4" s="22" t="n"/>
      <c r="D4" s="22" t="n">
        <v>1</v>
      </c>
      <c r="E4" s="22" t="n">
        <v>1</v>
      </c>
      <c r="F4" s="22" t="n">
        <v>1</v>
      </c>
      <c r="G4" s="22" t="n">
        <v>1</v>
      </c>
      <c r="H4" s="22" t="n">
        <v>0</v>
      </c>
      <c r="I4" s="22" t="n">
        <v>0</v>
      </c>
      <c r="J4" s="22" t="n">
        <v>0</v>
      </c>
      <c r="K4" s="22" t="n">
        <v>0</v>
      </c>
      <c r="L4" s="22" t="n">
        <v>0</v>
      </c>
      <c r="M4" s="22" t="n">
        <v>0</v>
      </c>
      <c r="N4" s="22" t="n">
        <v>0</v>
      </c>
      <c r="O4" s="22" t="n">
        <v>0</v>
      </c>
      <c r="P4" s="22" t="n">
        <v>4</v>
      </c>
      <c r="Q4" s="22" t="n"/>
    </row>
    <row r="5" ht="12" customHeight="1">
      <c r="A5" s="23" t="n"/>
      <c r="B5" s="24" t="inlineStr">
        <is>
          <t>Product sales</t>
        </is>
      </c>
      <c r="C5" s="23" t="n"/>
      <c r="D5" s="23" t="n">
        <v>1</v>
      </c>
      <c r="E5" s="23" t="n">
        <v>1</v>
      </c>
      <c r="F5" s="23" t="n">
        <v>1</v>
      </c>
      <c r="G5" s="23" t="n">
        <v>1</v>
      </c>
      <c r="H5" s="23" t="n">
        <v>0</v>
      </c>
      <c r="I5" s="23" t="n">
        <v>0</v>
      </c>
      <c r="J5" s="23" t="n">
        <v>0</v>
      </c>
      <c r="K5" s="23" t="n">
        <v>0</v>
      </c>
      <c r="L5" s="23" t="n">
        <v>0</v>
      </c>
      <c r="M5" s="23" t="n">
        <v>0</v>
      </c>
      <c r="N5" s="23" t="n">
        <v>0</v>
      </c>
      <c r="O5" s="23" t="n">
        <v>0</v>
      </c>
      <c r="P5" s="23" t="n">
        <v>4</v>
      </c>
      <c r="Q5" s="23" t="n"/>
    </row>
    <row r="6" ht="12" customHeight="1">
      <c r="A6" s="25" t="n"/>
      <c r="B6" s="25" t="n"/>
      <c r="C6" s="9" t="inlineStr">
        <is>
          <t>Shopify</t>
        </is>
      </c>
      <c r="D6" s="25" t="n">
        <v>1</v>
      </c>
      <c r="E6" s="25" t="n">
        <v>1</v>
      </c>
      <c r="F6" s="25" t="n">
        <v>1</v>
      </c>
      <c r="G6" s="25" t="n">
        <v>1</v>
      </c>
      <c r="H6" s="25" t="n">
        <v>0</v>
      </c>
      <c r="I6" s="25" t="n">
        <v>0</v>
      </c>
      <c r="J6" s="25" t="n">
        <v>0</v>
      </c>
      <c r="K6" s="25" t="n">
        <v>0</v>
      </c>
      <c r="L6" s="25" t="n">
        <v>0</v>
      </c>
      <c r="M6" s="25" t="n">
        <v>0</v>
      </c>
      <c r="N6" s="25" t="n">
        <v>0</v>
      </c>
      <c r="O6" s="25" t="n">
        <v>0</v>
      </c>
      <c r="P6" s="25" t="n">
        <v>4</v>
      </c>
      <c r="Q6" s="25" t="n"/>
    </row>
    <row r="7" ht="12" customHeight="1">
      <c r="C7" t="inlineStr">
        <is>
          <t>US</t>
        </is>
      </c>
      <c r="D7" t="n">
        <v>1</v>
      </c>
      <c r="E7" t="n">
        <v>1</v>
      </c>
      <c r="F7" t="n">
        <v>1</v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4</v>
      </c>
    </row>
    <row r="8" ht="12" customHeight="1">
      <c r="A8" s="23" t="n"/>
      <c r="B8" s="24" t="inlineStr">
        <is>
          <t>Services</t>
        </is>
      </c>
      <c r="C8" s="23" t="n"/>
      <c r="D8" s="23" t="n">
        <v>0</v>
      </c>
      <c r="E8" s="23" t="n">
        <v>0</v>
      </c>
      <c r="F8" s="23" t="n">
        <v>0</v>
      </c>
      <c r="G8" s="23" t="n">
        <v>0</v>
      </c>
      <c r="H8" s="23" t="n">
        <v>0</v>
      </c>
      <c r="I8" s="23" t="n">
        <v>0</v>
      </c>
      <c r="J8" s="23" t="n">
        <v>0</v>
      </c>
      <c r="K8" s="23" t="n">
        <v>0</v>
      </c>
      <c r="L8" s="23" t="n">
        <v>0</v>
      </c>
      <c r="M8" s="23" t="n">
        <v>0</v>
      </c>
      <c r="N8" s="23" t="n">
        <v>0</v>
      </c>
      <c r="O8" s="23" t="n">
        <v>0</v>
      </c>
      <c r="P8" s="23" t="n">
        <v>0</v>
      </c>
      <c r="Q8" s="23" t="n"/>
    </row>
    <row r="9" ht="12" customHeight="1">
      <c r="A9" s="25" t="n"/>
      <c r="B9" s="9" t="inlineStr">
        <is>
          <t>Uncategorized income</t>
        </is>
      </c>
      <c r="C9" s="25" t="n"/>
      <c r="D9" s="25" t="n">
        <v>0</v>
      </c>
      <c r="E9" s="25" t="n">
        <v>0</v>
      </c>
      <c r="F9" s="25" t="n">
        <v>0</v>
      </c>
      <c r="G9" s="25" t="n">
        <v>0</v>
      </c>
      <c r="H9" s="25" t="n">
        <v>0</v>
      </c>
      <c r="I9" s="25" t="n">
        <v>0</v>
      </c>
      <c r="J9" s="25" t="n">
        <v>0</v>
      </c>
      <c r="K9" s="25" t="n">
        <v>0</v>
      </c>
      <c r="L9" s="25" t="n">
        <v>0</v>
      </c>
      <c r="M9" s="25" t="n">
        <v>0</v>
      </c>
      <c r="N9" s="25" t="n">
        <v>0</v>
      </c>
      <c r="O9" s="25" t="n">
        <v>0</v>
      </c>
      <c r="P9" s="25" t="n">
        <v>0</v>
      </c>
      <c r="Q9" s="25" t="n"/>
    </row>
    <row r="10" ht="12" customHeight="1"/>
    <row r="11" ht="12" customHeight="1">
      <c r="A11" s="21" t="inlineStr">
        <is>
          <t>Expenses</t>
        </is>
      </c>
      <c r="B11" s="22" t="n"/>
      <c r="C11" s="22" t="n"/>
      <c r="D11" s="22" t="n">
        <v>19</v>
      </c>
      <c r="E11" s="22" t="n">
        <v>31</v>
      </c>
      <c r="F11" s="22" t="n">
        <v>34</v>
      </c>
      <c r="G11" s="22" t="n">
        <v>3</v>
      </c>
      <c r="H11" s="22" t="n">
        <v>0</v>
      </c>
      <c r="I11" s="22" t="n">
        <v>0</v>
      </c>
      <c r="J11" s="22" t="n">
        <v>0</v>
      </c>
      <c r="K11" s="22" t="n">
        <v>0</v>
      </c>
      <c r="L11" s="22" t="n">
        <v>0</v>
      </c>
      <c r="M11" s="22" t="n">
        <v>0</v>
      </c>
      <c r="N11" s="22" t="n">
        <v>0</v>
      </c>
      <c r="O11" s="22" t="n">
        <v>0</v>
      </c>
      <c r="P11" s="22" t="n">
        <v>87</v>
      </c>
      <c r="Q11" s="22" t="n"/>
    </row>
    <row r="12" ht="12" customHeight="1">
      <c r="A12" s="23" t="n"/>
      <c r="B12" s="24" t="inlineStr">
        <is>
          <t>COGS</t>
        </is>
      </c>
      <c r="C12" s="23" t="n"/>
      <c r="D12" s="23" t="n">
        <v>10</v>
      </c>
      <c r="E12" s="23" t="n">
        <v>21</v>
      </c>
      <c r="F12" s="23" t="n">
        <v>23</v>
      </c>
      <c r="G12" s="23" t="n">
        <v>1</v>
      </c>
      <c r="H12" s="23" t="n">
        <v>0</v>
      </c>
      <c r="I12" s="23" t="n">
        <v>0</v>
      </c>
      <c r="J12" s="23" t="n">
        <v>0</v>
      </c>
      <c r="K12" s="23" t="n">
        <v>0</v>
      </c>
      <c r="L12" s="23" t="n">
        <v>0</v>
      </c>
      <c r="M12" s="23" t="n">
        <v>0</v>
      </c>
      <c r="N12" s="23" t="n">
        <v>0</v>
      </c>
      <c r="O12" s="23" t="n">
        <v>0</v>
      </c>
      <c r="P12" s="23" t="n">
        <v>55</v>
      </c>
      <c r="Q12" s="23" t="n"/>
    </row>
    <row r="13" ht="12" customHeight="1">
      <c r="A13" s="25" t="n"/>
      <c r="B13" s="25" t="n"/>
      <c r="C13" s="9" t="inlineStr">
        <is>
          <t>Manufacturing</t>
        </is>
      </c>
      <c r="D13" s="25" t="n">
        <v>8</v>
      </c>
      <c r="E13" s="25" t="n">
        <v>19</v>
      </c>
      <c r="F13" s="25" t="n">
        <v>22</v>
      </c>
      <c r="G13" s="25" t="n">
        <v>0</v>
      </c>
      <c r="H13" s="25" t="n">
        <v>0</v>
      </c>
      <c r="I13" s="25" t="n">
        <v>0</v>
      </c>
      <c r="J13" s="25" t="n">
        <v>0</v>
      </c>
      <c r="K13" s="25" t="n">
        <v>0</v>
      </c>
      <c r="L13" s="25" t="n">
        <v>0</v>
      </c>
      <c r="M13" s="25" t="n">
        <v>0</v>
      </c>
      <c r="N13" s="25" t="n">
        <v>0</v>
      </c>
      <c r="O13" s="25" t="n">
        <v>0</v>
      </c>
      <c r="P13" s="25" t="n">
        <v>49</v>
      </c>
      <c r="Q13" s="25" t="n"/>
    </row>
    <row r="14" ht="12" customHeight="1">
      <c r="C14" t="inlineStr">
        <is>
          <t>JONDO</t>
        </is>
      </c>
      <c r="D14" t="n">
        <v>7</v>
      </c>
      <c r="E14" t="n">
        <v>18</v>
      </c>
      <c r="F14" t="n">
        <v>22</v>
      </c>
      <c r="G14" s="26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47</v>
      </c>
    </row>
    <row r="15" ht="12" customHeight="1">
      <c r="C15" t="inlineStr">
        <is>
          <t>TGI</t>
        </is>
      </c>
      <c r="D15" t="n">
        <v>1</v>
      </c>
      <c r="E15" t="n">
        <v>1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2</v>
      </c>
    </row>
    <row r="16" ht="12" customHeight="1">
      <c r="A16" s="25" t="n"/>
      <c r="B16" s="25" t="n"/>
      <c r="C16" s="9" t="inlineStr">
        <is>
          <t>Logistics</t>
        </is>
      </c>
      <c r="D16" s="25" t="n">
        <v>1</v>
      </c>
      <c r="E16" s="25" t="n">
        <v>1</v>
      </c>
      <c r="F16" s="25" t="n">
        <v>0</v>
      </c>
      <c r="G16" s="25" t="n">
        <v>0</v>
      </c>
      <c r="H16" s="25" t="n">
        <v>0</v>
      </c>
      <c r="I16" s="25" t="n">
        <v>0</v>
      </c>
      <c r="J16" s="25" t="n">
        <v>0</v>
      </c>
      <c r="K16" s="25" t="n">
        <v>0</v>
      </c>
      <c r="L16" s="25" t="n">
        <v>0</v>
      </c>
      <c r="M16" s="25" t="n">
        <v>0</v>
      </c>
      <c r="N16" s="25" t="n">
        <v>0</v>
      </c>
      <c r="O16" s="25" t="n">
        <v>0</v>
      </c>
      <c r="P16" s="25" t="n">
        <v>2</v>
      </c>
      <c r="Q16" s="25" t="n"/>
    </row>
    <row r="17" ht="12" customHeight="1">
      <c r="C17" t="inlineStr">
        <is>
          <t>TGI</t>
        </is>
      </c>
      <c r="D17" t="n">
        <v>1</v>
      </c>
      <c r="E17" t="n">
        <v>1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2</v>
      </c>
    </row>
    <row r="18" ht="12" customHeight="1">
      <c r="A18" s="25" t="n"/>
      <c r="B18" s="25" t="n"/>
      <c r="C18" s="9" t="inlineStr">
        <is>
          <t>Payment fees</t>
        </is>
      </c>
      <c r="D18" s="25" t="n">
        <v>1</v>
      </c>
      <c r="E18" s="25" t="n">
        <v>1</v>
      </c>
      <c r="F18" s="25" t="n">
        <v>1</v>
      </c>
      <c r="G18" s="25" t="n">
        <v>1</v>
      </c>
      <c r="H18" s="25" t="n">
        <v>0</v>
      </c>
      <c r="I18" s="25" t="n">
        <v>0</v>
      </c>
      <c r="J18" s="25" t="n">
        <v>0</v>
      </c>
      <c r="K18" s="25" t="n">
        <v>0</v>
      </c>
      <c r="L18" s="25" t="n">
        <v>0</v>
      </c>
      <c r="M18" s="25" t="n">
        <v>0</v>
      </c>
      <c r="N18" s="25" t="n">
        <v>0</v>
      </c>
      <c r="O18" s="25" t="n">
        <v>0</v>
      </c>
      <c r="P18" s="25" t="n">
        <v>4</v>
      </c>
      <c r="Q18" s="25" t="n"/>
    </row>
    <row r="19" ht="12" customHeight="1">
      <c r="C19" t="inlineStr">
        <is>
          <t>SHOPIFY</t>
        </is>
      </c>
      <c r="D19" t="n">
        <v>1</v>
      </c>
      <c r="E19" t="n">
        <v>1</v>
      </c>
      <c r="F19" t="n">
        <v>1</v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4</v>
      </c>
    </row>
    <row r="20" ht="12" customHeight="1"/>
    <row r="21" ht="12" customHeight="1">
      <c r="A21" s="23" t="n"/>
      <c r="B21" s="24" t="inlineStr">
        <is>
          <t>Opex</t>
        </is>
      </c>
      <c r="C21" s="23" t="n"/>
      <c r="D21" s="23" t="n">
        <v>9</v>
      </c>
      <c r="E21" s="23" t="n">
        <v>10</v>
      </c>
      <c r="F21" s="23" t="n">
        <v>11</v>
      </c>
      <c r="G21" s="23" t="n">
        <v>2</v>
      </c>
      <c r="H21" s="23" t="n">
        <v>0</v>
      </c>
      <c r="I21" s="23" t="n">
        <v>0</v>
      </c>
      <c r="J21" s="23" t="n">
        <v>0</v>
      </c>
      <c r="K21" s="23" t="n">
        <v>0</v>
      </c>
      <c r="L21" s="23" t="n">
        <v>0</v>
      </c>
      <c r="M21" s="23" t="n">
        <v>0</v>
      </c>
      <c r="N21" s="23" t="n">
        <v>0</v>
      </c>
      <c r="O21" s="23" t="n">
        <v>0</v>
      </c>
      <c r="P21" s="23" t="n">
        <v>32</v>
      </c>
      <c r="Q21" s="23" t="n"/>
    </row>
    <row r="22" ht="12" customHeight="1">
      <c r="A22" s="25" t="n"/>
      <c r="B22" s="25" t="n"/>
      <c r="C22" s="9" t="inlineStr">
        <is>
          <t>Shared services</t>
        </is>
      </c>
      <c r="D22" s="25" t="n">
        <v>1</v>
      </c>
      <c r="E22" s="25" t="n">
        <v>1</v>
      </c>
      <c r="F22" s="25" t="n">
        <v>1</v>
      </c>
      <c r="G22" s="25" t="n">
        <v>0</v>
      </c>
      <c r="H22" s="25" t="n">
        <v>0</v>
      </c>
      <c r="I22" s="25" t="n">
        <v>0</v>
      </c>
      <c r="J22" s="25" t="n">
        <v>0</v>
      </c>
      <c r="K22" s="25" t="n">
        <v>0</v>
      </c>
      <c r="L22" s="25" t="n">
        <v>0</v>
      </c>
      <c r="M22" s="25" t="n">
        <v>0</v>
      </c>
      <c r="N22" s="25" t="n">
        <v>0</v>
      </c>
      <c r="O22" s="25" t="n">
        <v>0</v>
      </c>
      <c r="P22" s="25" t="n">
        <v>3</v>
      </c>
      <c r="Q22" s="25" t="n"/>
    </row>
    <row r="23" ht="12" customHeight="1">
      <c r="C23" t="inlineStr">
        <is>
          <t>SHAREDSERVICESSL</t>
        </is>
      </c>
      <c r="D23" t="n">
        <v>1</v>
      </c>
      <c r="E23" t="n">
        <v>1</v>
      </c>
      <c r="F23" t="n">
        <v>1</v>
      </c>
      <c r="G23" s="26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3</v>
      </c>
    </row>
    <row r="24" ht="12" customHeight="1">
      <c r="A24" s="25" t="n"/>
      <c r="B24" s="25" t="n"/>
      <c r="C24" s="9" t="inlineStr">
        <is>
          <t>Administration</t>
        </is>
      </c>
      <c r="D24" s="25" t="n">
        <v>8</v>
      </c>
      <c r="E24" s="25" t="n">
        <v>9</v>
      </c>
      <c r="F24" s="25" t="n">
        <v>10</v>
      </c>
      <c r="G24" s="25" t="n">
        <v>2</v>
      </c>
      <c r="H24" s="25" t="n">
        <v>0</v>
      </c>
      <c r="I24" s="25" t="n">
        <v>0</v>
      </c>
      <c r="J24" s="25" t="n">
        <v>0</v>
      </c>
      <c r="K24" s="25" t="n">
        <v>0</v>
      </c>
      <c r="L24" s="25" t="n">
        <v>0</v>
      </c>
      <c r="M24" s="25" t="n">
        <v>0</v>
      </c>
      <c r="N24" s="25" t="n">
        <v>0</v>
      </c>
      <c r="O24" s="25" t="n">
        <v>0</v>
      </c>
      <c r="P24" s="25" t="n">
        <v>29</v>
      </c>
      <c r="Q24" s="25" t="n"/>
    </row>
    <row r="25" ht="12" customHeight="1">
      <c r="C25" t="inlineStr">
        <is>
          <t>CONTINUUM</t>
        </is>
      </c>
      <c r="D25" t="n">
        <v>1</v>
      </c>
      <c r="E25" t="n">
        <v>1</v>
      </c>
      <c r="F25" t="n">
        <v>1</v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4</v>
      </c>
    </row>
    <row r="26" ht="12" customHeight="1">
      <c r="C26" t="inlineStr">
        <is>
          <t>DELAWARE</t>
        </is>
      </c>
      <c r="D26" t="n">
        <v>0</v>
      </c>
      <c r="E26" t="n">
        <v>0</v>
      </c>
      <c r="F26" t="n">
        <v>1</v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2</v>
      </c>
    </row>
    <row r="27" ht="12" customHeight="1">
      <c r="C27" t="inlineStr">
        <is>
          <t>HUSHED</t>
        </is>
      </c>
      <c r="D27" t="n">
        <v>1</v>
      </c>
      <c r="E27" t="n">
        <v>1</v>
      </c>
      <c r="F27" t="n">
        <v>1</v>
      </c>
      <c r="G27" s="26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3</v>
      </c>
    </row>
    <row r="28" ht="12" customHeight="1">
      <c r="C28" t="inlineStr">
        <is>
          <t>IPOSTAL</t>
        </is>
      </c>
      <c r="D28" t="n">
        <v>4</v>
      </c>
      <c r="E28" t="n">
        <v>5</v>
      </c>
      <c r="F28" t="n">
        <v>6</v>
      </c>
      <c r="G28" s="26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15</v>
      </c>
    </row>
    <row r="29" ht="12" customHeight="1">
      <c r="C29" t="inlineStr">
        <is>
          <t>QUICKBOOKS</t>
        </is>
      </c>
      <c r="D29" t="n">
        <v>1</v>
      </c>
      <c r="E29" t="n">
        <v>1</v>
      </c>
      <c r="F29" t="n">
        <v>1</v>
      </c>
      <c r="G29" s="26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3</v>
      </c>
    </row>
    <row r="30" ht="12" customHeight="1">
      <c r="C30" t="inlineStr">
        <is>
          <t>REGUS</t>
        </is>
      </c>
      <c r="D30" t="n">
        <v>1</v>
      </c>
      <c r="E30" t="n">
        <v>1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2</v>
      </c>
    </row>
    <row r="31" ht="12" customHeight="1">
      <c r="A31" s="25" t="n"/>
      <c r="B31" s="25" t="n"/>
      <c r="C31" s="9" t="inlineStr">
        <is>
          <t>Technology</t>
        </is>
      </c>
      <c r="D31" s="25" t="n">
        <v>0</v>
      </c>
      <c r="E31" s="25" t="n">
        <v>0</v>
      </c>
      <c r="F31" s="25" t="n">
        <v>0</v>
      </c>
      <c r="G31" s="25" t="n">
        <v>0</v>
      </c>
      <c r="H31" s="25" t="n">
        <v>0</v>
      </c>
      <c r="I31" s="25" t="n">
        <v>0</v>
      </c>
      <c r="J31" s="25" t="n">
        <v>0</v>
      </c>
      <c r="K31" s="25" t="n">
        <v>0</v>
      </c>
      <c r="L31" s="25" t="n">
        <v>0</v>
      </c>
      <c r="M31" s="25" t="n">
        <v>0</v>
      </c>
      <c r="N31" s="25" t="n">
        <v>0</v>
      </c>
      <c r="O31" s="25" t="n">
        <v>0</v>
      </c>
      <c r="P31" s="25" t="n">
        <v>0</v>
      </c>
      <c r="Q31" s="25" t="n"/>
    </row>
    <row r="32" ht="12" customHeight="1">
      <c r="C32" t="inlineStr">
        <is>
          <t>REVER</t>
        </is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 ht="12" customHeight="1">
      <c r="A33" s="25" t="n"/>
      <c r="B33" s="25" t="n"/>
      <c r="C33" s="9" t="inlineStr">
        <is>
          <t>Uncategorized Expenses</t>
        </is>
      </c>
      <c r="D33" s="25" t="n">
        <v>0</v>
      </c>
      <c r="E33" s="25" t="n">
        <v>0</v>
      </c>
      <c r="F33" s="25" t="n">
        <v>0</v>
      </c>
      <c r="G33" s="25" t="n">
        <v>0</v>
      </c>
      <c r="H33" s="25" t="n">
        <v>0</v>
      </c>
      <c r="I33" s="25" t="n">
        <v>0</v>
      </c>
      <c r="J33" s="25" t="n">
        <v>0</v>
      </c>
      <c r="K33" s="25" t="n">
        <v>0</v>
      </c>
      <c r="L33" s="25" t="n">
        <v>0</v>
      </c>
      <c r="M33" s="25" t="n">
        <v>0</v>
      </c>
      <c r="N33" s="25" t="n">
        <v>0</v>
      </c>
      <c r="O33" s="25" t="n">
        <v>0</v>
      </c>
      <c r="P33" s="25" t="n">
        <v>0</v>
      </c>
      <c r="Q33" s="25" t="n"/>
    </row>
    <row r="34" ht="12" customHeight="1">
      <c r="A34" s="25" t="n"/>
      <c r="B34" s="9" t="inlineStr">
        <is>
          <t>Currency Adjustment</t>
        </is>
      </c>
      <c r="C34" s="25" t="n"/>
      <c r="D34" s="25" t="n">
        <v>0</v>
      </c>
      <c r="E34" s="25" t="n">
        <v>0</v>
      </c>
      <c r="F34" s="25" t="n">
        <v>0</v>
      </c>
      <c r="G34" s="25" t="n">
        <v>0</v>
      </c>
      <c r="H34" s="25" t="n">
        <v>0</v>
      </c>
      <c r="I34" s="25" t="n">
        <v>0</v>
      </c>
      <c r="J34" s="25" t="n">
        <v>0</v>
      </c>
      <c r="K34" s="25" t="n">
        <v>0</v>
      </c>
      <c r="L34" s="25" t="n">
        <v>0</v>
      </c>
      <c r="M34" s="25" t="n">
        <v>0</v>
      </c>
      <c r="N34" s="25" t="n">
        <v>0</v>
      </c>
      <c r="O34" s="25" t="n">
        <v>0</v>
      </c>
      <c r="P34" s="25" t="n">
        <v>0</v>
      </c>
      <c r="Q34" s="25" t="n"/>
    </row>
  </sheetData>
  <mergeCells count="1"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2026-04-10T09:48:04Z</dcterms:created>
  <dcterms:modified xsi:type="dcterms:W3CDTF">2026-04-10T09:48:04Z</dcterms:modified>
</cp:coreProperties>
</file>