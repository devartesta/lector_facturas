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G-INC" sheetId="1" state="visible" r:id="rId1"/>
    <sheet xmlns:r="http://schemas.openxmlformats.org/officeDocument/2006/relationships" name="params" sheetId="2" state="visible" r:id="rId2"/>
    <sheet xmlns:r="http://schemas.openxmlformats.org/officeDocument/2006/relationships" name="i-shopify-inc" sheetId="3" state="visible" r:id="rId3"/>
    <sheet xmlns:r="http://schemas.openxmlformats.org/officeDocument/2006/relationships" name="g-expenses-inc" sheetId="4" state="visible" r:id="rId4"/>
    <sheet xmlns:r="http://schemas.openxmlformats.org/officeDocument/2006/relationships" name="g-payment-fees-inc" sheetId="5" state="visible" r:id="rId5"/>
    <sheet xmlns:r="http://schemas.openxmlformats.org/officeDocument/2006/relationships" name="fx-rates" sheetId="6" state="visible" r:id="rId6"/>
    <sheet xmlns:r="http://schemas.openxmlformats.org/officeDocument/2006/relationships" name="catalog-inc" sheetId="7" state="visible" r:id="rId7"/>
    <sheet xmlns:r="http://schemas.openxmlformats.org/officeDocument/2006/relationships" name="Nº Facturas-INC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0000000"/>
    <numFmt numFmtId="166" formatCode="0.0%;[Red](0.0%);-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i val="1"/>
      <color rgb="00666666"/>
      <sz val="9"/>
    </font>
    <font>
      <b val="1"/>
    </font>
    <font>
      <color rgb="00666666"/>
    </font>
    <font>
      <b val="1"/>
      <color rgb="001F1F1F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3F8"/>
      </patternFill>
    </fill>
    <fill>
      <patternFill patternType="solid">
        <fgColor rgb="00FFF2CC"/>
      </patternFill>
    </fill>
    <fill>
      <patternFill patternType="solid">
        <fgColor rgb="00F3F6F8"/>
      </patternFill>
    </fill>
    <fill>
      <patternFill patternType="solid">
        <fgColor rgb="00FFAAAA"/>
      </patternFill>
    </fill>
  </fills>
  <borders count="3">
    <border>
      <left/>
      <right/>
      <top/>
      <bottom/>
      <diagonal/>
    </border>
    <border>
      <top style="medium">
        <color rgb="007F7F7F"/>
      </top>
    </border>
    <border>
      <top style="thin">
        <color rgb="00A6A6A6"/>
      </top>
    </border>
  </borders>
  <cellStyleXfs count="2">
    <xf numFmtId="0" fontId="0" fillId="0" borderId="0"/>
    <xf numFmtId="0" fontId="7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0" borderId="0" pivotButton="0" quotePrefix="0" xfId="0"/>
    <xf numFmtId="0" fontId="4" fillId="3" borderId="1" pivotButton="0" quotePrefix="0" xfId="0"/>
    <xf numFmtId="164" fontId="0" fillId="3" borderId="1" pivotButton="0" quotePrefix="0" xfId="0"/>
    <xf numFmtId="0" fontId="4" fillId="4" borderId="2" pivotButton="0" quotePrefix="0" xfId="0"/>
    <xf numFmtId="164" fontId="0" fillId="4" borderId="2" pivotButton="0" quotePrefix="0" xfId="0"/>
    <xf numFmtId="0" fontId="4" fillId="4" borderId="0" pivotButton="0" quotePrefix="0" xfId="0"/>
    <xf numFmtId="164" fontId="0" fillId="4" borderId="0" pivotButton="0" quotePrefix="0" xfId="0"/>
    <xf numFmtId="166" fontId="0" fillId="0" borderId="0" pivotButton="0" quotePrefix="0" xfId="0"/>
    <xf numFmtId="0" fontId="5" fillId="0" borderId="0" pivotButton="0" quotePrefix="0" xfId="0"/>
    <xf numFmtId="0" fontId="4" fillId="5" borderId="1" pivotButton="0" quotePrefix="0" xfId="0"/>
    <xf numFmtId="164" fontId="0" fillId="5" borderId="1" pivotButton="0" quotePrefix="0" xfId="0"/>
    <xf numFmtId="0" fontId="4" fillId="0" borderId="0" pivotButton="0" quotePrefix="0" xfId="0"/>
    <xf numFmtId="0" fontId="6" fillId="6" borderId="0" applyAlignment="1" pivotButton="0" quotePrefix="0" xfId="0">
      <alignment horizontal="left" vertical="center"/>
    </xf>
    <xf numFmtId="0" fontId="1" fillId="2" borderId="0" pivotButton="0" quotePrefix="0" xfId="0"/>
    <xf numFmtId="165" fontId="0" fillId="0" borderId="0" pivotButton="0" quotePrefix="0" xfId="0"/>
    <xf numFmtId="0" fontId="7" fillId="0" borderId="0" pivotButton="0" quotePrefix="0" xfId="1"/>
    <xf numFmtId="0" fontId="2" fillId="2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4" fillId="6" borderId="0" pivotButton="0" quotePrefix="0" xfId="0"/>
    <xf numFmtId="0" fontId="0" fillId="4" borderId="0" pivotButton="0" quotePrefix="0" xfId="0"/>
    <xf numFmtId="0" fontId="0" fillId="7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drive.google.com/file/d/1VQJLNIB-5t3CvvCH7lD24otxOYB9qBhF/view?usp=drivesdk" TargetMode="External" Id="rId1"/><Relationship Type="http://schemas.openxmlformats.org/officeDocument/2006/relationships/hyperlink" Target="https://drive.google.com/file/d/1BbduJYKX9BQjP8XUl1QyyqI2dYd_kaDG/view?usp=drivesdk" TargetMode="External" Id="rId2"/><Relationship Type="http://schemas.openxmlformats.org/officeDocument/2006/relationships/hyperlink" Target="https://drive.google.com/file/d/1ceZ6j5WAJAPPlpRSVBybJc0WhWv0xodP/view?usp=drivesdk" TargetMode="External" Id="rId3"/><Relationship Type="http://schemas.openxmlformats.org/officeDocument/2006/relationships/hyperlink" Target="https://drive.google.com/file/d/1LMi5pj2ZXxZnqbNKNzf_j2iSIru1WK79/view?usp=drivesdk" TargetMode="External" Id="rId4"/><Relationship Type="http://schemas.openxmlformats.org/officeDocument/2006/relationships/hyperlink" Target="https://drive.google.com/file/d/1KbHUnph5gmHbdTxLjqKqYInKlrmdz4wL/view?usp=drivesdk" TargetMode="External" Id="rId5"/><Relationship Type="http://schemas.openxmlformats.org/officeDocument/2006/relationships/hyperlink" Target="https://drive.google.com/file/d/1yyR0exo4N4IjQeijc-RMOgOFPehkmWG7/view?usp=drivesdk" TargetMode="External" Id="rId6"/><Relationship Type="http://schemas.openxmlformats.org/officeDocument/2006/relationships/hyperlink" Target="https://drive.google.com/file/d/1O0P3vzvWe4u3W1s9Cfr7AhvvLpiFmCxE/view?usp=drivesdk" TargetMode="External" Id="rId7"/><Relationship Type="http://schemas.openxmlformats.org/officeDocument/2006/relationships/hyperlink" Target="https://drive.google.com/file/d/1jyxd9FqicevsnM8DLiOFiRnzfnmWfzky/view?usp=drivesdk" TargetMode="External" Id="rId8"/><Relationship Type="http://schemas.openxmlformats.org/officeDocument/2006/relationships/hyperlink" Target="https://drive.google.com/file/d/1RevzUHhRECleLrhtwD-YjTJp9jaJUWDK/view?usp=drivesdk" TargetMode="External" Id="rId9"/><Relationship Type="http://schemas.openxmlformats.org/officeDocument/2006/relationships/hyperlink" Target="https://drive.google.com/file/d/1mBJHgNO2xg-5FqhSFbZNhgENNhUoZFlO/view?usp=drivesdk" TargetMode="External" Id="rId10"/><Relationship Type="http://schemas.openxmlformats.org/officeDocument/2006/relationships/hyperlink" Target="https://drive.google.com/file/d/1n0jkiCaVd0_gWUGq-nbHvrLmzbH5wqOe/view?usp=drivesdk" TargetMode="External" Id="rId11"/><Relationship Type="http://schemas.openxmlformats.org/officeDocument/2006/relationships/hyperlink" Target="https://drive.google.com/file/d/1oaJt7342H9v6JYlHDXVc1qKPm1x6UfSA/view?usp=drivesdk" TargetMode="External" Id="rId12"/><Relationship Type="http://schemas.openxmlformats.org/officeDocument/2006/relationships/hyperlink" Target="https://drive.google.com/file/d/1XcWHHiuZhYBfTD9p5V8io5vc60MnzuTH/view?usp=drivesdk" TargetMode="External" Id="rId13"/><Relationship Type="http://schemas.openxmlformats.org/officeDocument/2006/relationships/hyperlink" Target="https://drive.google.com/file/d/1O3JQWCljxjpurBip-btRlPPIgNjLDS8z/view?usp=drivesdk" TargetMode="External" Id="rId14"/><Relationship Type="http://schemas.openxmlformats.org/officeDocument/2006/relationships/hyperlink" Target="https://drive.google.com/file/d/1gZQTLCPSHOk4TktpGvMCAtrlr8UHdVJj/view?usp=drivesdk" TargetMode="External" Id="rId15"/><Relationship Type="http://schemas.openxmlformats.org/officeDocument/2006/relationships/hyperlink" Target="https://drive.google.com/file/d/1f0y-ak8qjEua6xrzfcweFpWZqOtA8h9C/view?usp=drivesdk" TargetMode="External" Id="rId16"/><Relationship Type="http://schemas.openxmlformats.org/officeDocument/2006/relationships/hyperlink" Target="https://drive.google.com/file/d/1EUtQF-FleTAy3EgSdssG3kIsBahVXhP7/view?usp=drivesdk" TargetMode="External" Id="rId17"/><Relationship Type="http://schemas.openxmlformats.org/officeDocument/2006/relationships/hyperlink" Target="https://drive.google.com/file/d/15ijSn48A6cTNkNH6H12fgOkucD-ULCFE/view?usp=drivesdk" TargetMode="External" Id="rId18"/><Relationship Type="http://schemas.openxmlformats.org/officeDocument/2006/relationships/hyperlink" Target="https://drive.google.com/file/d/19qRHVy1VXN3r8_I38sW_TfnopkqkdH5y/view?usp=drivesdk" TargetMode="External" Id="rId19"/><Relationship Type="http://schemas.openxmlformats.org/officeDocument/2006/relationships/hyperlink" Target="https://drive.google.com/file/d/1ucffmXSTwbEd1NPh3IgAuKV_LAbciIE3/view?usp=drivesdk" TargetMode="External" Id="rId20"/><Relationship Type="http://schemas.openxmlformats.org/officeDocument/2006/relationships/hyperlink" Target="https://drive.google.com/file/d/1Qv3sUtITrFrr0vCvvVDO9E2rkyQ_GGDR/view?usp=drivesdk" TargetMode="External" Id="rId21"/><Relationship Type="http://schemas.openxmlformats.org/officeDocument/2006/relationships/hyperlink" Target="https://drive.google.com/file/d/1x0UkVSghoqqzzwFf7y0HgzoZgXkCaS8G/view?usp=drivesdk" TargetMode="External" Id="rId22"/><Relationship Type="http://schemas.openxmlformats.org/officeDocument/2006/relationships/hyperlink" Target="https://drive.google.com/file/d/1YfOki42vge4FANfVk-MA2_HuwrNAPmOR/view?usp=drivesdk" TargetMode="External" Id="rId23"/><Relationship Type="http://schemas.openxmlformats.org/officeDocument/2006/relationships/hyperlink" Target="https://drive.google.com/file/d/17yz-OjOD_OiscKegCKHsuLS2iph8Iq2Z/view?usp=drivesdk" TargetMode="External" Id="rId24"/><Relationship Type="http://schemas.openxmlformats.org/officeDocument/2006/relationships/hyperlink" Target="https://drive.google.com/file/d/1jDsCgTUxIQfP-43lMMhxyWNGIfFcyKi1/view?usp=drivesdk" TargetMode="External" Id="rId25"/><Relationship Type="http://schemas.openxmlformats.org/officeDocument/2006/relationships/hyperlink" Target="https://drive.google.com/file/d/1cRmaF6PcrmnIb2R1odSy7Vfe9PCmm33F/view?usp=drivesdk" TargetMode="External" Id="rId26"/><Relationship Type="http://schemas.openxmlformats.org/officeDocument/2006/relationships/hyperlink" Target="https://drive.google.com/file/d/1XSd6qUVZmmUut5jXHAu0boyCzx24IyXY/view?usp=drivesdk" TargetMode="External" Id="rId27"/><Relationship Type="http://schemas.openxmlformats.org/officeDocument/2006/relationships/hyperlink" Target="https://drive.google.com/file/d/18-431Zp6DTVo2m9HUh3SMuz2qyBKoLem/view?usp=drivesdk" TargetMode="External" Id="rId28"/><Relationship Type="http://schemas.openxmlformats.org/officeDocument/2006/relationships/hyperlink" Target="https://drive.google.com/file/d/1cP0o74jkhXdQk9aPXo7L1osS8x5cwT_j/view?usp=drivesdk" TargetMode="External" Id="rId29"/><Relationship Type="http://schemas.openxmlformats.org/officeDocument/2006/relationships/hyperlink" Target="https://drive.google.com/file/d/1MaJcncxz7W_PmnWCBLG0TWeEkCieXw6n/view?usp=drivesdk" TargetMode="External" Id="rId30"/><Relationship Type="http://schemas.openxmlformats.org/officeDocument/2006/relationships/hyperlink" Target="https://drive.google.com/file/d/1gPRda7kqtCsp7y3XsBonf8t2GHm4RxiY/view?usp=drivesdk" TargetMode="External" Id="rId31"/><Relationship Type="http://schemas.openxmlformats.org/officeDocument/2006/relationships/hyperlink" Target="https://drive.google.com/file/d/1CF9gddWi0M8W61isQoq9hLg1wgCd0YU0/view?usp=drivesdk" TargetMode="External" Id="rId32"/><Relationship Type="http://schemas.openxmlformats.org/officeDocument/2006/relationships/hyperlink" Target="https://drive.google.com/file/d/124eW3cPeSVU9chNVpkckm3lApHmcSpeY/view?usp=drivesdk" TargetMode="External" Id="rId33"/><Relationship Type="http://schemas.openxmlformats.org/officeDocument/2006/relationships/hyperlink" Target="https://drive.google.com/file/d/1UJD1YgQGDw_lhkgllw-qAY40gjr1CXD3/view?usp=drivesdk" TargetMode="External" Id="rId34"/><Relationship Type="http://schemas.openxmlformats.org/officeDocument/2006/relationships/hyperlink" Target="https://drive.google.com/file/d/15FcdLXRiAC-fc5rJJ0HumhzpjebgySO2/view?usp=drivesdk" TargetMode="External" Id="rId35"/><Relationship Type="http://schemas.openxmlformats.org/officeDocument/2006/relationships/hyperlink" Target="https://drive.google.com/file/d/1qCQb7DfrhSMf1s5fBDZI6Cr38Ujt69gI/view?usp=drivesdk" TargetMode="External" Id="rId36"/><Relationship Type="http://schemas.openxmlformats.org/officeDocument/2006/relationships/hyperlink" Target="https://drive.google.com/file/d/16HigSV6-0JvXWtaIr0tm6I9tZmtUDVtP/view?usp=drivesdk" TargetMode="External" Id="rId37"/><Relationship Type="http://schemas.openxmlformats.org/officeDocument/2006/relationships/hyperlink" Target="https://drive.google.com/file/d/16TRaXUZMQYZeQPs1Vj3jmfRAukB4q81A/view?usp=drivesdk" TargetMode="External" Id="rId38"/><Relationship Type="http://schemas.openxmlformats.org/officeDocument/2006/relationships/hyperlink" Target="https://drive.google.com/file/d/1oQJmNDemN2VYUTX6QTYyicXd9Jd_sfP9/view?usp=drivesdk" TargetMode="External" Id="rId39"/><Relationship Type="http://schemas.openxmlformats.org/officeDocument/2006/relationships/hyperlink" Target="https://drive.google.com/file/d/1-cHfa02zhjklsbE1q-cLpj5dZxl0FAh1/view?usp=drivesdk" TargetMode="External" Id="rId40"/><Relationship Type="http://schemas.openxmlformats.org/officeDocument/2006/relationships/hyperlink" Target="https://drive.google.com/file/d/1u1gkkYGB0B7zP2eCx87KEw2V5LsGNihA/view?usp=drivesdk" TargetMode="External" Id="rId41"/><Relationship Type="http://schemas.openxmlformats.org/officeDocument/2006/relationships/hyperlink" Target="https://drive.google.com/file/d/1iQV7Ay6VzQkBn1F-2LKdlzE6SlYah9nh/view?usp=drivesdk" TargetMode="External" Id="rId42"/><Relationship Type="http://schemas.openxmlformats.org/officeDocument/2006/relationships/hyperlink" Target="https://drive.google.com/file/d/1NS01lvut_GaX32JXr0pbMFEHm2VsNjei/view?usp=drivesdk" TargetMode="External" Id="rId43"/><Relationship Type="http://schemas.openxmlformats.org/officeDocument/2006/relationships/hyperlink" Target="https://drive.google.com/file/d/1rlqcAuJUaWxt0Udjbpq3E6fP_lfRq58_/view?usp=drivesdk" TargetMode="External" Id="rId44"/><Relationship Type="http://schemas.openxmlformats.org/officeDocument/2006/relationships/hyperlink" Target="https://drive.google.com/file/d/1InywJ9PnYh3UCqxE9lRE2PWmjWaBcmnD/view?usp=drivesdk" TargetMode="External" Id="rId45"/><Relationship Type="http://schemas.openxmlformats.org/officeDocument/2006/relationships/hyperlink" Target="https://drive.google.com/file/d/1PO_RD2CHNRNOEBltczl9fkFpwCsNwxPc/view?usp=drivesdk" TargetMode="External" Id="rId46"/><Relationship Type="http://schemas.openxmlformats.org/officeDocument/2006/relationships/hyperlink" Target="https://drive.google.com/file/d/10g4rvQi3froy77rnSdW_9mo36rDSW1U2/view?usp=drivesdk" TargetMode="External" Id="rId47"/><Relationship Type="http://schemas.openxmlformats.org/officeDocument/2006/relationships/hyperlink" Target="https://drive.google.com/file/d/1napS_w2Xc41F-WTfdiiWHEUr-QA9PNbd/view?usp=drivesdk" TargetMode="External" Id="rId48"/><Relationship Type="http://schemas.openxmlformats.org/officeDocument/2006/relationships/hyperlink" Target="https://drive.google.com/file/d/1b3lRk0uvFhmBHXBXSVqk0Z_qtSygPXDE/view" TargetMode="External" Id="rId49"/><Relationship Type="http://schemas.openxmlformats.org/officeDocument/2006/relationships/hyperlink" Target="https://drive.google.com/file/d/176yfc70ezTIGdi4KorC09_glKVNPgXHX/view?usp=drivesdk" TargetMode="External" Id="rId50"/><Relationship Type="http://schemas.openxmlformats.org/officeDocument/2006/relationships/hyperlink" Target="https://drive.google.com/file/d/1yIsmWVg1oRuboG-zbYrLUho04HzIiIyK/view?usp=drivesdk" TargetMode="External" Id="rId51"/><Relationship Type="http://schemas.openxmlformats.org/officeDocument/2006/relationships/hyperlink" Target="https://drive.google.com/file/d/1wXV9fWvwxyEBQq62-UJe49I7S0KXvaSG/view?usp=drivesdk" TargetMode="External" Id="rId52"/><Relationship Type="http://schemas.openxmlformats.org/officeDocument/2006/relationships/hyperlink" Target="https://drive.google.com/file/d/12HKshlwi77vzpCgTTirEXD-MZNuhFA-c/view?usp=drivesdk" TargetMode="External" Id="rId53"/><Relationship Type="http://schemas.openxmlformats.org/officeDocument/2006/relationships/hyperlink" Target="https://drive.google.com/file/d/1LmADNjxt37qcWuUuhWGuUTAjIyKHA5TN/view?usp=drivesdk" TargetMode="External" Id="rId54"/><Relationship Type="http://schemas.openxmlformats.org/officeDocument/2006/relationships/hyperlink" Target="https://drive.google.com/file/d/1T9KWZxBKxvW0g6TR87InMH1N6L7fKbK-/view?usp=drivesdk" TargetMode="External" Id="rId55"/><Relationship Type="http://schemas.openxmlformats.org/officeDocument/2006/relationships/hyperlink" Target="https://drive.google.com/file/d/1q2P_FQTEKlc2oi9V12k0V2g4Ly8j4pcm/view?usp=drivesdk" TargetMode="External" Id="rId56"/><Relationship Type="http://schemas.openxmlformats.org/officeDocument/2006/relationships/hyperlink" Target="https://drive.google.com/file/d/1qtaz8f1JVhjTszda1jSXMoHUhdimgxN4/view?usp=drivesdk" TargetMode="External" Id="rId57"/><Relationship Type="http://schemas.openxmlformats.org/officeDocument/2006/relationships/hyperlink" Target="https://drive.google.com/file/d/148hQ1ctHcLYbkGm3jEcIflExnc5ngCjE/view?usp=drivesdk" TargetMode="External" Id="rId58"/><Relationship Type="http://schemas.openxmlformats.org/officeDocument/2006/relationships/hyperlink" Target="https://drive.google.com/file/d/1R0UDJ1fU0jyIr6k39RjCTcQLgDGhaZkb/view?usp=drivesdk" TargetMode="External" Id="rId59"/><Relationship Type="http://schemas.openxmlformats.org/officeDocument/2006/relationships/hyperlink" Target="https://drive.google.com/file/d/1TYtEUECTDsFNrsj6k4o7ceUycXUJdVfz/view?usp=drivesdk" TargetMode="External" Id="rId60"/><Relationship Type="http://schemas.openxmlformats.org/officeDocument/2006/relationships/hyperlink" Target="https://drive.google.com/file/d/1RPIi58UZHvF1QZ2EWIPyyeAqJT4KuHpe/view?usp=drivesdk" TargetMode="External" Id="rId61"/><Relationship Type="http://schemas.openxmlformats.org/officeDocument/2006/relationships/hyperlink" Target="https://drive.google.com/file/d/1zpf3eQjrD-VvbFJf4oilNyE8LTzx-Mkz/view?usp=drivesdk" TargetMode="External" Id="rId62"/><Relationship Type="http://schemas.openxmlformats.org/officeDocument/2006/relationships/hyperlink" Target="https://drive.google.com/file/d/1tXUDS7Y3FysYp6H4r4QDmMELk_P5L6lg/view?usp=drivesdk" TargetMode="External" Id="rId63"/><Relationship Type="http://schemas.openxmlformats.org/officeDocument/2006/relationships/hyperlink" Target="https://drive.google.com/file/d/1y0K_gBPthDyVzyNsw_YHf-53BN434i9x/view?usp=drivesdk" TargetMode="External" Id="rId64"/><Relationship Type="http://schemas.openxmlformats.org/officeDocument/2006/relationships/hyperlink" Target="https://drive.google.com/file/d/1vdHrWT_SVLcmzDZbOw1DHUWOdXyUqB-p/view?usp=drivesdk" TargetMode="External" Id="rId65"/><Relationship Type="http://schemas.openxmlformats.org/officeDocument/2006/relationships/hyperlink" Target="https://drive.google.com/file/d/1yrn7IddHlYFUVsL9TPovbi5qfWRKqaUh/view?usp=drivesdk" TargetMode="External" Id="rId66"/><Relationship Type="http://schemas.openxmlformats.org/officeDocument/2006/relationships/hyperlink" Target="https://drive.google.com/file/d/1Uc-zN0AmJNB0Ls2D2fQnCv0kC0mYYFfx/view?usp=drivesdk" TargetMode="External" Id="rId67"/><Relationship Type="http://schemas.openxmlformats.org/officeDocument/2006/relationships/hyperlink" Target="https://drive.google.com/file/d/1cNFvFmpmrhSDzJZGxJC4_VbaDQuBnDjq/view?usp=drivesdk" TargetMode="External" Id="rId68"/><Relationship Type="http://schemas.openxmlformats.org/officeDocument/2006/relationships/hyperlink" Target="https://drive.google.com/file/d/1qu0mx5pb241hfjo981F5ydijE7gET8Wx/view?usp=drivesdk" TargetMode="External" Id="rId69"/><Relationship Type="http://schemas.openxmlformats.org/officeDocument/2006/relationships/hyperlink" Target="https://drive.google.com/file/d/1R_MvGhiBksTOJuTVj-PPDWZGUXumyABi/view?usp=drivesdk" TargetMode="External" Id="rId70"/><Relationship Type="http://schemas.openxmlformats.org/officeDocument/2006/relationships/hyperlink" Target="https://drive.google.com/file/d/1Vj2JB3XmkotEZ_rwHLvKFds1VxC0jEtR/view?usp=drivesdk" TargetMode="External" Id="rId71"/><Relationship Type="http://schemas.openxmlformats.org/officeDocument/2006/relationships/hyperlink" Target="https://drive.google.com/file/d/1S2WQJ2d_2BB1eFnFBIic2fGe1zYRAT1y/view?usp=drivesdk" TargetMode="External" Id="rId72"/><Relationship Type="http://schemas.openxmlformats.org/officeDocument/2006/relationships/hyperlink" Target="https://drive.google.com/file/d/1jU9NNf4_wzLCbF1iVHbRHrz-s36y6FNi/view?usp=drivesdk" TargetMode="External" Id="rId73"/><Relationship Type="http://schemas.openxmlformats.org/officeDocument/2006/relationships/hyperlink" Target="https://drive.google.com/file/d/1IwBgxSlGdttKi41ivuvMXvT6Hu8z2E1_/view?usp=drivesdk" TargetMode="External" Id="rId74"/><Relationship Type="http://schemas.openxmlformats.org/officeDocument/2006/relationships/hyperlink" Target="https://drive.google.com/file/d/1rmZW6WMTXdJvVUm26QzTJA94sajDVpWq/view?usp=drivesdk" TargetMode="External" Id="rId75"/><Relationship Type="http://schemas.openxmlformats.org/officeDocument/2006/relationships/hyperlink" Target="https://drive.google.com/file/d/15JRxcPZJ_hVHDLJ8z5Yro4FDJovLx0tK/view?usp=drivesdk" TargetMode="External" Id="rId76"/><Relationship Type="http://schemas.openxmlformats.org/officeDocument/2006/relationships/hyperlink" Target="https://drive.google.com/file/d/13weQ7Y4G8KgjFaRrcenGtTdmOa1WFGMs/view?usp=drivesdk" TargetMode="External" Id="rId77"/><Relationship Type="http://schemas.openxmlformats.org/officeDocument/2006/relationships/hyperlink" Target="https://drive.google.com/file/d/1Hs1vUcuZkelPAwLMKmyLOzZ1ZzxTmpHC/view?usp=drivesdk" TargetMode="External" Id="rId78"/><Relationship Type="http://schemas.openxmlformats.org/officeDocument/2006/relationships/hyperlink" Target="https://drive.google.com/file/d/17DD7Tsl8Uzy2qdnX2BWCYhZjUuE7FIC-/view?usp=drivesdk" TargetMode="External" Id="rId79"/><Relationship Type="http://schemas.openxmlformats.org/officeDocument/2006/relationships/hyperlink" Target="https://drive.google.com/file/d/1sdwyLdhMxINaYrTryaUlKirTc2dpG4nL/view?usp=drivesdk" TargetMode="External" Id="rId80"/><Relationship Type="http://schemas.openxmlformats.org/officeDocument/2006/relationships/hyperlink" Target="https://drive.google.com/file/d/1azySLsSPalq9tOHXPoJoJjvUXrwjOXJr/view?usp=drivesdk" TargetMode="External" Id="rId81"/><Relationship Type="http://schemas.openxmlformats.org/officeDocument/2006/relationships/hyperlink" Target="https://drive.google.com/file/d/1eR1J45oNqARlNda10Dn0ekyiiE4Y_G-u/view?usp=drivesdk" TargetMode="External" Id="rId82"/><Relationship Type="http://schemas.openxmlformats.org/officeDocument/2006/relationships/hyperlink" Target="https://drive.google.com/file/d/1ZdC0Tq7ojooTcmbCMMi8VTyd-K_YhzkY/view?usp=drivesdk" TargetMode="External" Id="rId83"/><Relationship Type="http://schemas.openxmlformats.org/officeDocument/2006/relationships/hyperlink" Target="https://drive.google.com/file/d/1T5CAEz-SGauhipF7HSwaNXRGFzHaHRby/view?usp=drivesdk" TargetMode="External" Id="rId84"/><Relationship Type="http://schemas.openxmlformats.org/officeDocument/2006/relationships/hyperlink" Target="https://drive.google.com/file/d/1271ZQ4ZHZABB4HidgKNyjLNycqKTZIWp/view?usp=drivesdk" TargetMode="External" Id="rId85"/><Relationship Type="http://schemas.openxmlformats.org/officeDocument/2006/relationships/hyperlink" Target="https://drive.google.com/file/d/1fz0py0TlKS9CdvqLBj6obnIyKdFd-Ocr/view?usp=drivesdk" TargetMode="External" Id="rId86"/><Relationship Type="http://schemas.openxmlformats.org/officeDocument/2006/relationships/hyperlink" Target="https://drive.google.com/file/d/1OI4OBm0RC_6F4A459LM3KgrTwDxv30Lf/view?usp=drivesdk" TargetMode="External" Id="rId87"/><Relationship Type="http://schemas.openxmlformats.org/officeDocument/2006/relationships/hyperlink" Target="https://drive.google.com/file/d/1ixVdpnGpB3KUF2QQIt94W1I4J6yD6ybZ/view?usp=drivesdk" TargetMode="External" Id="rId88"/><Relationship Type="http://schemas.openxmlformats.org/officeDocument/2006/relationships/hyperlink" Target="https://drive.google.com/file/d/1KMML8lqWHjys5zcY1N68s233Ze6aJrf7/view?usp=drivesdk" TargetMode="External" Id="rId89"/><Relationship Type="http://schemas.openxmlformats.org/officeDocument/2006/relationships/hyperlink" Target="https://drive.google.com/file/d/1j6OlS3fo3c7ynAP6XCubZbsputNipz9k/view?usp=drivesdk" TargetMode="External" Id="rId90"/><Relationship Type="http://schemas.openxmlformats.org/officeDocument/2006/relationships/hyperlink" Target="https://drive.google.com/file/d/1IRL2tRQ5R66B1XtT5WF43fvSBNABo2MK/view?usp=drivesdk" TargetMode="External" Id="rId91"/><Relationship Type="http://schemas.openxmlformats.org/officeDocument/2006/relationships/hyperlink" Target="https://drive.google.com/file/d/18Bz5GqwljLihnHs4k9hmETmifyo6LER2/view?usp=drivesdk" TargetMode="External" Id="rId92"/><Relationship Type="http://schemas.openxmlformats.org/officeDocument/2006/relationships/hyperlink" Target="https://drive.google.com/file/d/1beC5Hc1W7ij4zZ3P22rXyi55CrvbbPk6/view?usp=drivesdk" TargetMode="External" Id="rId93"/><Relationship Type="http://schemas.openxmlformats.org/officeDocument/2006/relationships/hyperlink" Target="https://drive.google.com/file/d/1wZg-q6ZiTEI0OrQ0TwcfsUWshu0Ux5N9/view?usp=drivesdk" TargetMode="External" Id="rId94"/><Relationship Type="http://schemas.openxmlformats.org/officeDocument/2006/relationships/hyperlink" Target="https://drive.google.com/file/d/1gJoEKOqYovJJtEOg5y94WrVLNsNu15uO/view?usp=drivesdk" TargetMode="External" Id="rId95"/><Relationship Type="http://schemas.openxmlformats.org/officeDocument/2006/relationships/hyperlink" Target="https://drive.google.com/file/d/19f-Id2wfchFV1l6mggY9gSFntEbmAUCB/view?usp=drivesdk" TargetMode="External" Id="rId96"/><Relationship Type="http://schemas.openxmlformats.org/officeDocument/2006/relationships/hyperlink" Target="https://drive.google.com/file/d/1iFHoL9QL0MfsW0zsHp0uT7-lqsQsUJud/view?usp=drivesdk" TargetMode="External" Id="rId97"/><Relationship Type="http://schemas.openxmlformats.org/officeDocument/2006/relationships/hyperlink" Target="https://drive.google.com/file/d/1R_pCzyx2C2c_Ox1-25qlNzBtFCapy707/view?usp=drivesdk" TargetMode="External" Id="rId98"/><Relationship Type="http://schemas.openxmlformats.org/officeDocument/2006/relationships/hyperlink" Target="https://drive.google.com/file/d/1XcQaIUHTXnUW0SZ4Q-nQWM1Fu3nobuo5/view?usp=drivesdk" TargetMode="External" Id="rId99"/><Relationship Type="http://schemas.openxmlformats.org/officeDocument/2006/relationships/hyperlink" Target="https://drive.google.com/file/d/1sQZti--UZu4nwBrtghMiPijn0GFvV8sY/view?usp=drivesdk" TargetMode="External" Id="rId100"/><Relationship Type="http://schemas.openxmlformats.org/officeDocument/2006/relationships/hyperlink" Target="https://drive.google.com/file/d/1Ua4xn6a6EUB1nJ549lY9ezWCx6XBGm2a/view?usp=drivesdk" TargetMode="External" Id="rId101"/><Relationship Type="http://schemas.openxmlformats.org/officeDocument/2006/relationships/hyperlink" Target="https://drive.google.com/file/d/1XnGcYQ3IIFT7ZGTqANTb8CAkE8QwnOv_/view?usp=drivesdk" TargetMode="External" Id="rId102"/><Relationship Type="http://schemas.openxmlformats.org/officeDocument/2006/relationships/hyperlink" Target="https://drive.google.com/file/d/1ZqqfTbSpgYbVglUq7h66PqEdTXv7tTOV/view?usp=drivesdk" TargetMode="External" Id="rId103"/><Relationship Type="http://schemas.openxmlformats.org/officeDocument/2006/relationships/hyperlink" Target="https://drive.google.com/file/d/1xHkD6qq2E5vMJF4lTz7Ibr_nh-gN-LUA/view?usp=drivesdk" TargetMode="External" Id="rId104"/><Relationship Type="http://schemas.openxmlformats.org/officeDocument/2006/relationships/hyperlink" Target="https://drive.google.com/file/d/1Xus5OWdK4Dd3zIuCdPSoCDEoynyGI4Ke/view?usp=drivesdk" TargetMode="External" Id="rId105"/><Relationship Type="http://schemas.openxmlformats.org/officeDocument/2006/relationships/hyperlink" Target="https://drive.google.com/file/d/1GIKULHSQWJli1cm93rRRK6EtE3XQ5sbf/view?usp=drivesdk" TargetMode="External" Id="rId106"/><Relationship Type="http://schemas.openxmlformats.org/officeDocument/2006/relationships/hyperlink" Target="https://drive.google.com/file/d/1BuS0JHOxQkN-NEre26uwmyf2hPhjblk_/view?usp=drivesdk" TargetMode="External" Id="rId107"/><Relationship Type="http://schemas.openxmlformats.org/officeDocument/2006/relationships/hyperlink" Target="https://drive.google.com/file/d/1Zai5SdpSiYknofu3kYpK3tpoYmgqZkKp/view?usp=drivesdk" TargetMode="External" Id="rId108"/><Relationship Type="http://schemas.openxmlformats.org/officeDocument/2006/relationships/hyperlink" Target="https://drive.google.com/file/d/1i1ip4fPPgQRjDtVAp7qRLlN76V9r3nnP/view?usp=drivesdk" TargetMode="External" Id="rId109"/><Relationship Type="http://schemas.openxmlformats.org/officeDocument/2006/relationships/hyperlink" Target="https://drive.google.com/file/d/1cU1lwn0ZqrNGS3AOsZh3B1XUFOHMiLnv/view?usp=drivesdk" TargetMode="External" Id="rId110"/><Relationship Type="http://schemas.openxmlformats.org/officeDocument/2006/relationships/hyperlink" Target="https://drive.google.com/file/d/1tZGByodZoOedJ9bp4seMfPvtDG50xowk/view?usp=drivesdk" TargetMode="External" Id="rId111"/><Relationship Type="http://schemas.openxmlformats.org/officeDocument/2006/relationships/hyperlink" Target="https://drive.google.com/file/d/1B-KNe1kjFcrWmfKL2oaotJFlf8bu4el6/view?usp=drivesdk" TargetMode="External" Id="rId112"/><Relationship Type="http://schemas.openxmlformats.org/officeDocument/2006/relationships/hyperlink" Target="https://drive.google.com/file/d/1UW1w6XEqMfhkkfrXEpknj6bwlEJSZE6d/view?usp=drivesdk" TargetMode="External" Id="rId113"/><Relationship Type="http://schemas.openxmlformats.org/officeDocument/2006/relationships/hyperlink" Target="https://drive.google.com/file/d/10QuD2vUpYefpRPxZRe7klt_UKHD5wktJ/view?usp=drivesdk" TargetMode="External" Id="rId114"/><Relationship Type="http://schemas.openxmlformats.org/officeDocument/2006/relationships/hyperlink" Target="https://drive.google.com/file/d/1tfuXCU5azBrZ7ndqz7gLnFoZaXNvnU5m/view?usp=drivesdk" TargetMode="External" Id="rId115"/><Relationship Type="http://schemas.openxmlformats.org/officeDocument/2006/relationships/hyperlink" Target="https://drive.google.com/file/d/1OBCFslG-p8k9N2FPNUB0f-gWkszv48Rq/view?usp=drivesdk" TargetMode="External" Id="rId116"/><Relationship Type="http://schemas.openxmlformats.org/officeDocument/2006/relationships/hyperlink" Target="https://drive.google.com/file/d/1dwUPo72sQ9l2-SWtuMQSGPzt5xbk_Cdc/view?usp=drivesdk" TargetMode="External" Id="rId117"/><Relationship Type="http://schemas.openxmlformats.org/officeDocument/2006/relationships/hyperlink" Target="https://drive.google.com/file/d/154e-btvxE-3t50PSJNejD6xc1uR_7YXG/view?usp=drivesdk" TargetMode="External" Id="rId118"/><Relationship Type="http://schemas.openxmlformats.org/officeDocument/2006/relationships/hyperlink" Target="https://drive.google.com/file/d/1cr4hBdcfltS3GKUWeUYHEXSuDC4NkH_y/view?usp=drivesdk" TargetMode="External" Id="rId119"/><Relationship Type="http://schemas.openxmlformats.org/officeDocument/2006/relationships/hyperlink" Target="https://drive.google.com/file/d/17EebwUm28b0ArBmC4spA-YWwFmK0Fbef/view?usp=drivesdk" TargetMode="External" Id="rId120"/><Relationship Type="http://schemas.openxmlformats.org/officeDocument/2006/relationships/hyperlink" Target="https://drive.google.com/file/d/16gmnBEEeBXW_qBiCT7Ri1j7xQ3ucbiRQ/view?usp=drivesdk" TargetMode="External" Id="rId121"/><Relationship Type="http://schemas.openxmlformats.org/officeDocument/2006/relationships/hyperlink" Target="https://drive.google.com/file/d/1p6YTOtsyuA1rDKOTBwgfilqKdiQ-WLt9/view?usp=drivesdk" TargetMode="External" Id="rId122"/><Relationship Type="http://schemas.openxmlformats.org/officeDocument/2006/relationships/hyperlink" Target="https://drive.google.com/file/d/1d5Bw0js6L-9utZ0FngwFz9rNkgBi7YKn/view?usp=drivesdk" TargetMode="External" Id="rId123"/><Relationship Type="http://schemas.openxmlformats.org/officeDocument/2006/relationships/hyperlink" Target="https://drive.google.com/file/d/1rcZloBQol8hPQIaUkr2VDiOa51W2wvjA/view?usp=drivesdk" TargetMode="External" Id="rId124"/><Relationship Type="http://schemas.openxmlformats.org/officeDocument/2006/relationships/hyperlink" Target="https://drive.google.com/file/d/1mJ9SCyaQT_oXnM8Zd_g1as5ReVBs9hsn/view?usp=drivesdk" TargetMode="External" Id="rId125"/><Relationship Type="http://schemas.openxmlformats.org/officeDocument/2006/relationships/hyperlink" Target="https://drive.google.com/file/d/1Y6W36XRUwoNnfx-VuEx3OiTwepETR5f3/view?usp=drivesdk" TargetMode="External" Id="rId126"/><Relationship Type="http://schemas.openxmlformats.org/officeDocument/2006/relationships/hyperlink" Target="https://drive.google.com/file/d/14oDQPyYamGYQx6ufojsP4JJBdxo3N_7w/view?usp=drivesdk" TargetMode="External" Id="rId127"/><Relationship Type="http://schemas.openxmlformats.org/officeDocument/2006/relationships/hyperlink" Target="https://drive.google.com/file/d/10GMS8QOG0JEzU9zCkW6W7L8sRqY2w6oo/view?usp=drivesdk" TargetMode="External" Id="rId128"/><Relationship Type="http://schemas.openxmlformats.org/officeDocument/2006/relationships/hyperlink" Target="https://drive.google.com/file/d/1nA8pTTvpT0O76zFAg7QOq9o2784L7_T5/view?usp=drivesdk" TargetMode="External" Id="rId129"/><Relationship Type="http://schemas.openxmlformats.org/officeDocument/2006/relationships/hyperlink" Target="https://drive.google.com/file/d/1IIuwXzxain1ekEBSznzKVAfF3nKqdIkH/view?usp=drivesdk" TargetMode="External" Id="rId130"/><Relationship Type="http://schemas.openxmlformats.org/officeDocument/2006/relationships/hyperlink" Target="https://drive.google.com/file/d/1x9DKQm2r5Bqa1HKdVtNxxzDN1_WRbLr1/view?usp=drivesdk" TargetMode="External" Id="rId131"/><Relationship Type="http://schemas.openxmlformats.org/officeDocument/2006/relationships/hyperlink" Target="https://drive.google.com/file/d/14RebM9T6okZWl1_QjsKBrKfH_moYj-bx/view?usp=drivesdk" TargetMode="External" Id="rId132"/><Relationship Type="http://schemas.openxmlformats.org/officeDocument/2006/relationships/hyperlink" Target="https://drive.google.com/file/d/1lTXgoeRa-ffxxjQ80n2qLM806BQ5JtD_/view?usp=drivesdk" TargetMode="External" Id="rId133"/><Relationship Type="http://schemas.openxmlformats.org/officeDocument/2006/relationships/hyperlink" Target="https://drive.google.com/file/d/1g2EiF6nXUu4sshH4QYpojPrqD4h4E2sT/view?usp=drivesdk" TargetMode="External" Id="rId134"/><Relationship Type="http://schemas.openxmlformats.org/officeDocument/2006/relationships/hyperlink" Target="https://drive.google.com/file/d/1g2EiF6nXUu4sshH4QYpojPrqD4h4E2sT/view?usp=drivesdk" TargetMode="External" Id="rId135"/><Relationship Type="http://schemas.openxmlformats.org/officeDocument/2006/relationships/hyperlink" Target="https://drive.google.com/file/d/1g2EiF6nXUu4sshH4QYpojPrqD4h4E2sT/view?usp=drivesdk" TargetMode="External" Id="rId136"/><Relationship Type="http://schemas.openxmlformats.org/officeDocument/2006/relationships/hyperlink" Target="https://drive.google.com/file/d/1g2EiF6nXUu4sshH4QYpojPrqD4h4E2sT/view?usp=drivesdk" TargetMode="External" Id="rId137"/><Relationship Type="http://schemas.openxmlformats.org/officeDocument/2006/relationships/hyperlink" Target="https://drive.google.com/file/d/1g2EiF6nXUu4sshH4QYpojPrqD4h4E2sT/view?usp=drivesdk" TargetMode="External" Id="rId138"/><Relationship Type="http://schemas.openxmlformats.org/officeDocument/2006/relationships/hyperlink" Target="https://drive.google.com/file/d/1g2EiF6nXUu4sshH4QYpojPrqD4h4E2sT/view?usp=drivesdk" TargetMode="External" Id="rId139"/><Relationship Type="http://schemas.openxmlformats.org/officeDocument/2006/relationships/hyperlink" Target="https://drive.google.com/file/d/18ytOGToIkXy-rzjApFltun5Y-yDDg-xX/view?usp=drivesdk" TargetMode="External" Id="rId140"/><Relationship Type="http://schemas.openxmlformats.org/officeDocument/2006/relationships/hyperlink" Target="https://drive.google.com/file/d/19xkE4EKEDrW6VhIr2PHTTjwZNo4nmknC/view?usp=drivesdk" TargetMode="External" Id="rId141"/><Relationship Type="http://schemas.openxmlformats.org/officeDocument/2006/relationships/hyperlink" Target="https://drive.google.com/file/d/17KMdk_KQoPW4qcuYLIv-W5NpLcne46Vn/view?usp=drivesdk" TargetMode="External" Id="rId142"/><Relationship Type="http://schemas.openxmlformats.org/officeDocument/2006/relationships/hyperlink" Target="https://drive.google.com/file/d/1JvQz5kd2zSXcECkVsBiH2y6EP_8GLqp8/view?usp=drivesdk" TargetMode="External" Id="rId143"/><Relationship Type="http://schemas.openxmlformats.org/officeDocument/2006/relationships/hyperlink" Target="https://drive.google.com/file/d/1HJ8QjOhaLLh82RoqUU3DWka0odw6tSIj/view?usp=drivesdk" TargetMode="External" Id="rId144"/><Relationship Type="http://schemas.openxmlformats.org/officeDocument/2006/relationships/hyperlink" Target="https://drive.google.com/file/d/1E2t3d44nZ0rcRZQJYHuM2lSkSoeOjrGt/view?usp=drivesdk" TargetMode="External" Id="rId145"/><Relationship Type="http://schemas.openxmlformats.org/officeDocument/2006/relationships/hyperlink" Target="https://drive.google.com/file/d/1-M3UeiZ-lBUr2eTUu9ZAQR7lNZFWGxu5/view?usp=drivesdk" TargetMode="External" Id="rId146"/><Relationship Type="http://schemas.openxmlformats.org/officeDocument/2006/relationships/hyperlink" Target="https://drive.google.com/file/d/1fzIL6_Ck9TmFnHmfABlrljqJSn9umQZL/view?usp=drivesdk" TargetMode="External" Id="rId147"/><Relationship Type="http://schemas.openxmlformats.org/officeDocument/2006/relationships/hyperlink" Target="https://drive.google.com/file/d/1lY2TLOZwSa50IcGd1mCLZcyFMPOOPGaj/view?usp=drivesdk" TargetMode="External" Id="rId148"/><Relationship Type="http://schemas.openxmlformats.org/officeDocument/2006/relationships/hyperlink" Target="https://drive.google.com/file/d/14apJ2TElnvKrdgfkXbtk8Ih75xMX0lBn/view?usp=drivesdk" TargetMode="External" Id="rId149"/><Relationship Type="http://schemas.openxmlformats.org/officeDocument/2006/relationships/hyperlink" Target="https://drive.google.com/file/d/1qcV3CaZbFZBXAH7Xw1ekKOFK-1ZajK-I/view?usp=drivesdk" TargetMode="External" Id="rId150"/><Relationship Type="http://schemas.openxmlformats.org/officeDocument/2006/relationships/hyperlink" Target="https://drive.google.com/file/d/127G6UiRiwC5wo6L3vJZ1PQlZZDOrXbzk/view?usp=drivesdk" TargetMode="External" Id="rId151"/><Relationship Type="http://schemas.openxmlformats.org/officeDocument/2006/relationships/hyperlink" Target="https://drive.google.com/file/d/17_S1U0moA_aoJvpm9JkajhW65yuDGt02/view?usp=drivesdk" TargetMode="External" Id="rId152"/><Relationship Type="http://schemas.openxmlformats.org/officeDocument/2006/relationships/hyperlink" Target="https://drive.google.com/file/d/1LMooejyToaDm4lXdjBAu5jHazJdu-AFF/view?usp=drivesdk" TargetMode="External" Id="rId153"/><Relationship Type="http://schemas.openxmlformats.org/officeDocument/2006/relationships/hyperlink" Target="https://drive.google.com/file/d/1ndoIxnRCHpafl83Lsyq-PVVCI1_lzXKu/view?usp=drivesdk" TargetMode="External" Id="rId154"/><Relationship Type="http://schemas.openxmlformats.org/officeDocument/2006/relationships/hyperlink" Target="https://drive.google.com/file/d/1KgZpq5GTcSkNG0Z8yhHdmceFrnVtmJB4/view?usp=drivesdk" TargetMode="External" Id="rId155"/><Relationship Type="http://schemas.openxmlformats.org/officeDocument/2006/relationships/hyperlink" Target="https://drive.google.com/file/d/14slKePE5MrbI5HvPO9RR5jqgyaSQ6ha3/view?usp=drivesdk" TargetMode="External" Id="rId156"/><Relationship Type="http://schemas.openxmlformats.org/officeDocument/2006/relationships/hyperlink" Target="https://drive.google.com/file/d/1dlT0oaH49H6SzXdPc93LiGqgpg1InGRH/view?usp=drivesdk" TargetMode="External" Id="rId157"/><Relationship Type="http://schemas.openxmlformats.org/officeDocument/2006/relationships/hyperlink" Target="https://drive.google.com/file/d/12xteUNS_Og9n0_pSo2XUdraP4aCiWdaH/view?usp=drivesdk" TargetMode="External" Id="rId158"/><Relationship Type="http://schemas.openxmlformats.org/officeDocument/2006/relationships/hyperlink" Target="https://drive.google.com/file/d/17m8kSIeiAdYSWAqbHFRlME7QimAZLgpF/view?usp=drivesdk" TargetMode="External" Id="rId159"/><Relationship Type="http://schemas.openxmlformats.org/officeDocument/2006/relationships/hyperlink" Target="https://drive.google.com/file/d/17m8kSIeiAdYSWAqbHFRlME7QimAZLgpF/view?usp=drivesdk" TargetMode="External" Id="rId160"/><Relationship Type="http://schemas.openxmlformats.org/officeDocument/2006/relationships/hyperlink" Target="https://drive.google.com/file/d/1jZrrBG-rlRIRRt7poZwUx2oDCk202lX9/view?usp=drivesdk" TargetMode="External" Id="rId161"/><Relationship Type="http://schemas.openxmlformats.org/officeDocument/2006/relationships/hyperlink" Target="https://drive.google.com/file/d/1oUkZPf09DxdP6K_FrOYUTaRt0GcHY0jA/view?usp=drivesdk" TargetMode="External" Id="rId162"/><Relationship Type="http://schemas.openxmlformats.org/officeDocument/2006/relationships/hyperlink" Target="https://drive.google.com/file/d/1H5JO5VKG-PHCqPtkiwTxIB_r2_8zwlAX/view?usp=drivesdk" TargetMode="External" Id="rId163"/><Relationship Type="http://schemas.openxmlformats.org/officeDocument/2006/relationships/hyperlink" Target="https://drive.google.com/file/d/1ceYda0HLmh5TOzo35GFxiM7nGCUXSE4e/view?usp=drivesdk" TargetMode="External" Id="rId164"/><Relationship Type="http://schemas.openxmlformats.org/officeDocument/2006/relationships/hyperlink" Target="https://drive.google.com/file/d/1z_0Lvkv-nnNxOERVANmmKFakIieqGvhV/view?usp=drivesdk" TargetMode="External" Id="rId165"/><Relationship Type="http://schemas.openxmlformats.org/officeDocument/2006/relationships/hyperlink" Target="https://drive.google.com/file/d/1qnQm1l4mtJBBDGH6o3dm_I-CnVL_inlX/view?usp=drivesdk" TargetMode="External" Id="rId166"/><Relationship Type="http://schemas.openxmlformats.org/officeDocument/2006/relationships/hyperlink" Target="https://drive.google.com/file/d/1Q7OyD3ACFmNuYyC56I4Yi7WfzkxtxeOi/view?usp=drivesdk" TargetMode="External" Id="rId167"/><Relationship Type="http://schemas.openxmlformats.org/officeDocument/2006/relationships/hyperlink" Target="https://drive.google.com/file/d/1J9TrKraaGJx5L1OFAmQVNRWX52fY9v7T/view?usp=drivesdk" TargetMode="External" Id="rId168"/><Relationship Type="http://schemas.openxmlformats.org/officeDocument/2006/relationships/hyperlink" Target="https://drive.google.com/file/d/19u0mhg2M_DQA4RfLfUm_1SVHBd_r5UHr/view?usp=drivesdk" TargetMode="External" Id="rId169"/><Relationship Type="http://schemas.openxmlformats.org/officeDocument/2006/relationships/hyperlink" Target="https://drive.google.com/file/d/1ZHMUVacc68SwkPfNg4i7zITrVMRZwEev/view?usp=drivesdk" TargetMode="External" Id="rId170"/><Relationship Type="http://schemas.openxmlformats.org/officeDocument/2006/relationships/hyperlink" Target="https://drive.google.com/file/d/1uKuOxw3fOCW3HDpVqiEdH4qXsNrnvwUC/view?usp=drivesdk" TargetMode="External" Id="rId171"/><Relationship Type="http://schemas.openxmlformats.org/officeDocument/2006/relationships/hyperlink" Target="https://drive.google.com/file/d/1EPDx0aAQZZBGvXOr-tsVZagvlQehDY1Y/view?usp=drivesdk" TargetMode="External" Id="rId172"/><Relationship Type="http://schemas.openxmlformats.org/officeDocument/2006/relationships/hyperlink" Target="https://drive.google.com/file/d/1tdRduclMEKBCmzucqzPxFdO5d3Abt0p3/view?usp=drivesdk" TargetMode="External" Id="rId173"/><Relationship Type="http://schemas.openxmlformats.org/officeDocument/2006/relationships/hyperlink" Target="https://drive.google.com/file/d/1-BDdxjNx5o6lHfhx-4gXIFtUiLzauJfA/view?usp=drivesdk" TargetMode="External" Id="rId174"/><Relationship Type="http://schemas.openxmlformats.org/officeDocument/2006/relationships/hyperlink" Target="https://drive.google.com/file/d/1-TzEIRusUlMzfqcTAJZMNI07sOnoRkSV/view?usp=drivesdk" TargetMode="External" Id="rId175"/><Relationship Type="http://schemas.openxmlformats.org/officeDocument/2006/relationships/hyperlink" Target="https://drive.google.com/file/d/14RU9qe4qCsbjqSEjh0PA9X6dbLWP8zqp/view?usp=drivesdk" TargetMode="External" Id="rId176"/><Relationship Type="http://schemas.openxmlformats.org/officeDocument/2006/relationships/hyperlink" Target="https://drive.google.com/file/d/1-Ayz50h4xJFn4kQpcu5-40az6D-zd3QP/view?usp=drivesdk" TargetMode="External" Id="rId177"/><Relationship Type="http://schemas.openxmlformats.org/officeDocument/2006/relationships/hyperlink" Target="https://drive.google.com/file/d/1oxSSo3c3w9Dfu_viitzb6uhhl7JKE55S/view?usp=drivesdk" TargetMode="External" Id="rId178"/><Relationship Type="http://schemas.openxmlformats.org/officeDocument/2006/relationships/hyperlink" Target="https://drive.google.com/file/d/1EizwuN5-bmoWi9Xs0ACO0tqNxzSJEB78/view?usp=drivesdk" TargetMode="External" Id="rId179"/><Relationship Type="http://schemas.openxmlformats.org/officeDocument/2006/relationships/hyperlink" Target="https://drive.google.com/file/d/1gNleHwFopbvNbvlE1fgJ-UmyvOWE6SGi/view?usp=drivesdk" TargetMode="External" Id="rId180"/><Relationship Type="http://schemas.openxmlformats.org/officeDocument/2006/relationships/hyperlink" Target="https://drive.google.com/file/d/1V2FYDYVo-2OhYmdYSQW3bMD3El8E20MR/view?usp=drivesdk" TargetMode="External" Id="rId181"/><Relationship Type="http://schemas.openxmlformats.org/officeDocument/2006/relationships/hyperlink" Target="https://drive.google.com/file/d/1y3L_9mKgGCW65bvuH1MatF39lrjKFifi/view?usp=drivesdk" TargetMode="External" Id="rId182"/><Relationship Type="http://schemas.openxmlformats.org/officeDocument/2006/relationships/hyperlink" Target="https://drive.google.com/file/d/1f3vOXV99xTZLrBaWGOdO6ZNaf_xHUxKb/view?usp=drivesdk" TargetMode="External" Id="rId183"/><Relationship Type="http://schemas.openxmlformats.org/officeDocument/2006/relationships/hyperlink" Target="https://drive.google.com/file/d/1nS9eN-g06nXbQ_AJLuOhCGaJH0FkLlqy/view?usp=drivesdk" TargetMode="External" Id="rId184"/><Relationship Type="http://schemas.openxmlformats.org/officeDocument/2006/relationships/hyperlink" Target="https://drive.google.com/file/d/1gDlXSOBmNi1XBMv1CaZs-JRodZrH-Gfy/view?usp=drivesdk" TargetMode="External" Id="rId185"/><Relationship Type="http://schemas.openxmlformats.org/officeDocument/2006/relationships/hyperlink" Target="https://drive.google.com/file/d/1ktcUt_dmZ3EGuVsSemWSXxpTV7osW_Xt/view?usp=drivesdk" TargetMode="External" Id="rId186"/><Relationship Type="http://schemas.openxmlformats.org/officeDocument/2006/relationships/hyperlink" Target="https://drive.google.com/file/d/12EthxatXwUiNej1AC0mO-nrxJnB0sWHC/view?usp=drivesdk" TargetMode="External" Id="rId187"/><Relationship Type="http://schemas.openxmlformats.org/officeDocument/2006/relationships/hyperlink" Target="https://drive.google.com/file/d/1W57xoWWg1bALUWDmBPUhZIRPN6MXmlBh/view?usp=drivesdk" TargetMode="External" Id="rId188"/><Relationship Type="http://schemas.openxmlformats.org/officeDocument/2006/relationships/hyperlink" Target="https://drive.google.com/file/d/1W57xoWWg1bALUWDmBPUhZIRPN6MXmlBh/view?usp=drivesdk" TargetMode="External" Id="rId189"/><Relationship Type="http://schemas.openxmlformats.org/officeDocument/2006/relationships/hyperlink" Target="https://drive.google.com/file/d/1Ryi7Zwj4y4RO16Nj-b3j6D60nZ68M6wK/view?usp=drivesdk" TargetMode="External" Id="rId190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5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hidden="1" width="2" customWidth="1" min="2" max="2"/>
    <col hidden="1" width="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3" customWidth="1" min="17" max="17"/>
  </cols>
  <sheetData>
    <row r="1" hidden="1">
      <c r="A1" s="1" t="n"/>
      <c r="B1" s="1" t="n"/>
      <c r="C1" s="1" t="n"/>
      <c r="D1" s="1" t="inlineStr">
        <is>
          <t>202601</t>
        </is>
      </c>
      <c r="E1" s="1" t="inlineStr">
        <is>
          <t>202602</t>
        </is>
      </c>
      <c r="F1" s="1" t="inlineStr">
        <is>
          <t>202603</t>
        </is>
      </c>
      <c r="G1" s="1" t="inlineStr">
        <is>
          <t>202604</t>
        </is>
      </c>
      <c r="H1" s="1" t="inlineStr">
        <is>
          <t>202605</t>
        </is>
      </c>
      <c r="I1" s="1" t="inlineStr">
        <is>
          <t>202606</t>
        </is>
      </c>
      <c r="J1" s="1" t="inlineStr">
        <is>
          <t>202607</t>
        </is>
      </c>
      <c r="K1" s="1" t="inlineStr">
        <is>
          <t>202608</t>
        </is>
      </c>
      <c r="L1" s="1" t="inlineStr">
        <is>
          <t>202609</t>
        </is>
      </c>
      <c r="M1" s="1" t="inlineStr">
        <is>
          <t>202610</t>
        </is>
      </c>
      <c r="N1" s="1" t="inlineStr">
        <is>
          <t>202611</t>
        </is>
      </c>
      <c r="O1" s="1" t="inlineStr">
        <is>
          <t>202612</t>
        </is>
      </c>
      <c r="P1" s="1" t="inlineStr">
        <is>
          <t>TOTAL</t>
        </is>
      </c>
      <c r="Q1" s="1" t="inlineStr"/>
    </row>
    <row r="2" ht="12" customHeight="1">
      <c r="A2" s="2" t="inlineStr">
        <is>
          <t>P&amp;G INC 2026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>
        <is>
          <t>Total</t>
        </is>
      </c>
      <c r="Q2" s="1" t="inlineStr"/>
    </row>
    <row r="3" ht="12" customHeight="1">
      <c r="A3" s="3" t="inlineStr">
        <is>
          <t>Actualizado: 11/07/2026 03:04 h</t>
        </is>
      </c>
      <c r="B3" s="4" t="n"/>
      <c r="C3" s="4" t="n"/>
      <c r="D3" s="4">
        <f>IFERROR(IF(DATE(VALUE(LEFT(D$1,4)),VALUE(RIGHT(D$1,2)),1)&gt;TODAY(),"",IF(EOMONTH(DATE(VALUE(LEFT(D$1,4)),VALUE(RIGHT(D$1,2)),1),0)&lt;TODAY(),D5/DAY(EOMONTH(DATE(VALUE(LEFT(D$1,4)),VALUE(RIGHT(D$1,2)),1),0)),D5/MAX(NOW()-DATE(VALUE(LEFT(D$1,4)),VALUE(RIGHT(D$1,2)),1),1/24))),"")</f>
        <v/>
      </c>
      <c r="E3" s="4">
        <f>IFERROR(IF(DATE(VALUE(LEFT(E$1,4)),VALUE(RIGHT(E$1,2)),1)&gt;TODAY(),"",IF(EOMONTH(DATE(VALUE(LEFT(E$1,4)),VALUE(RIGHT(E$1,2)),1),0)&lt;TODAY(),E5/DAY(EOMONTH(DATE(VALUE(LEFT(E$1,4)),VALUE(RIGHT(E$1,2)),1),0)),E5/MAX(NOW()-DATE(VALUE(LEFT(E$1,4)),VALUE(RIGHT(E$1,2)),1),1/24))),"")</f>
        <v/>
      </c>
      <c r="F3" s="4">
        <f>IFERROR(IF(DATE(VALUE(LEFT(F$1,4)),VALUE(RIGHT(F$1,2)),1)&gt;TODAY(),"",IF(EOMONTH(DATE(VALUE(LEFT(F$1,4)),VALUE(RIGHT(F$1,2)),1),0)&lt;TODAY(),F5/DAY(EOMONTH(DATE(VALUE(LEFT(F$1,4)),VALUE(RIGHT(F$1,2)),1),0)),F5/MAX(NOW()-DATE(VALUE(LEFT(F$1,4)),VALUE(RIGHT(F$1,2)),1),1/24))),"")</f>
        <v/>
      </c>
      <c r="G3" s="4">
        <f>IFERROR(IF(DATE(VALUE(LEFT(G$1,4)),VALUE(RIGHT(G$1,2)),1)&gt;TODAY(),"",IF(EOMONTH(DATE(VALUE(LEFT(G$1,4)),VALUE(RIGHT(G$1,2)),1),0)&lt;TODAY(),G5/DAY(EOMONTH(DATE(VALUE(LEFT(G$1,4)),VALUE(RIGHT(G$1,2)),1),0)),G5/MAX(NOW()-DATE(VALUE(LEFT(G$1,4)),VALUE(RIGHT(G$1,2)),1),1/24))),"")</f>
        <v/>
      </c>
      <c r="H3" s="4">
        <f>IFERROR(IF(DATE(VALUE(LEFT(H$1,4)),VALUE(RIGHT(H$1,2)),1)&gt;TODAY(),"",IF(EOMONTH(DATE(VALUE(LEFT(H$1,4)),VALUE(RIGHT(H$1,2)),1),0)&lt;TODAY(),H5/DAY(EOMONTH(DATE(VALUE(LEFT(H$1,4)),VALUE(RIGHT(H$1,2)),1),0)),H5/MAX(NOW()-DATE(VALUE(LEFT(H$1,4)),VALUE(RIGHT(H$1,2)),1),1/24))),"")</f>
        <v/>
      </c>
      <c r="I3" s="4">
        <f>IFERROR(IF(DATE(VALUE(LEFT(I$1,4)),VALUE(RIGHT(I$1,2)),1)&gt;TODAY(),"",IF(EOMONTH(DATE(VALUE(LEFT(I$1,4)),VALUE(RIGHT(I$1,2)),1),0)&lt;TODAY(),I5/DAY(EOMONTH(DATE(VALUE(LEFT(I$1,4)),VALUE(RIGHT(I$1,2)),1),0)),I5/MAX(NOW()-DATE(VALUE(LEFT(I$1,4)),VALUE(RIGHT(I$1,2)),1),1/24))),"")</f>
        <v/>
      </c>
      <c r="J3" s="4">
        <f>IFERROR(IF(DATE(VALUE(LEFT(J$1,4)),VALUE(RIGHT(J$1,2)),1)&gt;TODAY(),"",IF(EOMONTH(DATE(VALUE(LEFT(J$1,4)),VALUE(RIGHT(J$1,2)),1),0)&lt;TODAY(),J5/DAY(EOMONTH(DATE(VALUE(LEFT(J$1,4)),VALUE(RIGHT(J$1,2)),1),0)),J5/MAX(NOW()-DATE(VALUE(LEFT(J$1,4)),VALUE(RIGHT(J$1,2)),1),1/24))),"")</f>
        <v/>
      </c>
      <c r="K3" s="4">
        <f>IFERROR(IF(DATE(VALUE(LEFT(K$1,4)),VALUE(RIGHT(K$1,2)),1)&gt;TODAY(),"",IF(EOMONTH(DATE(VALUE(LEFT(K$1,4)),VALUE(RIGHT(K$1,2)),1),0)&lt;TODAY(),K5/DAY(EOMONTH(DATE(VALUE(LEFT(K$1,4)),VALUE(RIGHT(K$1,2)),1),0)),K5/MAX(NOW()-DATE(VALUE(LEFT(K$1,4)),VALUE(RIGHT(K$1,2)),1),1/24))),"")</f>
        <v/>
      </c>
      <c r="L3" s="4">
        <f>IFERROR(IF(DATE(VALUE(LEFT(L$1,4)),VALUE(RIGHT(L$1,2)),1)&gt;TODAY(),"",IF(EOMONTH(DATE(VALUE(LEFT(L$1,4)),VALUE(RIGHT(L$1,2)),1),0)&lt;TODAY(),L5/DAY(EOMONTH(DATE(VALUE(LEFT(L$1,4)),VALUE(RIGHT(L$1,2)),1),0)),L5/MAX(NOW()-DATE(VALUE(LEFT(L$1,4)),VALUE(RIGHT(L$1,2)),1),1/24))),"")</f>
        <v/>
      </c>
      <c r="M3" s="4">
        <f>IFERROR(IF(DATE(VALUE(LEFT(M$1,4)),VALUE(RIGHT(M$1,2)),1)&gt;TODAY(),"",IF(EOMONTH(DATE(VALUE(LEFT(M$1,4)),VALUE(RIGHT(M$1,2)),1),0)&lt;TODAY(),M5/DAY(EOMONTH(DATE(VALUE(LEFT(M$1,4)),VALUE(RIGHT(M$1,2)),1),0)),M5/MAX(NOW()-DATE(VALUE(LEFT(M$1,4)),VALUE(RIGHT(M$1,2)),1),1/24))),"")</f>
        <v/>
      </c>
      <c r="N3" s="4">
        <f>IFERROR(IF(DATE(VALUE(LEFT(N$1,4)),VALUE(RIGHT(N$1,2)),1)&gt;TODAY(),"",IF(EOMONTH(DATE(VALUE(LEFT(N$1,4)),VALUE(RIGHT(N$1,2)),1),0)&lt;TODAY(),N5/DAY(EOMONTH(DATE(VALUE(LEFT(N$1,4)),VALUE(RIGHT(N$1,2)),1),0)),N5/MAX(NOW()-DATE(VALUE(LEFT(N$1,4)),VALUE(RIGHT(N$1,2)),1),1/24))),"")</f>
        <v/>
      </c>
      <c r="O3" s="4">
        <f>IFERROR(IF(DATE(VALUE(LEFT(O$1,4)),VALUE(RIGHT(O$1,2)),1)&gt;TODAY(),"",IF(EOMONTH(DATE(VALUE(LEFT(O$1,4)),VALUE(RIGHT(O$1,2)),1),0)&lt;TODAY(),O5/DAY(EOMONTH(DATE(VALUE(LEFT(O$1,4)),VALUE(RIGHT(O$1,2)),1),0)),O5/MAX(NOW()-DATE(VALUE(LEFT(O$1,4)),VALUE(RIGHT(O$1,2)),1),1/24))),"")</f>
        <v/>
      </c>
      <c r="P3" s="4" t="n"/>
      <c r="Q3" s="4" t="n"/>
    </row>
    <row r="4" ht="12" customHeight="1">
      <c r="A4" s="5" t="inlineStr">
        <is>
          <t>Turnover</t>
        </is>
      </c>
      <c r="B4" s="6" t="n"/>
      <c r="C4" s="6" t="n"/>
      <c r="D4" s="6">
        <f>D5+D8+D9</f>
        <v/>
      </c>
      <c r="E4" s="6">
        <f>E5+E8+E9</f>
        <v/>
      </c>
      <c r="F4" s="6">
        <f>F5+F8+F9</f>
        <v/>
      </c>
      <c r="G4" s="6">
        <f>G5+G8+G9</f>
        <v/>
      </c>
      <c r="H4" s="6">
        <f>H5+H8+H9</f>
        <v/>
      </c>
      <c r="I4" s="6">
        <f>I5+I8+I9</f>
        <v/>
      </c>
      <c r="J4" s="6">
        <f>J5+J8+J9</f>
        <v/>
      </c>
      <c r="K4" s="6">
        <f>K5+K8+K9</f>
        <v/>
      </c>
      <c r="L4" s="6">
        <f>L5+L8+L9</f>
        <v/>
      </c>
      <c r="M4" s="6">
        <f>M5+M8+M9</f>
        <v/>
      </c>
      <c r="N4" s="6">
        <f>N5+N8+N9</f>
        <v/>
      </c>
      <c r="O4" s="6">
        <f>O5+O8+O9</f>
        <v/>
      </c>
      <c r="P4" s="6">
        <f>SUM(D4:O4)</f>
        <v/>
      </c>
      <c r="Q4" s="6" t="n"/>
    </row>
    <row r="5" outlineLevel="1" ht="12" customHeight="1">
      <c r="A5" s="7" t="inlineStr">
        <is>
          <t xml:space="preserve">  Product sales</t>
        </is>
      </c>
      <c r="B5" s="8" t="n"/>
      <c r="C5" s="8" t="n"/>
      <c r="D5" s="8">
        <f>D6</f>
        <v/>
      </c>
      <c r="E5" s="8">
        <f>E6</f>
        <v/>
      </c>
      <c r="F5" s="8">
        <f>F6</f>
        <v/>
      </c>
      <c r="G5" s="8">
        <f>G6</f>
        <v/>
      </c>
      <c r="H5" s="8">
        <f>H6</f>
        <v/>
      </c>
      <c r="I5" s="8">
        <f>I6</f>
        <v/>
      </c>
      <c r="J5" s="8">
        <f>J6</f>
        <v/>
      </c>
      <c r="K5" s="8">
        <f>K6</f>
        <v/>
      </c>
      <c r="L5" s="8">
        <f>L6</f>
        <v/>
      </c>
      <c r="M5" s="8">
        <f>M6</f>
        <v/>
      </c>
      <c r="N5" s="8">
        <f>N6</f>
        <v/>
      </c>
      <c r="O5" s="8">
        <f>O6</f>
        <v/>
      </c>
      <c r="P5" s="8">
        <f>SUM(D5:O5)</f>
        <v/>
      </c>
      <c r="Q5" s="8" t="n"/>
    </row>
    <row r="6" hidden="1" outlineLevel="2" ht="12" customHeight="1">
      <c r="A6" s="9" t="inlineStr">
        <is>
          <t xml:space="preserve">    Shopify</t>
        </is>
      </c>
      <c r="B6" s="10" t="n"/>
      <c r="C6" s="10" t="n"/>
      <c r="D6" s="10">
        <f>SUM(D7:D7)</f>
        <v/>
      </c>
      <c r="E6" s="10">
        <f>SUM(E7:E7)</f>
        <v/>
      </c>
      <c r="F6" s="10">
        <f>SUM(F7:F7)</f>
        <v/>
      </c>
      <c r="G6" s="10">
        <f>SUM(G7:G7)</f>
        <v/>
      </c>
      <c r="H6" s="10">
        <f>SUM(H7:H7)</f>
        <v/>
      </c>
      <c r="I6" s="10">
        <f>SUM(I7:I7)</f>
        <v/>
      </c>
      <c r="J6" s="10">
        <f>SUM(J7:J7)</f>
        <v/>
      </c>
      <c r="K6" s="10">
        <f>SUM(K7:K7)</f>
        <v/>
      </c>
      <c r="L6" s="10">
        <f>SUM(L7:L7)</f>
        <v/>
      </c>
      <c r="M6" s="10">
        <f>SUM(M7:M7)</f>
        <v/>
      </c>
      <c r="N6" s="10">
        <f>SUM(N7:N7)</f>
        <v/>
      </c>
      <c r="O6" s="10">
        <f>SUM(O7:O7)</f>
        <v/>
      </c>
      <c r="P6" s="10">
        <f>SUM(D6:O6)</f>
        <v/>
      </c>
      <c r="Q6" s="10" t="inlineStr">
        <is>
          <t>-&gt;</t>
        </is>
      </c>
    </row>
    <row r="7" hidden="1" outlineLevel="3" ht="12" customHeight="1">
      <c r="A7" t="inlineStr">
        <is>
          <t xml:space="preserve">      US</t>
        </is>
      </c>
      <c r="B7" s="4" t="n"/>
      <c r="C7" s="4" t="n"/>
      <c r="D7" s="4">
        <f>SUMIFS('i-shopify-inc'!$I:$I,'i-shopify-inc'!$A:$A,D$1,'i-shopify-inc'!$C:$C,TRIM($A7))</f>
        <v/>
      </c>
      <c r="E7" s="4">
        <f>SUMIFS('i-shopify-inc'!$I:$I,'i-shopify-inc'!$A:$A,E$1,'i-shopify-inc'!$C:$C,TRIM($A7))</f>
        <v/>
      </c>
      <c r="F7" s="4">
        <f>SUMIFS('i-shopify-inc'!$I:$I,'i-shopify-inc'!$A:$A,F$1,'i-shopify-inc'!$C:$C,TRIM($A7))</f>
        <v/>
      </c>
      <c r="G7" s="4">
        <f>SUMIFS('i-shopify-inc'!$I:$I,'i-shopify-inc'!$A:$A,G$1,'i-shopify-inc'!$C:$C,TRIM($A7))</f>
        <v/>
      </c>
      <c r="H7" s="4">
        <f>SUMIFS('i-shopify-inc'!$I:$I,'i-shopify-inc'!$A:$A,H$1,'i-shopify-inc'!$C:$C,TRIM($A7))</f>
        <v/>
      </c>
      <c r="I7" s="4">
        <f>SUMIFS('i-shopify-inc'!$I:$I,'i-shopify-inc'!$A:$A,I$1,'i-shopify-inc'!$C:$C,TRIM($A7))</f>
        <v/>
      </c>
      <c r="J7" s="4">
        <f>SUMIFS('i-shopify-inc'!$I:$I,'i-shopify-inc'!$A:$A,J$1,'i-shopify-inc'!$C:$C,TRIM($A7))</f>
        <v/>
      </c>
      <c r="K7" s="4">
        <f>SUMIFS('i-shopify-inc'!$I:$I,'i-shopify-inc'!$A:$A,K$1,'i-shopify-inc'!$C:$C,TRIM($A7))</f>
        <v/>
      </c>
      <c r="L7" s="4">
        <f>SUMIFS('i-shopify-inc'!$I:$I,'i-shopify-inc'!$A:$A,L$1,'i-shopify-inc'!$C:$C,TRIM($A7))</f>
        <v/>
      </c>
      <c r="M7" s="4">
        <f>SUMIFS('i-shopify-inc'!$I:$I,'i-shopify-inc'!$A:$A,M$1,'i-shopify-inc'!$C:$C,TRIM($A7))</f>
        <v/>
      </c>
      <c r="N7" s="4">
        <f>SUMIFS('i-shopify-inc'!$I:$I,'i-shopify-inc'!$A:$A,N$1,'i-shopify-inc'!$C:$C,TRIM($A7))</f>
        <v/>
      </c>
      <c r="O7" s="4">
        <f>SUMIFS('i-shopify-inc'!$I:$I,'i-shopify-inc'!$A:$A,O$1,'i-shopify-inc'!$C:$C,TRIM($A7))</f>
        <v/>
      </c>
      <c r="P7" s="4">
        <f>SUM(D7:O7)</f>
        <v/>
      </c>
      <c r="Q7" s="4" t="inlineStr">
        <is>
          <t>-&gt;</t>
        </is>
      </c>
    </row>
    <row r="8" outlineLevel="1" ht="12" customHeight="1">
      <c r="A8" s="7" t="inlineStr">
        <is>
          <t xml:space="preserve">  Services</t>
        </is>
      </c>
      <c r="B8" s="8" t="n"/>
      <c r="C8" s="8" t="n"/>
      <c r="D8" s="8">
        <f>0</f>
        <v/>
      </c>
      <c r="E8" s="8">
        <f>0</f>
        <v/>
      </c>
      <c r="F8" s="8">
        <f>0</f>
        <v/>
      </c>
      <c r="G8" s="8">
        <f>0</f>
        <v/>
      </c>
      <c r="H8" s="8">
        <f>0</f>
        <v/>
      </c>
      <c r="I8" s="8">
        <f>0</f>
        <v/>
      </c>
      <c r="J8" s="8">
        <f>0</f>
        <v/>
      </c>
      <c r="K8" s="8">
        <f>0</f>
        <v/>
      </c>
      <c r="L8" s="8">
        <f>0</f>
        <v/>
      </c>
      <c r="M8" s="8">
        <f>0</f>
        <v/>
      </c>
      <c r="N8" s="8">
        <f>0</f>
        <v/>
      </c>
      <c r="O8" s="8">
        <f>0</f>
        <v/>
      </c>
      <c r="P8" s="8">
        <f>SUM(D8:O8)</f>
        <v/>
      </c>
      <c r="Q8" s="8" t="n"/>
    </row>
    <row r="9" hidden="1" outlineLevel="2" ht="12" customHeight="1">
      <c r="A9" s="9" t="inlineStr">
        <is>
          <t xml:space="preserve">  Uncategorized income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>
        <f>SUM(D9:O9)</f>
        <v/>
      </c>
      <c r="Q9" s="10" t="n"/>
    </row>
    <row r="10" ht="12" customHeight="1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>
        <f>SUM(D10:O10)</f>
        <v/>
      </c>
      <c r="Q10" s="4" t="n"/>
    </row>
    <row r="11" ht="12" customHeight="1">
      <c r="A11" s="5" t="inlineStr">
        <is>
          <t>Expenses</t>
        </is>
      </c>
      <c r="B11" s="6" t="n"/>
      <c r="C11" s="6" t="n"/>
      <c r="D11" s="6">
        <f>D12+D32</f>
        <v/>
      </c>
      <c r="E11" s="6">
        <f>E12+E32</f>
        <v/>
      </c>
      <c r="F11" s="6">
        <f>F12+F32</f>
        <v/>
      </c>
      <c r="G11" s="6">
        <f>G12+G32</f>
        <v/>
      </c>
      <c r="H11" s="6">
        <f>H12+H32</f>
        <v/>
      </c>
      <c r="I11" s="6">
        <f>I12+I32</f>
        <v/>
      </c>
      <c r="J11" s="6">
        <f>J12+J32</f>
        <v/>
      </c>
      <c r="K11" s="6">
        <f>K12+K32</f>
        <v/>
      </c>
      <c r="L11" s="6">
        <f>L12+L32</f>
        <v/>
      </c>
      <c r="M11" s="6">
        <f>M12+M32</f>
        <v/>
      </c>
      <c r="N11" s="6">
        <f>N12+N32</f>
        <v/>
      </c>
      <c r="O11" s="6">
        <f>O12+O32</f>
        <v/>
      </c>
      <c r="P11" s="6">
        <f>SUM(D11:O11)</f>
        <v/>
      </c>
      <c r="Q11" s="6" t="n"/>
    </row>
    <row r="12" outlineLevel="1" ht="12" customHeight="1">
      <c r="A12" s="7" t="inlineStr">
        <is>
          <t xml:space="preserve">  COGS</t>
        </is>
      </c>
      <c r="B12" s="8" t="n"/>
      <c r="C12" s="8" t="n"/>
      <c r="D12" s="8">
        <f>D13+D18+D21</f>
        <v/>
      </c>
      <c r="E12" s="8">
        <f>E13+E18+E21</f>
        <v/>
      </c>
      <c r="F12" s="8">
        <f>F13+F18+F21</f>
        <v/>
      </c>
      <c r="G12" s="8">
        <f>G13+G18+G21</f>
        <v/>
      </c>
      <c r="H12" s="8">
        <f>H13+H18+H21</f>
        <v/>
      </c>
      <c r="I12" s="8">
        <f>I13+I18+I21</f>
        <v/>
      </c>
      <c r="J12" s="8">
        <f>J13+J18+J21</f>
        <v/>
      </c>
      <c r="K12" s="8">
        <f>K13+K18+K21</f>
        <v/>
      </c>
      <c r="L12" s="8">
        <f>L13+L18+L21</f>
        <v/>
      </c>
      <c r="M12" s="8">
        <f>M13+M18+M21</f>
        <v/>
      </c>
      <c r="N12" s="8">
        <f>N13+N18+N21</f>
        <v/>
      </c>
      <c r="O12" s="8">
        <f>O13+O18+O21</f>
        <v/>
      </c>
      <c r="P12" s="8">
        <f>SUM(D12:O12)</f>
        <v/>
      </c>
      <c r="Q12" s="8" t="n"/>
    </row>
    <row r="13" hidden="1" outlineLevel="2" ht="12" customHeight="1">
      <c r="A13" s="9" t="inlineStr">
        <is>
          <t xml:space="preserve">    Manufacturing</t>
        </is>
      </c>
      <c r="B13" s="10" t="n"/>
      <c r="C13" s="10" t="n"/>
      <c r="D13" s="10">
        <f>SUM(D14:D15)+D16</f>
        <v/>
      </c>
      <c r="E13" s="10">
        <f>SUM(E14:E15)+E16</f>
        <v/>
      </c>
      <c r="F13" s="10">
        <f>SUM(F14:F15)+F16</f>
        <v/>
      </c>
      <c r="G13" s="10">
        <f>SUM(G14:G15)+G16</f>
        <v/>
      </c>
      <c r="H13" s="10">
        <f>SUM(H14:H15)+H16</f>
        <v/>
      </c>
      <c r="I13" s="10">
        <f>SUM(I14:I15)+I16</f>
        <v/>
      </c>
      <c r="J13" s="10">
        <f>SUM(J14:J15)+J16</f>
        <v/>
      </c>
      <c r="K13" s="10">
        <f>SUM(K14:K15)+K16</f>
        <v/>
      </c>
      <c r="L13" s="10">
        <f>SUM(L14:L15)+L16</f>
        <v/>
      </c>
      <c r="M13" s="10">
        <f>SUM(M14:M15)+M16</f>
        <v/>
      </c>
      <c r="N13" s="10">
        <f>SUM(N14:N15)+N16</f>
        <v/>
      </c>
      <c r="O13" s="10">
        <f>SUM(O14:O15)+O16</f>
        <v/>
      </c>
      <c r="P13" s="10">
        <f>SUM(D13:O13)</f>
        <v/>
      </c>
      <c r="Q13" s="10" t="inlineStr">
        <is>
          <t>-&gt;</t>
        </is>
      </c>
    </row>
    <row r="14" hidden="1" outlineLevel="3" ht="12" customHeight="1">
      <c r="A14" t="inlineStr">
        <is>
          <t xml:space="preserve">      JONDO</t>
        </is>
      </c>
      <c r="B14" s="4" t="n"/>
      <c r="C14" s="4" t="n"/>
      <c r="D14" s="4">
        <f>SUMIFS('g-expenses-inc'!$K:$K,'g-expenses-inc'!$A:$A,D$1,'g-expenses-inc'!$D:$D,"manufacturing",'g-expenses-inc'!$E:$E,TRIM($A14))</f>
        <v/>
      </c>
      <c r="E14" s="4">
        <f>SUMIFS('g-expenses-inc'!$K:$K,'g-expenses-inc'!$A:$A,E$1,'g-expenses-inc'!$D:$D,"manufacturing",'g-expenses-inc'!$E:$E,TRIM($A14))</f>
        <v/>
      </c>
      <c r="F14" s="4">
        <f>SUMIFS('g-expenses-inc'!$K:$K,'g-expenses-inc'!$A:$A,F$1,'g-expenses-inc'!$D:$D,"manufacturing",'g-expenses-inc'!$E:$E,TRIM($A14))</f>
        <v/>
      </c>
      <c r="G14" s="4">
        <f>SUMIFS('g-expenses-inc'!$K:$K,'g-expenses-inc'!$A:$A,G$1,'g-expenses-inc'!$D:$D,"manufacturing",'g-expenses-inc'!$E:$E,TRIM($A14))</f>
        <v/>
      </c>
      <c r="H14" s="4">
        <f>SUMIFS('g-expenses-inc'!$K:$K,'g-expenses-inc'!$A:$A,H$1,'g-expenses-inc'!$D:$D,"manufacturing",'g-expenses-inc'!$E:$E,TRIM($A14))</f>
        <v/>
      </c>
      <c r="I14" s="4">
        <f>SUMIFS('g-expenses-inc'!$K:$K,'g-expenses-inc'!$A:$A,I$1,'g-expenses-inc'!$D:$D,"manufacturing",'g-expenses-inc'!$E:$E,TRIM($A14))</f>
        <v/>
      </c>
      <c r="J14" s="4">
        <f>SUMIFS('g-expenses-inc'!$K:$K,'g-expenses-inc'!$A:$A,J$1,'g-expenses-inc'!$D:$D,"manufacturing",'g-expenses-inc'!$E:$E,TRIM($A14))</f>
        <v/>
      </c>
      <c r="K14" s="4">
        <f>SUMIFS('g-expenses-inc'!$K:$K,'g-expenses-inc'!$A:$A,K$1,'g-expenses-inc'!$D:$D,"manufacturing",'g-expenses-inc'!$E:$E,TRIM($A14))</f>
        <v/>
      </c>
      <c r="L14" s="4">
        <f>SUMIFS('g-expenses-inc'!$K:$K,'g-expenses-inc'!$A:$A,L$1,'g-expenses-inc'!$D:$D,"manufacturing",'g-expenses-inc'!$E:$E,TRIM($A14))</f>
        <v/>
      </c>
      <c r="M14" s="4">
        <f>SUMIFS('g-expenses-inc'!$K:$K,'g-expenses-inc'!$A:$A,M$1,'g-expenses-inc'!$D:$D,"manufacturing",'g-expenses-inc'!$E:$E,TRIM($A14))</f>
        <v/>
      </c>
      <c r="N14" s="4">
        <f>SUMIFS('g-expenses-inc'!$K:$K,'g-expenses-inc'!$A:$A,N$1,'g-expenses-inc'!$D:$D,"manufacturing",'g-expenses-inc'!$E:$E,TRIM($A14))</f>
        <v/>
      </c>
      <c r="O14" s="4">
        <f>SUMIFS('g-expenses-inc'!$K:$K,'g-expenses-inc'!$A:$A,O$1,'g-expenses-inc'!$D:$D,"manufacturing",'g-expenses-inc'!$E:$E,TRIM($A14))</f>
        <v/>
      </c>
      <c r="P14" s="4">
        <f>SUM(D14:O14)</f>
        <v/>
      </c>
      <c r="Q14" s="4" t="inlineStr">
        <is>
          <t>-&gt;</t>
        </is>
      </c>
    </row>
    <row r="15" hidden="1" outlineLevel="3" ht="12" customHeight="1">
      <c r="A15" t="inlineStr">
        <is>
          <t xml:space="preserve">      TGI</t>
        </is>
      </c>
      <c r="B15" s="4" t="n"/>
      <c r="C15" s="4" t="n"/>
      <c r="D15" s="4">
        <f>SUMIFS('g-expenses-inc'!$K:$K,'g-expenses-inc'!$A:$A,D$1,'g-expenses-inc'!$D:$D,"manufacturing",'g-expenses-inc'!$E:$E,TRIM($A15))</f>
        <v/>
      </c>
      <c r="E15" s="4">
        <f>SUMIFS('g-expenses-inc'!$K:$K,'g-expenses-inc'!$A:$A,E$1,'g-expenses-inc'!$D:$D,"manufacturing",'g-expenses-inc'!$E:$E,TRIM($A15))</f>
        <v/>
      </c>
      <c r="F15" s="4">
        <f>SUMIFS('g-expenses-inc'!$K:$K,'g-expenses-inc'!$A:$A,F$1,'g-expenses-inc'!$D:$D,"manufacturing",'g-expenses-inc'!$E:$E,TRIM($A15))</f>
        <v/>
      </c>
      <c r="G15" s="4">
        <f>SUMIFS('g-expenses-inc'!$K:$K,'g-expenses-inc'!$A:$A,G$1,'g-expenses-inc'!$D:$D,"manufacturing",'g-expenses-inc'!$E:$E,TRIM($A15))</f>
        <v/>
      </c>
      <c r="H15" s="4">
        <f>SUMIFS('g-expenses-inc'!$K:$K,'g-expenses-inc'!$A:$A,H$1,'g-expenses-inc'!$D:$D,"manufacturing",'g-expenses-inc'!$E:$E,TRIM($A15))</f>
        <v/>
      </c>
      <c r="I15" s="4">
        <f>SUMIFS('g-expenses-inc'!$K:$K,'g-expenses-inc'!$A:$A,I$1,'g-expenses-inc'!$D:$D,"manufacturing",'g-expenses-inc'!$E:$E,TRIM($A15))</f>
        <v/>
      </c>
      <c r="J15" s="4">
        <f>SUMIFS('g-expenses-inc'!$K:$K,'g-expenses-inc'!$A:$A,J$1,'g-expenses-inc'!$D:$D,"manufacturing",'g-expenses-inc'!$E:$E,TRIM($A15))</f>
        <v/>
      </c>
      <c r="K15" s="4">
        <f>SUMIFS('g-expenses-inc'!$K:$K,'g-expenses-inc'!$A:$A,K$1,'g-expenses-inc'!$D:$D,"manufacturing",'g-expenses-inc'!$E:$E,TRIM($A15))</f>
        <v/>
      </c>
      <c r="L15" s="4">
        <f>SUMIFS('g-expenses-inc'!$K:$K,'g-expenses-inc'!$A:$A,L$1,'g-expenses-inc'!$D:$D,"manufacturing",'g-expenses-inc'!$E:$E,TRIM($A15))</f>
        <v/>
      </c>
      <c r="M15" s="4">
        <f>SUMIFS('g-expenses-inc'!$K:$K,'g-expenses-inc'!$A:$A,M$1,'g-expenses-inc'!$D:$D,"manufacturing",'g-expenses-inc'!$E:$E,TRIM($A15))</f>
        <v/>
      </c>
      <c r="N15" s="4">
        <f>SUMIFS('g-expenses-inc'!$K:$K,'g-expenses-inc'!$A:$A,N$1,'g-expenses-inc'!$D:$D,"manufacturing",'g-expenses-inc'!$E:$E,TRIM($A15))</f>
        <v/>
      </c>
      <c r="O15" s="4">
        <f>SUMIFS('g-expenses-inc'!$K:$K,'g-expenses-inc'!$A:$A,O$1,'g-expenses-inc'!$D:$D,"manufacturing",'g-expenses-inc'!$E:$E,TRIM($A15))</f>
        <v/>
      </c>
      <c r="P15" s="4">
        <f>SUM(D15:O15)</f>
        <v/>
      </c>
      <c r="Q15" s="4" t="n"/>
    </row>
    <row r="16" ht="12" customHeight="1">
      <c r="A16" t="inlineStr">
        <is>
          <t xml:space="preserve">      Consumo marcos</t>
        </is>
      </c>
      <c r="B16" s="4" t="n"/>
      <c r="C16" s="4" t="n"/>
      <c r="D16" s="4" t="n">
        <v>2658.96</v>
      </c>
      <c r="E16" s="4" t="n">
        <v>1470.37</v>
      </c>
      <c r="F16" s="4" t="n">
        <v>1496.84</v>
      </c>
      <c r="G16" s="4" t="n">
        <v>899.95</v>
      </c>
      <c r="H16" s="4" t="n">
        <v>730.88</v>
      </c>
      <c r="I16" s="4" t="n">
        <v>921.26</v>
      </c>
      <c r="J16" s="4" t="n">
        <v>113.84</v>
      </c>
      <c r="K16" s="4" t="n"/>
      <c r="L16" s="4" t="n"/>
      <c r="M16" s="4" t="n"/>
      <c r="N16" s="4" t="n"/>
      <c r="O16" s="4" t="n"/>
      <c r="P16" s="4">
        <f>SUM(D16:O16)</f>
        <v/>
      </c>
      <c r="Q16" s="4" t="n"/>
    </row>
    <row r="17" hidden="1" outlineLevel="2" ht="12" customHeight="1">
      <c r="A17" s="3" t="inlineStr">
        <is>
          <t xml:space="preserve">    % Manufacturing / sales</t>
        </is>
      </c>
      <c r="B17" s="11" t="n"/>
      <c r="C17" s="11" t="n"/>
      <c r="D17" s="11">
        <f>IFERROR(D13/D5,0)</f>
        <v/>
      </c>
      <c r="E17" s="11">
        <f>IFERROR(E13/E5,0)</f>
        <v/>
      </c>
      <c r="F17" s="11">
        <f>IFERROR(F13/F5,0)</f>
        <v/>
      </c>
      <c r="G17" s="11">
        <f>IFERROR(G13/G5,0)</f>
        <v/>
      </c>
      <c r="H17" s="11">
        <f>IFERROR(H13/H5,0)</f>
        <v/>
      </c>
      <c r="I17" s="11">
        <f>IFERROR(I13/I5,0)</f>
        <v/>
      </c>
      <c r="J17" s="11">
        <f>IFERROR(J13/J5,0)</f>
        <v/>
      </c>
      <c r="K17" s="11">
        <f>IFERROR(K13/K5,0)</f>
        <v/>
      </c>
      <c r="L17" s="11">
        <f>IFERROR(L13/L5,0)</f>
        <v/>
      </c>
      <c r="M17" s="11">
        <f>IFERROR(M13/M5,0)</f>
        <v/>
      </c>
      <c r="N17" s="11">
        <f>IFERROR(N13/N5,0)</f>
        <v/>
      </c>
      <c r="O17" s="11">
        <f>IFERROR(O13/O5,0)</f>
        <v/>
      </c>
      <c r="P17" s="11">
        <f>IFERROR(P13/P5,0)</f>
        <v/>
      </c>
      <c r="Q17" s="11" t="n"/>
    </row>
    <row r="18" hidden="1" outlineLevel="2" ht="12" customHeight="1">
      <c r="A18" s="9" t="inlineStr">
        <is>
          <t xml:space="preserve">    Logistics</t>
        </is>
      </c>
      <c r="B18" s="10" t="n"/>
      <c r="C18" s="10" t="n"/>
      <c r="D18" s="10">
        <f>SUM(D19:D19)</f>
        <v/>
      </c>
      <c r="E18" s="10">
        <f>SUM(E19:E19)</f>
        <v/>
      </c>
      <c r="F18" s="10">
        <f>SUM(F19:F19)</f>
        <v/>
      </c>
      <c r="G18" s="10">
        <f>SUM(G19:G19)</f>
        <v/>
      </c>
      <c r="H18" s="10">
        <f>SUM(H19:H19)</f>
        <v/>
      </c>
      <c r="I18" s="10">
        <f>SUM(I19:I19)</f>
        <v/>
      </c>
      <c r="J18" s="10">
        <f>SUM(J19:J19)</f>
        <v/>
      </c>
      <c r="K18" s="10">
        <f>SUM(K19:K19)</f>
        <v/>
      </c>
      <c r="L18" s="10">
        <f>SUM(L19:L19)</f>
        <v/>
      </c>
      <c r="M18" s="10">
        <f>SUM(M19:M19)</f>
        <v/>
      </c>
      <c r="N18" s="10">
        <f>SUM(N19:N19)</f>
        <v/>
      </c>
      <c r="O18" s="10">
        <f>SUM(O19:O19)</f>
        <v/>
      </c>
      <c r="P18" s="10">
        <f>SUM(D18:O18)</f>
        <v/>
      </c>
      <c r="Q18" s="10" t="inlineStr">
        <is>
          <t>-&gt;</t>
        </is>
      </c>
    </row>
    <row r="19" hidden="1" outlineLevel="3" ht="12" customHeight="1">
      <c r="A19" t="inlineStr">
        <is>
          <t xml:space="preserve">      TGI</t>
        </is>
      </c>
      <c r="B19" s="4" t="n"/>
      <c r="C19" s="4" t="n"/>
      <c r="D19" s="4">
        <f>SUMIFS('g-expenses-inc'!$K:$K,'g-expenses-inc'!$A:$A,D$1,'g-expenses-inc'!$D:$D,"logistics",'g-expenses-inc'!$E:$E,TRIM($A19))</f>
        <v/>
      </c>
      <c r="E19" s="4">
        <f>SUMIFS('g-expenses-inc'!$K:$K,'g-expenses-inc'!$A:$A,E$1,'g-expenses-inc'!$D:$D,"logistics",'g-expenses-inc'!$E:$E,TRIM($A19))</f>
        <v/>
      </c>
      <c r="F19" s="4">
        <f>SUMIFS('g-expenses-inc'!$K:$K,'g-expenses-inc'!$A:$A,F$1,'g-expenses-inc'!$D:$D,"logistics",'g-expenses-inc'!$E:$E,TRIM($A19))</f>
        <v/>
      </c>
      <c r="G19" s="4">
        <f>SUMIFS('g-expenses-inc'!$K:$K,'g-expenses-inc'!$A:$A,G$1,'g-expenses-inc'!$D:$D,"logistics",'g-expenses-inc'!$E:$E,TRIM($A19))</f>
        <v/>
      </c>
      <c r="H19" s="4">
        <f>SUMIFS('g-expenses-inc'!$K:$K,'g-expenses-inc'!$A:$A,H$1,'g-expenses-inc'!$D:$D,"logistics",'g-expenses-inc'!$E:$E,TRIM($A19))</f>
        <v/>
      </c>
      <c r="I19" s="4">
        <f>SUMIFS('g-expenses-inc'!$K:$K,'g-expenses-inc'!$A:$A,I$1,'g-expenses-inc'!$D:$D,"logistics",'g-expenses-inc'!$E:$E,TRIM($A19))</f>
        <v/>
      </c>
      <c r="J19" s="4">
        <f>SUMIFS('g-expenses-inc'!$K:$K,'g-expenses-inc'!$A:$A,J$1,'g-expenses-inc'!$D:$D,"logistics",'g-expenses-inc'!$E:$E,TRIM($A19))</f>
        <v/>
      </c>
      <c r="K19" s="4">
        <f>SUMIFS('g-expenses-inc'!$K:$K,'g-expenses-inc'!$A:$A,K$1,'g-expenses-inc'!$D:$D,"logistics",'g-expenses-inc'!$E:$E,TRIM($A19))</f>
        <v/>
      </c>
      <c r="L19" s="4">
        <f>SUMIFS('g-expenses-inc'!$K:$K,'g-expenses-inc'!$A:$A,L$1,'g-expenses-inc'!$D:$D,"logistics",'g-expenses-inc'!$E:$E,TRIM($A19))</f>
        <v/>
      </c>
      <c r="M19" s="4">
        <f>SUMIFS('g-expenses-inc'!$K:$K,'g-expenses-inc'!$A:$A,M$1,'g-expenses-inc'!$D:$D,"logistics",'g-expenses-inc'!$E:$E,TRIM($A19))</f>
        <v/>
      </c>
      <c r="N19" s="4">
        <f>SUMIFS('g-expenses-inc'!$K:$K,'g-expenses-inc'!$A:$A,N$1,'g-expenses-inc'!$D:$D,"logistics",'g-expenses-inc'!$E:$E,TRIM($A19))</f>
        <v/>
      </c>
      <c r="O19" s="4">
        <f>SUMIFS('g-expenses-inc'!$K:$K,'g-expenses-inc'!$A:$A,O$1,'g-expenses-inc'!$D:$D,"logistics",'g-expenses-inc'!$E:$E,TRIM($A19))</f>
        <v/>
      </c>
      <c r="P19" s="4">
        <f>SUM(D19:O19)</f>
        <v/>
      </c>
      <c r="Q19" s="4" t="inlineStr">
        <is>
          <t>-&gt;</t>
        </is>
      </c>
    </row>
    <row r="20" hidden="1" outlineLevel="2" ht="12" customHeight="1">
      <c r="A20" s="3" t="inlineStr">
        <is>
          <t xml:space="preserve">    % Logistics / sales</t>
        </is>
      </c>
      <c r="B20" s="11" t="n"/>
      <c r="C20" s="11" t="n"/>
      <c r="D20" s="11">
        <f>IFERROR(D18/D5,0)</f>
        <v/>
      </c>
      <c r="E20" s="11">
        <f>IFERROR(E18/E5,0)</f>
        <v/>
      </c>
      <c r="F20" s="11">
        <f>IFERROR(F18/F5,0)</f>
        <v/>
      </c>
      <c r="G20" s="11">
        <f>IFERROR(G18/G5,0)</f>
        <v/>
      </c>
      <c r="H20" s="11">
        <f>IFERROR(H18/H5,0)</f>
        <v/>
      </c>
      <c r="I20" s="11">
        <f>IFERROR(I18/I5,0)</f>
        <v/>
      </c>
      <c r="J20" s="11">
        <f>IFERROR(J18/J5,0)</f>
        <v/>
      </c>
      <c r="K20" s="11">
        <f>IFERROR(K18/K5,0)</f>
        <v/>
      </c>
      <c r="L20" s="11">
        <f>IFERROR(L18/L5,0)</f>
        <v/>
      </c>
      <c r="M20" s="11">
        <f>IFERROR(M18/M5,0)</f>
        <v/>
      </c>
      <c r="N20" s="11">
        <f>IFERROR(N18/N5,0)</f>
        <v/>
      </c>
      <c r="O20" s="11">
        <f>IFERROR(O18/O5,0)</f>
        <v/>
      </c>
      <c r="P20" s="11">
        <f>IFERROR(P18/P5,0)</f>
        <v/>
      </c>
      <c r="Q20" s="11" t="n"/>
    </row>
    <row r="21" hidden="1" outlineLevel="2" ht="12" customHeight="1">
      <c r="A21" s="9" t="inlineStr">
        <is>
          <t xml:space="preserve">    Payment fees</t>
        </is>
      </c>
      <c r="B21" s="10" t="n"/>
      <c r="C21" s="10" t="n"/>
      <c r="D21" s="10">
        <f>SUM(D22:D22)</f>
        <v/>
      </c>
      <c r="E21" s="10">
        <f>SUM(E22:E22)</f>
        <v/>
      </c>
      <c r="F21" s="10">
        <f>SUM(F22:F22)</f>
        <v/>
      </c>
      <c r="G21" s="10">
        <f>SUM(G22:G22)</f>
        <v/>
      </c>
      <c r="H21" s="10">
        <f>SUM(H22:H22)</f>
        <v/>
      </c>
      <c r="I21" s="10">
        <f>SUM(I22:I22)</f>
        <v/>
      </c>
      <c r="J21" s="10">
        <f>SUM(J22:J22)</f>
        <v/>
      </c>
      <c r="K21" s="10">
        <f>SUM(K22:K22)</f>
        <v/>
      </c>
      <c r="L21" s="10">
        <f>SUM(L22:L22)</f>
        <v/>
      </c>
      <c r="M21" s="10">
        <f>SUM(M22:M22)</f>
        <v/>
      </c>
      <c r="N21" s="10">
        <f>SUM(N22:N22)</f>
        <v/>
      </c>
      <c r="O21" s="10">
        <f>SUM(O22:O22)</f>
        <v/>
      </c>
      <c r="P21" s="10">
        <f>SUM(D21:O21)</f>
        <v/>
      </c>
      <c r="Q21" s="10" t="inlineStr">
        <is>
          <t>-&gt;</t>
        </is>
      </c>
    </row>
    <row r="22" hidden="1" outlineLevel="3" ht="12" customHeight="1">
      <c r="A22" t="inlineStr">
        <is>
          <t xml:space="preserve">      SHOPIFY</t>
        </is>
      </c>
      <c r="B22" s="4" t="n"/>
      <c r="C22" s="4" t="n"/>
      <c r="D22" s="4">
        <f>SUMIFS('g-payment-fees-inc'!$H:$H,'g-payment-fees-inc'!$A:$A,D$1,'g-payment-fees-inc'!$C:$C,TRIM($A22))</f>
        <v/>
      </c>
      <c r="E22" s="4">
        <f>SUMIFS('g-payment-fees-inc'!$H:$H,'g-payment-fees-inc'!$A:$A,E$1,'g-payment-fees-inc'!$C:$C,TRIM($A22))</f>
        <v/>
      </c>
      <c r="F22" s="4">
        <f>SUMIFS('g-payment-fees-inc'!$H:$H,'g-payment-fees-inc'!$A:$A,F$1,'g-payment-fees-inc'!$C:$C,TRIM($A22))</f>
        <v/>
      </c>
      <c r="G22" s="4">
        <f>SUMIFS('g-payment-fees-inc'!$H:$H,'g-payment-fees-inc'!$A:$A,G$1,'g-payment-fees-inc'!$C:$C,TRIM($A22))</f>
        <v/>
      </c>
      <c r="H22" s="4">
        <f>SUMIFS('g-payment-fees-inc'!$H:$H,'g-payment-fees-inc'!$A:$A,H$1,'g-payment-fees-inc'!$C:$C,TRIM($A22))</f>
        <v/>
      </c>
      <c r="I22" s="4">
        <f>SUMIFS('g-payment-fees-inc'!$H:$H,'g-payment-fees-inc'!$A:$A,I$1,'g-payment-fees-inc'!$C:$C,TRIM($A22))</f>
        <v/>
      </c>
      <c r="J22" s="4">
        <f>SUMIFS('g-payment-fees-inc'!$H:$H,'g-payment-fees-inc'!$A:$A,J$1,'g-payment-fees-inc'!$C:$C,TRIM($A22))</f>
        <v/>
      </c>
      <c r="K22" s="4">
        <f>SUMIFS('g-payment-fees-inc'!$H:$H,'g-payment-fees-inc'!$A:$A,K$1,'g-payment-fees-inc'!$C:$C,TRIM($A22))</f>
        <v/>
      </c>
      <c r="L22" s="4">
        <f>SUMIFS('g-payment-fees-inc'!$H:$H,'g-payment-fees-inc'!$A:$A,L$1,'g-payment-fees-inc'!$C:$C,TRIM($A22))</f>
        <v/>
      </c>
      <c r="M22" s="4">
        <f>SUMIFS('g-payment-fees-inc'!$H:$H,'g-payment-fees-inc'!$A:$A,M$1,'g-payment-fees-inc'!$C:$C,TRIM($A22))</f>
        <v/>
      </c>
      <c r="N22" s="4">
        <f>SUMIFS('g-payment-fees-inc'!$H:$H,'g-payment-fees-inc'!$A:$A,N$1,'g-payment-fees-inc'!$C:$C,TRIM($A22))</f>
        <v/>
      </c>
      <c r="O22" s="4">
        <f>SUMIFS('g-payment-fees-inc'!$H:$H,'g-payment-fees-inc'!$A:$A,O$1,'g-payment-fees-inc'!$C:$C,TRIM($A22))</f>
        <v/>
      </c>
      <c r="P22" s="4">
        <f>SUM(D22:O22)</f>
        <v/>
      </c>
      <c r="Q22" s="4" t="inlineStr">
        <is>
          <t>-&gt;</t>
        </is>
      </c>
    </row>
    <row r="23" ht="12" customHeight="1">
      <c r="A23" s="12" t="inlineStr">
        <is>
          <t xml:space="preserve">    Royalties</t>
        </is>
      </c>
      <c r="B23" s="4" t="n"/>
      <c r="C23" s="4" t="n"/>
      <c r="D23" s="4" t="n">
        <v>561.38</v>
      </c>
      <c r="E23" s="4" t="n">
        <v>878.29</v>
      </c>
      <c r="F23" s="4" t="n">
        <v>852</v>
      </c>
      <c r="G23" s="4" t="n">
        <v>663.5</v>
      </c>
      <c r="H23" s="4" t="n">
        <v>548.4299999999999</v>
      </c>
      <c r="I23" s="4" t="n">
        <v>618.6900000000001</v>
      </c>
      <c r="J23" s="4" t="n"/>
      <c r="K23" s="4" t="n"/>
      <c r="L23" s="4" t="n"/>
      <c r="M23" s="4" t="n"/>
      <c r="N23" s="4" t="n"/>
      <c r="O23" s="4" t="n"/>
      <c r="P23" s="4">
        <f>SUM(D23:O23)</f>
        <v/>
      </c>
      <c r="Q23" s="4" t="n"/>
    </row>
    <row r="24" ht="12" customHeight="1"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>
        <f>SUM(D24:O24)</f>
        <v/>
      </c>
      <c r="Q24" s="4" t="n"/>
    </row>
    <row r="25" hidden="1" outlineLevel="2" ht="12" customHeight="1">
      <c r="A25" s="3" t="inlineStr">
        <is>
          <t xml:space="preserve">    % Payment fees / sales</t>
        </is>
      </c>
      <c r="B25" s="11" t="n"/>
      <c r="C25" s="11" t="n"/>
      <c r="D25" s="11">
        <f>IFERROR(D21/D5,0)</f>
        <v/>
      </c>
      <c r="E25" s="11">
        <f>IFERROR(E21/E5,0)</f>
        <v/>
      </c>
      <c r="F25" s="11">
        <f>IFERROR(F21/F5,0)</f>
        <v/>
      </c>
      <c r="G25" s="11">
        <f>IFERROR(G21/G5,0)</f>
        <v/>
      </c>
      <c r="H25" s="11">
        <f>IFERROR(H21/H5,0)</f>
        <v/>
      </c>
      <c r="I25" s="11">
        <f>IFERROR(I21/I5,0)</f>
        <v/>
      </c>
      <c r="J25" s="11">
        <f>IFERROR(J21/J5,0)</f>
        <v/>
      </c>
      <c r="K25" s="11">
        <f>IFERROR(K21/K5,0)</f>
        <v/>
      </c>
      <c r="L25" s="11">
        <f>IFERROR(L21/L5,0)</f>
        <v/>
      </c>
      <c r="M25" s="11">
        <f>IFERROR(M21/M5,0)</f>
        <v/>
      </c>
      <c r="N25" s="11">
        <f>IFERROR(N21/N5,0)</f>
        <v/>
      </c>
      <c r="O25" s="11">
        <f>IFERROR(O21/O5,0)</f>
        <v/>
      </c>
      <c r="P25" s="11">
        <f>IFERROR(P21/P5,0)</f>
        <v/>
      </c>
      <c r="Q25" s="11" t="n"/>
    </row>
    <row r="26" ht="12" customHeight="1"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>
        <f>SUM(D26:O26)</f>
        <v/>
      </c>
      <c r="Q26" s="4" t="n"/>
    </row>
    <row r="27" ht="12" customHeight="1">
      <c r="A27" s="13" t="inlineStr">
        <is>
          <t>GROSS MARGIN (SALES-MANUFACTURING)</t>
        </is>
      </c>
      <c r="B27" s="14" t="n"/>
      <c r="C27" s="14" t="n"/>
      <c r="D27" s="14">
        <f>D5-D13</f>
        <v/>
      </c>
      <c r="E27" s="14">
        <f>E5-E13</f>
        <v/>
      </c>
      <c r="F27" s="14">
        <f>F5-F13</f>
        <v/>
      </c>
      <c r="G27" s="14">
        <f>G5-G13</f>
        <v/>
      </c>
      <c r="H27" s="14">
        <f>H5-H13</f>
        <v/>
      </c>
      <c r="I27" s="14">
        <f>I5-I13</f>
        <v/>
      </c>
      <c r="J27" s="14">
        <f>J5-J13</f>
        <v/>
      </c>
      <c r="K27" s="14">
        <f>K5-K13</f>
        <v/>
      </c>
      <c r="L27" s="14">
        <f>L5-L13</f>
        <v/>
      </c>
      <c r="M27" s="14">
        <f>M5-M13</f>
        <v/>
      </c>
      <c r="N27" s="14">
        <f>N5-N13</f>
        <v/>
      </c>
      <c r="O27" s="14">
        <f>O5-O13</f>
        <v/>
      </c>
      <c r="P27" s="14">
        <f>SUM(D27:O27)</f>
        <v/>
      </c>
      <c r="Q27" s="14" t="n"/>
    </row>
    <row r="28" hidden="1" outlineLevel="1" ht="12" customHeight="1">
      <c r="A28" s="3" t="inlineStr">
        <is>
          <t>% gross margin</t>
        </is>
      </c>
      <c r="B28" s="11" t="n"/>
      <c r="C28" s="11" t="n"/>
      <c r="D28" s="11">
        <f>IFERROR(D27/D5,0)</f>
        <v/>
      </c>
      <c r="E28" s="11">
        <f>IFERROR(E27/E5,0)</f>
        <v/>
      </c>
      <c r="F28" s="11">
        <f>IFERROR(F27/F5,0)</f>
        <v/>
      </c>
      <c r="G28" s="11">
        <f>IFERROR(G27/G5,0)</f>
        <v/>
      </c>
      <c r="H28" s="11">
        <f>IFERROR(H27/H5,0)</f>
        <v/>
      </c>
      <c r="I28" s="11">
        <f>IFERROR(I27/I5,0)</f>
        <v/>
      </c>
      <c r="J28" s="11">
        <f>IFERROR(J27/J5,0)</f>
        <v/>
      </c>
      <c r="K28" s="11">
        <f>IFERROR(K27/K5,0)</f>
        <v/>
      </c>
      <c r="L28" s="11">
        <f>IFERROR(L27/L5,0)</f>
        <v/>
      </c>
      <c r="M28" s="11">
        <f>IFERROR(M27/M5,0)</f>
        <v/>
      </c>
      <c r="N28" s="11">
        <f>IFERROR(N27/N5,0)</f>
        <v/>
      </c>
      <c r="O28" s="11">
        <f>IFERROR(O27/O5,0)</f>
        <v/>
      </c>
      <c r="P28" s="11">
        <f>IFERROR(P27/P5,0)</f>
        <v/>
      </c>
      <c r="Q28" s="11" t="n"/>
    </row>
    <row r="29" ht="12" customHeight="1">
      <c r="A29" s="13" t="inlineStr">
        <is>
          <t>Contributive margin (product sales-COGS)</t>
        </is>
      </c>
      <c r="B29" s="14" t="n"/>
      <c r="C29" s="14" t="n"/>
      <c r="D29" s="14">
        <f>D5-D12-D23</f>
        <v/>
      </c>
      <c r="E29" s="14">
        <f>E5-E12-E23</f>
        <v/>
      </c>
      <c r="F29" s="14">
        <f>F5-F12-F23</f>
        <v/>
      </c>
      <c r="G29" s="14">
        <f>G5-G12-G23</f>
        <v/>
      </c>
      <c r="H29" s="14">
        <f>H5-H12-H23</f>
        <v/>
      </c>
      <c r="I29" s="14">
        <f>I5-I12-I23</f>
        <v/>
      </c>
      <c r="J29" s="14">
        <f>J5-J12-J23</f>
        <v/>
      </c>
      <c r="K29" s="14">
        <f>K5-K12-K23</f>
        <v/>
      </c>
      <c r="L29" s="14">
        <f>L5-L12-L23</f>
        <v/>
      </c>
      <c r="M29" s="14">
        <f>M5-M12-M23</f>
        <v/>
      </c>
      <c r="N29" s="14">
        <f>N5-N12-N23</f>
        <v/>
      </c>
      <c r="O29" s="14">
        <f>O5-O12-O23</f>
        <v/>
      </c>
      <c r="P29" s="14">
        <f>SUM(D29:O29)</f>
        <v/>
      </c>
      <c r="Q29" s="14" t="n"/>
    </row>
    <row r="30" hidden="1" outlineLevel="1" ht="12" customHeight="1">
      <c r="A30" s="3" t="inlineStr">
        <is>
          <t>% contributive margin</t>
        </is>
      </c>
      <c r="B30" s="11" t="n"/>
      <c r="C30" s="11" t="n"/>
      <c r="D30" s="11">
        <f>IFERROR(D29/D5,0)</f>
        <v/>
      </c>
      <c r="E30" s="11">
        <f>IFERROR(E29/E5,0)</f>
        <v/>
      </c>
      <c r="F30" s="11">
        <f>IFERROR(F29/F5,0)</f>
        <v/>
      </c>
      <c r="G30" s="11">
        <f>IFERROR(G29/G5,0)</f>
        <v/>
      </c>
      <c r="H30" s="11">
        <f>IFERROR(H29/H5,0)</f>
        <v/>
      </c>
      <c r="I30" s="11">
        <f>IFERROR(I29/I5,0)</f>
        <v/>
      </c>
      <c r="J30" s="11">
        <f>IFERROR(J29/J5,0)</f>
        <v/>
      </c>
      <c r="K30" s="11">
        <f>IFERROR(K29/K5,0)</f>
        <v/>
      </c>
      <c r="L30" s="11">
        <f>IFERROR(L29/L5,0)</f>
        <v/>
      </c>
      <c r="M30" s="11">
        <f>IFERROR(M29/M5,0)</f>
        <v/>
      </c>
      <c r="N30" s="11">
        <f>IFERROR(N29/N5,0)</f>
        <v/>
      </c>
      <c r="O30" s="11">
        <f>IFERROR(O29/O5,0)</f>
        <v/>
      </c>
      <c r="P30" s="11">
        <f>IFERROR(P29/P5,0)</f>
        <v/>
      </c>
      <c r="Q30" s="11" t="n"/>
    </row>
    <row r="31" ht="12" customHeight="1"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>
        <f>SUM(D31:O31)</f>
        <v/>
      </c>
      <c r="Q31" s="4" t="n"/>
    </row>
    <row r="32" outlineLevel="1" ht="12" customHeight="1">
      <c r="A32" s="7" t="inlineStr">
        <is>
          <t xml:space="preserve">  Opex</t>
        </is>
      </c>
      <c r="B32" s="8" t="n"/>
      <c r="C32" s="8" t="n"/>
      <c r="D32" s="8">
        <f>D33+D35+D42+D44</f>
        <v/>
      </c>
      <c r="E32" s="8">
        <f>E33+E35+E42+E44</f>
        <v/>
      </c>
      <c r="F32" s="8">
        <f>F33+F35+F42+F44</f>
        <v/>
      </c>
      <c r="G32" s="8">
        <f>G33+G35+G42+G44</f>
        <v/>
      </c>
      <c r="H32" s="8">
        <f>H33+H35+H42+H44</f>
        <v/>
      </c>
      <c r="I32" s="8">
        <f>I33+I35+I42+I44</f>
        <v/>
      </c>
      <c r="J32" s="8">
        <f>J33+J35+J42+J44</f>
        <v/>
      </c>
      <c r="K32" s="8">
        <f>K33+K35+K42+K44</f>
        <v/>
      </c>
      <c r="L32" s="8">
        <f>L33+L35+L42+L44</f>
        <v/>
      </c>
      <c r="M32" s="8">
        <f>M33+M35+M42+M44</f>
        <v/>
      </c>
      <c r="N32" s="8">
        <f>N33+N35+N42+N44</f>
        <v/>
      </c>
      <c r="O32" s="8">
        <f>O33+O35+O42+O44</f>
        <v/>
      </c>
      <c r="P32" s="8">
        <f>SUM(D32:O32)</f>
        <v/>
      </c>
      <c r="Q32" s="8" t="n"/>
    </row>
    <row r="33" hidden="1" outlineLevel="2" ht="12" customHeight="1">
      <c r="A33" s="9" t="inlineStr">
        <is>
          <t xml:space="preserve">    Shared services</t>
        </is>
      </c>
      <c r="B33" s="10" t="n"/>
      <c r="C33" s="10" t="n"/>
      <c r="D33" s="10">
        <f>SUM(D34:D34)</f>
        <v/>
      </c>
      <c r="E33" s="10">
        <f>SUM(E34:E34)</f>
        <v/>
      </c>
      <c r="F33" s="10">
        <f>SUM(F34:F34)</f>
        <v/>
      </c>
      <c r="G33" s="10">
        <f>SUM(G34:G34)</f>
        <v/>
      </c>
      <c r="H33" s="10">
        <f>SUM(H34:H34)</f>
        <v/>
      </c>
      <c r="I33" s="10">
        <f>SUM(I34:I34)</f>
        <v/>
      </c>
      <c r="J33" s="10">
        <f>SUM(J34:J34)</f>
        <v/>
      </c>
      <c r="K33" s="10">
        <f>SUM(K34:K34)</f>
        <v/>
      </c>
      <c r="L33" s="10">
        <f>SUM(L34:L34)</f>
        <v/>
      </c>
      <c r="M33" s="10">
        <f>SUM(M34:M34)</f>
        <v/>
      </c>
      <c r="N33" s="10">
        <f>SUM(N34:N34)</f>
        <v/>
      </c>
      <c r="O33" s="10">
        <f>SUM(O34:O34)</f>
        <v/>
      </c>
      <c r="P33" s="10">
        <f>SUM(D33:O33)</f>
        <v/>
      </c>
      <c r="Q33" s="10" t="inlineStr">
        <is>
          <t>-&gt;</t>
        </is>
      </c>
    </row>
    <row r="34" hidden="1" outlineLevel="3" ht="12" customHeight="1">
      <c r="A34" t="inlineStr">
        <is>
          <t xml:space="preserve">      SHAREDSERVICESSL</t>
        </is>
      </c>
      <c r="B34" s="4" t="n"/>
      <c r="C34" s="4" t="n"/>
      <c r="D34" s="4">
        <f>SUMIFS('g-expenses-inc'!$K:$K,'g-expenses-inc'!$A:$A,D$1,'g-expenses-inc'!$D:$D,"shared_services",'g-expenses-inc'!$E:$E,TRIM($A34))</f>
        <v/>
      </c>
      <c r="E34" s="4">
        <f>SUMIFS('g-expenses-inc'!$K:$K,'g-expenses-inc'!$A:$A,E$1,'g-expenses-inc'!$D:$D,"shared_services",'g-expenses-inc'!$E:$E,TRIM($A34))</f>
        <v/>
      </c>
      <c r="F34" s="4">
        <f>SUMIFS('g-expenses-inc'!$K:$K,'g-expenses-inc'!$A:$A,F$1,'g-expenses-inc'!$D:$D,"shared_services",'g-expenses-inc'!$E:$E,TRIM($A34))</f>
        <v/>
      </c>
      <c r="G34" s="4">
        <f>SUMIFS('g-expenses-inc'!$K:$K,'g-expenses-inc'!$A:$A,G$1,'g-expenses-inc'!$D:$D,"shared_services",'g-expenses-inc'!$E:$E,TRIM($A34))</f>
        <v/>
      </c>
      <c r="H34" s="4">
        <f>SUMIFS('g-expenses-inc'!$K:$K,'g-expenses-inc'!$A:$A,H$1,'g-expenses-inc'!$D:$D,"shared_services",'g-expenses-inc'!$E:$E,TRIM($A34))</f>
        <v/>
      </c>
      <c r="I34" s="4">
        <f>SUMIFS('g-expenses-inc'!$K:$K,'g-expenses-inc'!$A:$A,I$1,'g-expenses-inc'!$D:$D,"shared_services",'g-expenses-inc'!$E:$E,TRIM($A34))</f>
        <v/>
      </c>
      <c r="J34" s="4">
        <f>SUMIFS('g-expenses-inc'!$K:$K,'g-expenses-inc'!$A:$A,J$1,'g-expenses-inc'!$D:$D,"shared_services",'g-expenses-inc'!$E:$E,TRIM($A34))</f>
        <v/>
      </c>
      <c r="K34" s="4">
        <f>SUMIFS('g-expenses-inc'!$K:$K,'g-expenses-inc'!$A:$A,K$1,'g-expenses-inc'!$D:$D,"shared_services",'g-expenses-inc'!$E:$E,TRIM($A34))</f>
        <v/>
      </c>
      <c r="L34" s="4">
        <f>SUMIFS('g-expenses-inc'!$K:$K,'g-expenses-inc'!$A:$A,L$1,'g-expenses-inc'!$D:$D,"shared_services",'g-expenses-inc'!$E:$E,TRIM($A34))</f>
        <v/>
      </c>
      <c r="M34" s="4">
        <f>SUMIFS('g-expenses-inc'!$K:$K,'g-expenses-inc'!$A:$A,M$1,'g-expenses-inc'!$D:$D,"shared_services",'g-expenses-inc'!$E:$E,TRIM($A34))</f>
        <v/>
      </c>
      <c r="N34" s="4">
        <f>SUMIFS('g-expenses-inc'!$K:$K,'g-expenses-inc'!$A:$A,N$1,'g-expenses-inc'!$D:$D,"shared_services",'g-expenses-inc'!$E:$E,TRIM($A34))</f>
        <v/>
      </c>
      <c r="O34" s="4">
        <f>SUMIFS('g-expenses-inc'!$K:$K,'g-expenses-inc'!$A:$A,O$1,'g-expenses-inc'!$D:$D,"shared_services",'g-expenses-inc'!$E:$E,TRIM($A34))</f>
        <v/>
      </c>
      <c r="P34" s="4">
        <f>SUM(D34:O34)</f>
        <v/>
      </c>
      <c r="Q34" s="4" t="inlineStr">
        <is>
          <t>-&gt;</t>
        </is>
      </c>
    </row>
    <row r="35" hidden="1" outlineLevel="2" ht="12" customHeight="1">
      <c r="A35" s="9" t="inlineStr">
        <is>
          <t xml:space="preserve">    Administration</t>
        </is>
      </c>
      <c r="B35" s="10" t="n"/>
      <c r="C35" s="10" t="n"/>
      <c r="D35" s="10">
        <f>SUM(D36:D41)</f>
        <v/>
      </c>
      <c r="E35" s="10">
        <f>SUM(E36:E41)</f>
        <v/>
      </c>
      <c r="F35" s="10">
        <f>SUM(F36:F41)</f>
        <v/>
      </c>
      <c r="G35" s="10">
        <f>SUM(G36:G41)</f>
        <v/>
      </c>
      <c r="H35" s="10">
        <f>SUM(H36:H41)</f>
        <v/>
      </c>
      <c r="I35" s="10">
        <f>SUM(I36:I41)</f>
        <v/>
      </c>
      <c r="J35" s="10">
        <f>SUM(J36:J41)</f>
        <v/>
      </c>
      <c r="K35" s="10">
        <f>SUM(K36:K41)</f>
        <v/>
      </c>
      <c r="L35" s="10">
        <f>SUM(L36:L41)</f>
        <v/>
      </c>
      <c r="M35" s="10">
        <f>SUM(M36:M41)</f>
        <v/>
      </c>
      <c r="N35" s="10">
        <f>SUM(N36:N41)</f>
        <v/>
      </c>
      <c r="O35" s="10">
        <f>SUM(O36:O41)</f>
        <v/>
      </c>
      <c r="P35" s="10">
        <f>SUM(D35:O35)</f>
        <v/>
      </c>
      <c r="Q35" s="10" t="inlineStr">
        <is>
          <t>-&gt;</t>
        </is>
      </c>
    </row>
    <row r="36" hidden="1" outlineLevel="3" ht="12" customHeight="1">
      <c r="A36" t="inlineStr">
        <is>
          <t xml:space="preserve">      CONTINUUM</t>
        </is>
      </c>
      <c r="B36" s="4" t="n"/>
      <c r="C36" s="4" t="n"/>
      <c r="D36" s="4">
        <f>SUMIFS('g-expenses-inc'!$K:$K,'g-expenses-inc'!$A:$A,D$1,'g-expenses-inc'!$D:$D,"administration",'g-expenses-inc'!$E:$E,TRIM($A36))</f>
        <v/>
      </c>
      <c r="E36" s="4">
        <f>SUMIFS('g-expenses-inc'!$K:$K,'g-expenses-inc'!$A:$A,E$1,'g-expenses-inc'!$D:$D,"administration",'g-expenses-inc'!$E:$E,TRIM($A36))</f>
        <v/>
      </c>
      <c r="F36" s="4">
        <f>SUMIFS('g-expenses-inc'!$K:$K,'g-expenses-inc'!$A:$A,F$1,'g-expenses-inc'!$D:$D,"administration",'g-expenses-inc'!$E:$E,TRIM($A36))</f>
        <v/>
      </c>
      <c r="G36" s="4">
        <f>SUMIFS('g-expenses-inc'!$K:$K,'g-expenses-inc'!$A:$A,G$1,'g-expenses-inc'!$D:$D,"administration",'g-expenses-inc'!$E:$E,TRIM($A36))</f>
        <v/>
      </c>
      <c r="H36" s="4">
        <f>SUMIFS('g-expenses-inc'!$K:$K,'g-expenses-inc'!$A:$A,H$1,'g-expenses-inc'!$D:$D,"administration",'g-expenses-inc'!$E:$E,TRIM($A36))</f>
        <v/>
      </c>
      <c r="I36" s="4">
        <f>SUMIFS('g-expenses-inc'!$K:$K,'g-expenses-inc'!$A:$A,I$1,'g-expenses-inc'!$D:$D,"administration",'g-expenses-inc'!$E:$E,TRIM($A36))</f>
        <v/>
      </c>
      <c r="J36" s="4">
        <f>SUMIFS('g-expenses-inc'!$K:$K,'g-expenses-inc'!$A:$A,J$1,'g-expenses-inc'!$D:$D,"administration",'g-expenses-inc'!$E:$E,TRIM($A36))</f>
        <v/>
      </c>
      <c r="K36" s="4">
        <f>SUMIFS('g-expenses-inc'!$K:$K,'g-expenses-inc'!$A:$A,K$1,'g-expenses-inc'!$D:$D,"administration",'g-expenses-inc'!$E:$E,TRIM($A36))</f>
        <v/>
      </c>
      <c r="L36" s="4">
        <f>SUMIFS('g-expenses-inc'!$K:$K,'g-expenses-inc'!$A:$A,L$1,'g-expenses-inc'!$D:$D,"administration",'g-expenses-inc'!$E:$E,TRIM($A36))</f>
        <v/>
      </c>
      <c r="M36" s="4">
        <f>SUMIFS('g-expenses-inc'!$K:$K,'g-expenses-inc'!$A:$A,M$1,'g-expenses-inc'!$D:$D,"administration",'g-expenses-inc'!$E:$E,TRIM($A36))</f>
        <v/>
      </c>
      <c r="N36" s="4">
        <f>SUMIFS('g-expenses-inc'!$K:$K,'g-expenses-inc'!$A:$A,N$1,'g-expenses-inc'!$D:$D,"administration",'g-expenses-inc'!$E:$E,TRIM($A36))</f>
        <v/>
      </c>
      <c r="O36" s="4">
        <f>SUMIFS('g-expenses-inc'!$K:$K,'g-expenses-inc'!$A:$A,O$1,'g-expenses-inc'!$D:$D,"administration",'g-expenses-inc'!$E:$E,TRIM($A36))</f>
        <v/>
      </c>
      <c r="P36" s="4">
        <f>SUM(D36:O36)</f>
        <v/>
      </c>
      <c r="Q36" s="4" t="inlineStr">
        <is>
          <t>-&gt;</t>
        </is>
      </c>
    </row>
    <row r="37" hidden="1" outlineLevel="3" ht="12" customHeight="1">
      <c r="A37" t="inlineStr">
        <is>
          <t xml:space="preserve">      DELAWARE</t>
        </is>
      </c>
      <c r="B37" s="4" t="n"/>
      <c r="C37" s="4" t="n"/>
      <c r="D37" s="4">
        <f>SUMIFS('g-expenses-inc'!$K:$K,'g-expenses-inc'!$A:$A,D$1,'g-expenses-inc'!$D:$D,"administration",'g-expenses-inc'!$E:$E,TRIM($A37))</f>
        <v/>
      </c>
      <c r="E37" s="4">
        <f>SUMIFS('g-expenses-inc'!$K:$K,'g-expenses-inc'!$A:$A,E$1,'g-expenses-inc'!$D:$D,"administration",'g-expenses-inc'!$E:$E,TRIM($A37))</f>
        <v/>
      </c>
      <c r="F37" s="4">
        <f>SUMIFS('g-expenses-inc'!$K:$K,'g-expenses-inc'!$A:$A,F$1,'g-expenses-inc'!$D:$D,"administration",'g-expenses-inc'!$E:$E,TRIM($A37))</f>
        <v/>
      </c>
      <c r="G37" s="4">
        <f>SUMIFS('g-expenses-inc'!$K:$K,'g-expenses-inc'!$A:$A,G$1,'g-expenses-inc'!$D:$D,"administration",'g-expenses-inc'!$E:$E,TRIM($A37))</f>
        <v/>
      </c>
      <c r="H37" s="4">
        <f>SUMIFS('g-expenses-inc'!$K:$K,'g-expenses-inc'!$A:$A,H$1,'g-expenses-inc'!$D:$D,"administration",'g-expenses-inc'!$E:$E,TRIM($A37))</f>
        <v/>
      </c>
      <c r="I37" s="4">
        <f>SUMIFS('g-expenses-inc'!$K:$K,'g-expenses-inc'!$A:$A,I$1,'g-expenses-inc'!$D:$D,"administration",'g-expenses-inc'!$E:$E,TRIM($A37))</f>
        <v/>
      </c>
      <c r="J37" s="4">
        <f>SUMIFS('g-expenses-inc'!$K:$K,'g-expenses-inc'!$A:$A,J$1,'g-expenses-inc'!$D:$D,"administration",'g-expenses-inc'!$E:$E,TRIM($A37))</f>
        <v/>
      </c>
      <c r="K37" s="4">
        <f>SUMIFS('g-expenses-inc'!$K:$K,'g-expenses-inc'!$A:$A,K$1,'g-expenses-inc'!$D:$D,"administration",'g-expenses-inc'!$E:$E,TRIM($A37))</f>
        <v/>
      </c>
      <c r="L37" s="4">
        <f>SUMIFS('g-expenses-inc'!$K:$K,'g-expenses-inc'!$A:$A,L$1,'g-expenses-inc'!$D:$D,"administration",'g-expenses-inc'!$E:$E,TRIM($A37))</f>
        <v/>
      </c>
      <c r="M37" s="4">
        <f>SUMIFS('g-expenses-inc'!$K:$K,'g-expenses-inc'!$A:$A,M$1,'g-expenses-inc'!$D:$D,"administration",'g-expenses-inc'!$E:$E,TRIM($A37))</f>
        <v/>
      </c>
      <c r="N37" s="4">
        <f>SUMIFS('g-expenses-inc'!$K:$K,'g-expenses-inc'!$A:$A,N$1,'g-expenses-inc'!$D:$D,"administration",'g-expenses-inc'!$E:$E,TRIM($A37))</f>
        <v/>
      </c>
      <c r="O37" s="4">
        <f>SUMIFS('g-expenses-inc'!$K:$K,'g-expenses-inc'!$A:$A,O$1,'g-expenses-inc'!$D:$D,"administration",'g-expenses-inc'!$E:$E,TRIM($A37))</f>
        <v/>
      </c>
      <c r="P37" s="4">
        <f>SUM(D37:O37)</f>
        <v/>
      </c>
      <c r="Q37" s="4" t="n"/>
    </row>
    <row r="38" hidden="1" outlineLevel="3" ht="12" customHeight="1">
      <c r="A38" t="inlineStr">
        <is>
          <t xml:space="preserve">      HUSHED</t>
        </is>
      </c>
      <c r="B38" s="4" t="n"/>
      <c r="C38" s="4" t="n"/>
      <c r="D38" s="4">
        <f>SUMIFS('g-expenses-inc'!$K:$K,'g-expenses-inc'!$A:$A,D$1,'g-expenses-inc'!$D:$D,"administration",'g-expenses-inc'!$E:$E,TRIM($A38))</f>
        <v/>
      </c>
      <c r="E38" s="4">
        <f>SUMIFS('g-expenses-inc'!$K:$K,'g-expenses-inc'!$A:$A,E$1,'g-expenses-inc'!$D:$D,"administration",'g-expenses-inc'!$E:$E,TRIM($A38))</f>
        <v/>
      </c>
      <c r="F38" s="4">
        <f>SUMIFS('g-expenses-inc'!$K:$K,'g-expenses-inc'!$A:$A,F$1,'g-expenses-inc'!$D:$D,"administration",'g-expenses-inc'!$E:$E,TRIM($A38))</f>
        <v/>
      </c>
      <c r="G38" s="4">
        <f>SUMIFS('g-expenses-inc'!$K:$K,'g-expenses-inc'!$A:$A,G$1,'g-expenses-inc'!$D:$D,"administration",'g-expenses-inc'!$E:$E,TRIM($A38))</f>
        <v/>
      </c>
      <c r="H38" s="4">
        <f>SUMIFS('g-expenses-inc'!$K:$K,'g-expenses-inc'!$A:$A,H$1,'g-expenses-inc'!$D:$D,"administration",'g-expenses-inc'!$E:$E,TRIM($A38))</f>
        <v/>
      </c>
      <c r="I38" s="4">
        <f>SUMIFS('g-expenses-inc'!$K:$K,'g-expenses-inc'!$A:$A,I$1,'g-expenses-inc'!$D:$D,"administration",'g-expenses-inc'!$E:$E,TRIM($A38))</f>
        <v/>
      </c>
      <c r="J38" s="4">
        <f>SUMIFS('g-expenses-inc'!$K:$K,'g-expenses-inc'!$A:$A,J$1,'g-expenses-inc'!$D:$D,"administration",'g-expenses-inc'!$E:$E,TRIM($A38))</f>
        <v/>
      </c>
      <c r="K38" s="4">
        <f>SUMIFS('g-expenses-inc'!$K:$K,'g-expenses-inc'!$A:$A,K$1,'g-expenses-inc'!$D:$D,"administration",'g-expenses-inc'!$E:$E,TRIM($A38))</f>
        <v/>
      </c>
      <c r="L38" s="4">
        <f>SUMIFS('g-expenses-inc'!$K:$K,'g-expenses-inc'!$A:$A,L$1,'g-expenses-inc'!$D:$D,"administration",'g-expenses-inc'!$E:$E,TRIM($A38))</f>
        <v/>
      </c>
      <c r="M38" s="4">
        <f>SUMIFS('g-expenses-inc'!$K:$K,'g-expenses-inc'!$A:$A,M$1,'g-expenses-inc'!$D:$D,"administration",'g-expenses-inc'!$E:$E,TRIM($A38))</f>
        <v/>
      </c>
      <c r="N38" s="4">
        <f>SUMIFS('g-expenses-inc'!$K:$K,'g-expenses-inc'!$A:$A,N$1,'g-expenses-inc'!$D:$D,"administration",'g-expenses-inc'!$E:$E,TRIM($A38))</f>
        <v/>
      </c>
      <c r="O38" s="4">
        <f>SUMIFS('g-expenses-inc'!$K:$K,'g-expenses-inc'!$A:$A,O$1,'g-expenses-inc'!$D:$D,"administration",'g-expenses-inc'!$E:$E,TRIM($A38))</f>
        <v/>
      </c>
      <c r="P38" s="4">
        <f>SUM(D38:O38)</f>
        <v/>
      </c>
      <c r="Q38" s="4" t="n"/>
    </row>
    <row r="39" hidden="1" outlineLevel="3" ht="12" customHeight="1">
      <c r="A39" t="inlineStr">
        <is>
          <t xml:space="preserve">      IPOSTAL</t>
        </is>
      </c>
      <c r="B39" s="4" t="n"/>
      <c r="C39" s="4" t="n"/>
      <c r="D39" s="4">
        <f>SUMIFS('g-expenses-inc'!$K:$K,'g-expenses-inc'!$A:$A,D$1,'g-expenses-inc'!$D:$D,"administration",'g-expenses-inc'!$E:$E,TRIM($A39))</f>
        <v/>
      </c>
      <c r="E39" s="4">
        <f>SUMIFS('g-expenses-inc'!$K:$K,'g-expenses-inc'!$A:$A,E$1,'g-expenses-inc'!$D:$D,"administration",'g-expenses-inc'!$E:$E,TRIM($A39))</f>
        <v/>
      </c>
      <c r="F39" s="4">
        <f>SUMIFS('g-expenses-inc'!$K:$K,'g-expenses-inc'!$A:$A,F$1,'g-expenses-inc'!$D:$D,"administration",'g-expenses-inc'!$E:$E,TRIM($A39))</f>
        <v/>
      </c>
      <c r="G39" s="4">
        <f>SUMIFS('g-expenses-inc'!$K:$K,'g-expenses-inc'!$A:$A,G$1,'g-expenses-inc'!$D:$D,"administration",'g-expenses-inc'!$E:$E,TRIM($A39))</f>
        <v/>
      </c>
      <c r="H39" s="4">
        <f>SUMIFS('g-expenses-inc'!$K:$K,'g-expenses-inc'!$A:$A,H$1,'g-expenses-inc'!$D:$D,"administration",'g-expenses-inc'!$E:$E,TRIM($A39))</f>
        <v/>
      </c>
      <c r="I39" s="4">
        <f>SUMIFS('g-expenses-inc'!$K:$K,'g-expenses-inc'!$A:$A,I$1,'g-expenses-inc'!$D:$D,"administration",'g-expenses-inc'!$E:$E,TRIM($A39))</f>
        <v/>
      </c>
      <c r="J39" s="4">
        <f>SUMIFS('g-expenses-inc'!$K:$K,'g-expenses-inc'!$A:$A,J$1,'g-expenses-inc'!$D:$D,"administration",'g-expenses-inc'!$E:$E,TRIM($A39))</f>
        <v/>
      </c>
      <c r="K39" s="4">
        <f>SUMIFS('g-expenses-inc'!$K:$K,'g-expenses-inc'!$A:$A,K$1,'g-expenses-inc'!$D:$D,"administration",'g-expenses-inc'!$E:$E,TRIM($A39))</f>
        <v/>
      </c>
      <c r="L39" s="4">
        <f>SUMIFS('g-expenses-inc'!$K:$K,'g-expenses-inc'!$A:$A,L$1,'g-expenses-inc'!$D:$D,"administration",'g-expenses-inc'!$E:$E,TRIM($A39))</f>
        <v/>
      </c>
      <c r="M39" s="4">
        <f>SUMIFS('g-expenses-inc'!$K:$K,'g-expenses-inc'!$A:$A,M$1,'g-expenses-inc'!$D:$D,"administration",'g-expenses-inc'!$E:$E,TRIM($A39))</f>
        <v/>
      </c>
      <c r="N39" s="4">
        <f>SUMIFS('g-expenses-inc'!$K:$K,'g-expenses-inc'!$A:$A,N$1,'g-expenses-inc'!$D:$D,"administration",'g-expenses-inc'!$E:$E,TRIM($A39))</f>
        <v/>
      </c>
      <c r="O39" s="4">
        <f>SUMIFS('g-expenses-inc'!$K:$K,'g-expenses-inc'!$A:$A,O$1,'g-expenses-inc'!$D:$D,"administration",'g-expenses-inc'!$E:$E,TRIM($A39))</f>
        <v/>
      </c>
      <c r="P39" s="4">
        <f>SUM(D39:O39)</f>
        <v/>
      </c>
      <c r="Q39" s="4" t="n"/>
    </row>
    <row r="40" hidden="1" outlineLevel="3" ht="12" customHeight="1">
      <c r="A40" t="inlineStr">
        <is>
          <t xml:space="preserve">      QUICKBOOKS</t>
        </is>
      </c>
      <c r="B40" s="4" t="n"/>
      <c r="C40" s="4" t="n"/>
      <c r="D40" s="4">
        <f>SUMIFS('g-expenses-inc'!$K:$K,'g-expenses-inc'!$A:$A,D$1,'g-expenses-inc'!$D:$D,"administration",'g-expenses-inc'!$E:$E,TRIM($A40))</f>
        <v/>
      </c>
      <c r="E40" s="4">
        <f>SUMIFS('g-expenses-inc'!$K:$K,'g-expenses-inc'!$A:$A,E$1,'g-expenses-inc'!$D:$D,"administration",'g-expenses-inc'!$E:$E,TRIM($A40))</f>
        <v/>
      </c>
      <c r="F40" s="4">
        <f>SUMIFS('g-expenses-inc'!$K:$K,'g-expenses-inc'!$A:$A,F$1,'g-expenses-inc'!$D:$D,"administration",'g-expenses-inc'!$E:$E,TRIM($A40))</f>
        <v/>
      </c>
      <c r="G40" s="4">
        <f>SUMIFS('g-expenses-inc'!$K:$K,'g-expenses-inc'!$A:$A,G$1,'g-expenses-inc'!$D:$D,"administration",'g-expenses-inc'!$E:$E,TRIM($A40))</f>
        <v/>
      </c>
      <c r="H40" s="4">
        <f>SUMIFS('g-expenses-inc'!$K:$K,'g-expenses-inc'!$A:$A,H$1,'g-expenses-inc'!$D:$D,"administration",'g-expenses-inc'!$E:$E,TRIM($A40))</f>
        <v/>
      </c>
      <c r="I40" s="4">
        <f>SUMIFS('g-expenses-inc'!$K:$K,'g-expenses-inc'!$A:$A,I$1,'g-expenses-inc'!$D:$D,"administration",'g-expenses-inc'!$E:$E,TRIM($A40))</f>
        <v/>
      </c>
      <c r="J40" s="4">
        <f>SUMIFS('g-expenses-inc'!$K:$K,'g-expenses-inc'!$A:$A,J$1,'g-expenses-inc'!$D:$D,"administration",'g-expenses-inc'!$E:$E,TRIM($A40))</f>
        <v/>
      </c>
      <c r="K40" s="4">
        <f>SUMIFS('g-expenses-inc'!$K:$K,'g-expenses-inc'!$A:$A,K$1,'g-expenses-inc'!$D:$D,"administration",'g-expenses-inc'!$E:$E,TRIM($A40))</f>
        <v/>
      </c>
      <c r="L40" s="4">
        <f>SUMIFS('g-expenses-inc'!$K:$K,'g-expenses-inc'!$A:$A,L$1,'g-expenses-inc'!$D:$D,"administration",'g-expenses-inc'!$E:$E,TRIM($A40))</f>
        <v/>
      </c>
      <c r="M40" s="4">
        <f>SUMIFS('g-expenses-inc'!$K:$K,'g-expenses-inc'!$A:$A,M$1,'g-expenses-inc'!$D:$D,"administration",'g-expenses-inc'!$E:$E,TRIM($A40))</f>
        <v/>
      </c>
      <c r="N40" s="4">
        <f>SUMIFS('g-expenses-inc'!$K:$K,'g-expenses-inc'!$A:$A,N$1,'g-expenses-inc'!$D:$D,"administration",'g-expenses-inc'!$E:$E,TRIM($A40))</f>
        <v/>
      </c>
      <c r="O40" s="4">
        <f>SUMIFS('g-expenses-inc'!$K:$K,'g-expenses-inc'!$A:$A,O$1,'g-expenses-inc'!$D:$D,"administration",'g-expenses-inc'!$E:$E,TRIM($A40))</f>
        <v/>
      </c>
      <c r="P40" s="4">
        <f>SUM(D40:O40)</f>
        <v/>
      </c>
      <c r="Q40" s="4" t="n"/>
    </row>
    <row r="41" hidden="1" outlineLevel="3" ht="12" customHeight="1">
      <c r="A41" t="inlineStr">
        <is>
          <t xml:space="preserve">      REGUS</t>
        </is>
      </c>
      <c r="B41" s="4" t="n"/>
      <c r="C41" s="4" t="n"/>
      <c r="D41" s="4">
        <f>SUMIFS('g-expenses-inc'!$K:$K,'g-expenses-inc'!$A:$A,D$1,'g-expenses-inc'!$D:$D,"administration",'g-expenses-inc'!$E:$E,TRIM($A41))</f>
        <v/>
      </c>
      <c r="E41" s="4">
        <f>SUMIFS('g-expenses-inc'!$K:$K,'g-expenses-inc'!$A:$A,E$1,'g-expenses-inc'!$D:$D,"administration",'g-expenses-inc'!$E:$E,TRIM($A41))</f>
        <v/>
      </c>
      <c r="F41" s="4">
        <f>SUMIFS('g-expenses-inc'!$K:$K,'g-expenses-inc'!$A:$A,F$1,'g-expenses-inc'!$D:$D,"administration",'g-expenses-inc'!$E:$E,TRIM($A41))</f>
        <v/>
      </c>
      <c r="G41" s="4">
        <f>SUMIFS('g-expenses-inc'!$K:$K,'g-expenses-inc'!$A:$A,G$1,'g-expenses-inc'!$D:$D,"administration",'g-expenses-inc'!$E:$E,TRIM($A41))</f>
        <v/>
      </c>
      <c r="H41" s="4">
        <f>SUMIFS('g-expenses-inc'!$K:$K,'g-expenses-inc'!$A:$A,H$1,'g-expenses-inc'!$D:$D,"administration",'g-expenses-inc'!$E:$E,TRIM($A41))</f>
        <v/>
      </c>
      <c r="I41" s="4">
        <f>SUMIFS('g-expenses-inc'!$K:$K,'g-expenses-inc'!$A:$A,I$1,'g-expenses-inc'!$D:$D,"administration",'g-expenses-inc'!$E:$E,TRIM($A41))</f>
        <v/>
      </c>
      <c r="J41" s="4">
        <f>SUMIFS('g-expenses-inc'!$K:$K,'g-expenses-inc'!$A:$A,J$1,'g-expenses-inc'!$D:$D,"administration",'g-expenses-inc'!$E:$E,TRIM($A41))</f>
        <v/>
      </c>
      <c r="K41" s="4">
        <f>SUMIFS('g-expenses-inc'!$K:$K,'g-expenses-inc'!$A:$A,K$1,'g-expenses-inc'!$D:$D,"administration",'g-expenses-inc'!$E:$E,TRIM($A41))</f>
        <v/>
      </c>
      <c r="L41" s="4">
        <f>SUMIFS('g-expenses-inc'!$K:$K,'g-expenses-inc'!$A:$A,L$1,'g-expenses-inc'!$D:$D,"administration",'g-expenses-inc'!$E:$E,TRIM($A41))</f>
        <v/>
      </c>
      <c r="M41" s="4">
        <f>SUMIFS('g-expenses-inc'!$K:$K,'g-expenses-inc'!$A:$A,M$1,'g-expenses-inc'!$D:$D,"administration",'g-expenses-inc'!$E:$E,TRIM($A41))</f>
        <v/>
      </c>
      <c r="N41" s="4">
        <f>SUMIFS('g-expenses-inc'!$K:$K,'g-expenses-inc'!$A:$A,N$1,'g-expenses-inc'!$D:$D,"administration",'g-expenses-inc'!$E:$E,TRIM($A41))</f>
        <v/>
      </c>
      <c r="O41" s="4">
        <f>SUMIFS('g-expenses-inc'!$K:$K,'g-expenses-inc'!$A:$A,O$1,'g-expenses-inc'!$D:$D,"administration",'g-expenses-inc'!$E:$E,TRIM($A41))</f>
        <v/>
      </c>
      <c r="P41" s="4">
        <f>SUM(D41:O41)</f>
        <v/>
      </c>
      <c r="Q41" s="4" t="n"/>
    </row>
    <row r="42" hidden="1" outlineLevel="2" ht="12" customHeight="1">
      <c r="A42" s="9" t="inlineStr">
        <is>
          <t xml:space="preserve">    Technology</t>
        </is>
      </c>
      <c r="B42" s="10" t="n"/>
      <c r="C42" s="10" t="n"/>
      <c r="D42" s="10">
        <f>SUM(D43:D43)</f>
        <v/>
      </c>
      <c r="E42" s="10">
        <f>SUM(E43:E43)</f>
        <v/>
      </c>
      <c r="F42" s="10">
        <f>SUM(F43:F43)</f>
        <v/>
      </c>
      <c r="G42" s="10">
        <f>SUM(G43:G43)</f>
        <v/>
      </c>
      <c r="H42" s="10">
        <f>SUM(H43:H43)</f>
        <v/>
      </c>
      <c r="I42" s="10">
        <f>SUM(I43:I43)</f>
        <v/>
      </c>
      <c r="J42" s="10">
        <f>SUM(J43:J43)</f>
        <v/>
      </c>
      <c r="K42" s="10">
        <f>SUM(K43:K43)</f>
        <v/>
      </c>
      <c r="L42" s="10">
        <f>SUM(L43:L43)</f>
        <v/>
      </c>
      <c r="M42" s="10">
        <f>SUM(M43:M43)</f>
        <v/>
      </c>
      <c r="N42" s="10">
        <f>SUM(N43:N43)</f>
        <v/>
      </c>
      <c r="O42" s="10">
        <f>SUM(O43:O43)</f>
        <v/>
      </c>
      <c r="P42" s="10">
        <f>SUM(D42:O42)</f>
        <v/>
      </c>
      <c r="Q42" s="10" t="inlineStr">
        <is>
          <t>-&gt;</t>
        </is>
      </c>
    </row>
    <row r="43" hidden="1" outlineLevel="3" ht="12" customHeight="1">
      <c r="A43" t="inlineStr">
        <is>
          <t xml:space="preserve">      REVER</t>
        </is>
      </c>
      <c r="B43" s="4" t="n"/>
      <c r="C43" s="4" t="n"/>
      <c r="D43" s="4">
        <f>SUMIFS('g-expenses-inc'!$K:$K,'g-expenses-inc'!$A:$A,D$1,'g-expenses-inc'!$D:$D,"technology",'g-expenses-inc'!$E:$E,TRIM($A43))</f>
        <v/>
      </c>
      <c r="E43" s="4">
        <f>SUMIFS('g-expenses-inc'!$K:$K,'g-expenses-inc'!$A:$A,E$1,'g-expenses-inc'!$D:$D,"technology",'g-expenses-inc'!$E:$E,TRIM($A43))</f>
        <v/>
      </c>
      <c r="F43" s="4">
        <f>SUMIFS('g-expenses-inc'!$K:$K,'g-expenses-inc'!$A:$A,F$1,'g-expenses-inc'!$D:$D,"technology",'g-expenses-inc'!$E:$E,TRIM($A43))</f>
        <v/>
      </c>
      <c r="G43" s="4">
        <f>SUMIFS('g-expenses-inc'!$K:$K,'g-expenses-inc'!$A:$A,G$1,'g-expenses-inc'!$D:$D,"technology",'g-expenses-inc'!$E:$E,TRIM($A43))</f>
        <v/>
      </c>
      <c r="H43" s="4">
        <f>SUMIFS('g-expenses-inc'!$K:$K,'g-expenses-inc'!$A:$A,H$1,'g-expenses-inc'!$D:$D,"technology",'g-expenses-inc'!$E:$E,TRIM($A43))</f>
        <v/>
      </c>
      <c r="I43" s="4">
        <f>SUMIFS('g-expenses-inc'!$K:$K,'g-expenses-inc'!$A:$A,I$1,'g-expenses-inc'!$D:$D,"technology",'g-expenses-inc'!$E:$E,TRIM($A43))</f>
        <v/>
      </c>
      <c r="J43" s="4">
        <f>SUMIFS('g-expenses-inc'!$K:$K,'g-expenses-inc'!$A:$A,J$1,'g-expenses-inc'!$D:$D,"technology",'g-expenses-inc'!$E:$E,TRIM($A43))</f>
        <v/>
      </c>
      <c r="K43" s="4">
        <f>SUMIFS('g-expenses-inc'!$K:$K,'g-expenses-inc'!$A:$A,K$1,'g-expenses-inc'!$D:$D,"technology",'g-expenses-inc'!$E:$E,TRIM($A43))</f>
        <v/>
      </c>
      <c r="L43" s="4">
        <f>SUMIFS('g-expenses-inc'!$K:$K,'g-expenses-inc'!$A:$A,L$1,'g-expenses-inc'!$D:$D,"technology",'g-expenses-inc'!$E:$E,TRIM($A43))</f>
        <v/>
      </c>
      <c r="M43" s="4">
        <f>SUMIFS('g-expenses-inc'!$K:$K,'g-expenses-inc'!$A:$A,M$1,'g-expenses-inc'!$D:$D,"technology",'g-expenses-inc'!$E:$E,TRIM($A43))</f>
        <v/>
      </c>
      <c r="N43" s="4">
        <f>SUMIFS('g-expenses-inc'!$K:$K,'g-expenses-inc'!$A:$A,N$1,'g-expenses-inc'!$D:$D,"technology",'g-expenses-inc'!$E:$E,TRIM($A43))</f>
        <v/>
      </c>
      <c r="O43" s="4">
        <f>SUMIFS('g-expenses-inc'!$K:$K,'g-expenses-inc'!$A:$A,O$1,'g-expenses-inc'!$D:$D,"technology",'g-expenses-inc'!$E:$E,TRIM($A43))</f>
        <v/>
      </c>
      <c r="P43" s="4">
        <f>SUM(D43:O43)</f>
        <v/>
      </c>
      <c r="Q43" s="4" t="inlineStr">
        <is>
          <t>-&gt;</t>
        </is>
      </c>
    </row>
    <row r="44" hidden="1" outlineLevel="2" ht="12" customHeight="1">
      <c r="A44" s="9" t="inlineStr">
        <is>
          <t xml:space="preserve">    Uncategorized Expenses</t>
        </is>
      </c>
      <c r="B44" s="10" t="n"/>
      <c r="C44" s="10" t="n"/>
      <c r="D44" s="10">
        <f>SUMIFS('g-expenses-inc'!$K:$K,'g-expenses-inc'!$A:$A,D$1,'g-expenses-inc'!$D:$D,"otros_gastos")</f>
        <v/>
      </c>
      <c r="E44" s="10">
        <f>SUMIFS('g-expenses-inc'!$K:$K,'g-expenses-inc'!$A:$A,E$1,'g-expenses-inc'!$D:$D,"otros_gastos")</f>
        <v/>
      </c>
      <c r="F44" s="10">
        <f>SUMIFS('g-expenses-inc'!$K:$K,'g-expenses-inc'!$A:$A,F$1,'g-expenses-inc'!$D:$D,"otros_gastos")</f>
        <v/>
      </c>
      <c r="G44" s="10">
        <f>SUMIFS('g-expenses-inc'!$K:$K,'g-expenses-inc'!$A:$A,G$1,'g-expenses-inc'!$D:$D,"otros_gastos")</f>
        <v/>
      </c>
      <c r="H44" s="10">
        <f>SUMIFS('g-expenses-inc'!$K:$K,'g-expenses-inc'!$A:$A,H$1,'g-expenses-inc'!$D:$D,"otros_gastos")</f>
        <v/>
      </c>
      <c r="I44" s="10">
        <f>SUMIFS('g-expenses-inc'!$K:$K,'g-expenses-inc'!$A:$A,I$1,'g-expenses-inc'!$D:$D,"otros_gastos")</f>
        <v/>
      </c>
      <c r="J44" s="10">
        <f>SUMIFS('g-expenses-inc'!$K:$K,'g-expenses-inc'!$A:$A,J$1,'g-expenses-inc'!$D:$D,"otros_gastos")</f>
        <v/>
      </c>
      <c r="K44" s="10">
        <f>SUMIFS('g-expenses-inc'!$K:$K,'g-expenses-inc'!$A:$A,K$1,'g-expenses-inc'!$D:$D,"otros_gastos")</f>
        <v/>
      </c>
      <c r="L44" s="10">
        <f>SUMIFS('g-expenses-inc'!$K:$K,'g-expenses-inc'!$A:$A,L$1,'g-expenses-inc'!$D:$D,"otros_gastos")</f>
        <v/>
      </c>
      <c r="M44" s="10">
        <f>SUMIFS('g-expenses-inc'!$K:$K,'g-expenses-inc'!$A:$A,M$1,'g-expenses-inc'!$D:$D,"otros_gastos")</f>
        <v/>
      </c>
      <c r="N44" s="10">
        <f>SUMIFS('g-expenses-inc'!$K:$K,'g-expenses-inc'!$A:$A,N$1,'g-expenses-inc'!$D:$D,"otros_gastos")</f>
        <v/>
      </c>
      <c r="O44" s="10">
        <f>SUMIFS('g-expenses-inc'!$K:$K,'g-expenses-inc'!$A:$A,O$1,'g-expenses-inc'!$D:$D,"otros_gastos")</f>
        <v/>
      </c>
      <c r="P44" s="10">
        <f>SUM(D44:O44)</f>
        <v/>
      </c>
      <c r="Q44" s="10" t="inlineStr">
        <is>
          <t>-&gt;</t>
        </is>
      </c>
    </row>
    <row r="45" hidden="1" outlineLevel="2" ht="12" customHeight="1">
      <c r="A45" s="9" t="inlineStr">
        <is>
          <t xml:space="preserve">  Currency Adjustment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>
        <f>SUM(D45:O45)</f>
        <v/>
      </c>
      <c r="Q45" s="10" t="n"/>
    </row>
    <row r="46" ht="12" customHeight="1"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>
        <f>SUM(D46:O46)</f>
        <v/>
      </c>
      <c r="Q46" s="4" t="n"/>
    </row>
    <row r="47" ht="12" customHeight="1">
      <c r="A47" s="13" t="inlineStr">
        <is>
          <t>PROFIT</t>
        </is>
      </c>
      <c r="B47" s="14" t="n"/>
      <c r="C47" s="14" t="n"/>
      <c r="D47" s="14">
        <f>D4-D12-D32-D45</f>
        <v/>
      </c>
      <c r="E47" s="14">
        <f>E4-E12-E32-E45</f>
        <v/>
      </c>
      <c r="F47" s="14">
        <f>F4-F12-F32-F45</f>
        <v/>
      </c>
      <c r="G47" s="14">
        <f>G4-G12-G32-G45</f>
        <v/>
      </c>
      <c r="H47" s="14">
        <f>H4-H12-H32-H45</f>
        <v/>
      </c>
      <c r="I47" s="14">
        <f>I4-I12-I32-I45</f>
        <v/>
      </c>
      <c r="J47" s="14">
        <f>J4-J12-J32-J45</f>
        <v/>
      </c>
      <c r="K47" s="14">
        <f>K4-K12-K32-K45</f>
        <v/>
      </c>
      <c r="L47" s="14">
        <f>L4-L12-L32-L45</f>
        <v/>
      </c>
      <c r="M47" s="14">
        <f>M4-M12-M32-M45</f>
        <v/>
      </c>
      <c r="N47" s="14">
        <f>N4-N12-N32-N45</f>
        <v/>
      </c>
      <c r="O47" s="14">
        <f>O4-O12-O32-O45</f>
        <v/>
      </c>
      <c r="P47" s="14">
        <f>SUM(D47:O47)</f>
        <v/>
      </c>
      <c r="Q47" s="14" t="n"/>
    </row>
    <row r="48" hidden="1" outlineLevel="1" ht="12" customHeight="1">
      <c r="A48" s="3" t="inlineStr">
        <is>
          <t>% profit / product sales</t>
        </is>
      </c>
      <c r="B48" s="11" t="n"/>
      <c r="C48" s="11" t="n"/>
      <c r="D48" s="11">
        <f>IFERROR(D47/D5,0)</f>
        <v/>
      </c>
      <c r="E48" s="11">
        <f>IFERROR(E47/E5,0)</f>
        <v/>
      </c>
      <c r="F48" s="11">
        <f>IFERROR(F47/F5,0)</f>
        <v/>
      </c>
      <c r="G48" s="11">
        <f>IFERROR(G47/G5,0)</f>
        <v/>
      </c>
      <c r="H48" s="11">
        <f>IFERROR(H47/H5,0)</f>
        <v/>
      </c>
      <c r="I48" s="11">
        <f>IFERROR(I47/I5,0)</f>
        <v/>
      </c>
      <c r="J48" s="11">
        <f>IFERROR(J47/J5,0)</f>
        <v/>
      </c>
      <c r="K48" s="11">
        <f>IFERROR(K47/K5,0)</f>
        <v/>
      </c>
      <c r="L48" s="11">
        <f>IFERROR(L47/L5,0)</f>
        <v/>
      </c>
      <c r="M48" s="11">
        <f>IFERROR(M47/M5,0)</f>
        <v/>
      </c>
      <c r="N48" s="11">
        <f>IFERROR(N47/N5,0)</f>
        <v/>
      </c>
      <c r="O48" s="11">
        <f>IFERROR(O47/O5,0)</f>
        <v/>
      </c>
      <c r="P48" s="11">
        <f>IFERROR(P47/P5,0)</f>
        <v/>
      </c>
      <c r="Q48" s="11" t="n"/>
    </row>
    <row r="49"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</row>
    <row r="50">
      <c r="A50" s="15" t="inlineStr">
        <is>
          <t>Stock inicial marcos</t>
        </is>
      </c>
      <c r="B50" s="4" t="n"/>
      <c r="C50" s="4" t="n"/>
      <c r="D50" s="4" t="n">
        <v>15764.34</v>
      </c>
      <c r="E50" s="4" t="n">
        <v>13105.38</v>
      </c>
      <c r="F50" s="4" t="n">
        <v>11635.01</v>
      </c>
      <c r="G50" s="4" t="n">
        <v>10232.85</v>
      </c>
      <c r="H50" s="4" t="n">
        <v>9332.9</v>
      </c>
      <c r="I50" s="4" t="n">
        <v>8649.540000000001</v>
      </c>
      <c r="J50" s="4" t="n">
        <v>7981.96</v>
      </c>
      <c r="K50" s="4" t="n"/>
      <c r="L50" s="4" t="n"/>
      <c r="M50" s="4" t="n"/>
      <c r="N50" s="4" t="n"/>
      <c r="O50" s="4" t="n"/>
      <c r="P50" s="4">
        <f>SUM(D50:O50)</f>
        <v/>
      </c>
      <c r="Q50" s="4" t="n"/>
    </row>
    <row r="51">
      <c r="A51" s="15" t="inlineStr">
        <is>
          <t>Stock final marcos</t>
        </is>
      </c>
      <c r="B51" s="4" t="n"/>
      <c r="C51" s="4" t="n"/>
      <c r="D51" s="4" t="n">
        <v>13105.38</v>
      </c>
      <c r="E51" s="4" t="n">
        <v>11635.01</v>
      </c>
      <c r="F51" s="4" t="n">
        <v>10217.07</v>
      </c>
      <c r="G51" s="4" t="n">
        <v>9332.9</v>
      </c>
      <c r="H51" s="4" t="n">
        <v>8649.540000000001</v>
      </c>
      <c r="I51" s="4" t="n">
        <v>7965.46</v>
      </c>
      <c r="J51" s="4" t="n">
        <v>7868.12</v>
      </c>
      <c r="K51" s="4" t="n"/>
      <c r="L51" s="4" t="n"/>
      <c r="M51" s="4" t="n"/>
      <c r="N51" s="4" t="n"/>
      <c r="O51" s="4" t="n"/>
      <c r="P51" s="4">
        <f>SUM(D51:O51)</f>
        <v/>
      </c>
      <c r="Q51" s="4" t="n"/>
    </row>
  </sheetData>
  <mergeCells count="2">
    <mergeCell ref="A3:C3"/>
    <mergeCell ref="A2:C2"/>
  </mergeCells>
  <hyperlinks>
    <hyperlink ref="Q6" location="'i-shopify-inc'!A1" display="-&gt;"/>
    <hyperlink ref="Q7" location="'i-shopify-inc'!A1" display="-&gt;"/>
    <hyperlink ref="Q13" location="'g-expenses-inc'!A1" display="-&gt;"/>
    <hyperlink ref="Q14" location="'g-expenses-inc'!A1" display="-&gt;"/>
    <hyperlink ref="Q18" location="'g-expenses-inc'!A1" display="-&gt;"/>
    <hyperlink ref="Q19" location="'g-expenses-inc'!A1" display="-&gt;"/>
    <hyperlink ref="Q21" location="'g-payment-fees-inc'!A1" display="-&gt;"/>
    <hyperlink ref="Q22" location="'g-payment-fees-inc'!A1" display="-&gt;"/>
    <hyperlink ref="Q33" location="'g-expenses-inc'!A1" display="-&gt;"/>
    <hyperlink ref="Q34" location="'g-expenses-inc'!A1" display="-&gt;"/>
    <hyperlink ref="Q35" location="'g-expenses-inc'!A1" display="-&gt;"/>
    <hyperlink ref="Q36" location="'g-expenses-inc'!A1" display="-&gt;"/>
    <hyperlink ref="Q42" location="'g-expenses-inc'!A1" display="-&gt;"/>
    <hyperlink ref="Q43" location="'g-expenses-inc'!A1" display="-&gt;"/>
    <hyperlink ref="Q44" location="'g-expenses-inc'!A1" display="-&gt;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12" customHeight="1">
      <c r="A1" s="16" t="inlineStr">
        <is>
          <t>&lt;- Volver a P&amp;G-INC</t>
        </is>
      </c>
    </row>
    <row r="2" ht="12" customHeight="1">
      <c r="A2" s="17" t="inlineStr">
        <is>
          <t>key</t>
        </is>
      </c>
      <c r="B2" s="17" t="inlineStr">
        <is>
          <t>value</t>
        </is>
      </c>
    </row>
    <row r="3" ht="12" customHeight="1">
      <c r="A3" t="inlineStr">
        <is>
          <t>entity</t>
        </is>
      </c>
      <c r="B3" t="inlineStr">
        <is>
          <t>INC</t>
        </is>
      </c>
    </row>
    <row r="4" ht="12" customHeight="1">
      <c r="A4" t="inlineStr">
        <is>
          <t>reporting_currency</t>
        </is>
      </c>
      <c r="B4" t="inlineStr">
        <is>
          <t>USD</t>
        </is>
      </c>
    </row>
    <row r="5" ht="12" customHeight="1">
      <c r="A5" t="inlineStr">
        <is>
          <t>year</t>
        </is>
      </c>
      <c r="B5" t="n">
        <v>2026</v>
      </c>
    </row>
    <row r="6" ht="12" customHeight="1">
      <c r="A6" t="inlineStr">
        <is>
          <t>generated_at_utc</t>
        </is>
      </c>
      <c r="B6" t="inlineStr">
        <is>
          <t>2026-07-11T01:04:46Z</t>
        </is>
      </c>
    </row>
  </sheetData>
  <hyperlinks>
    <hyperlink ref="A1" location="'P&amp;G-INC'!A1" display="&lt;- Volver a P&amp;G-INC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9" customWidth="1" min="6" max="6"/>
    <col width="20" customWidth="1" min="7" max="7"/>
    <col width="14" customWidth="1" min="8" max="8"/>
    <col width="18" customWidth="1" min="9" max="9"/>
    <col width="14" customWidth="1" min="10" max="10"/>
  </cols>
  <sheetData>
    <row r="1" ht="12" customHeight="1">
      <c r="A1" s="16" t="inlineStr">
        <is>
          <t>&lt;- Volver a P&amp;G-INC</t>
        </is>
      </c>
    </row>
    <row r="2" ht="12" customHeight="1">
      <c r="A2" s="17" t="inlineStr">
        <is>
          <t>yyyymm</t>
        </is>
      </c>
      <c r="B2" s="17" t="inlineStr">
        <is>
          <t>entity</t>
        </is>
      </c>
      <c r="C2" s="17" t="inlineStr">
        <is>
          <t>line_item</t>
        </is>
      </c>
      <c r="D2" s="17" t="inlineStr">
        <is>
          <t>detail</t>
        </is>
      </c>
      <c r="E2" s="17" t="inlineStr">
        <is>
          <t>amount_original</t>
        </is>
      </c>
      <c r="F2" s="17" t="inlineStr">
        <is>
          <t>currency_original</t>
        </is>
      </c>
      <c r="G2" s="17" t="inlineStr">
        <is>
          <t>reporting_currency</t>
        </is>
      </c>
      <c r="H2" s="17" t="inlineStr">
        <is>
          <t>fx_rate</t>
        </is>
      </c>
      <c r="I2" s="17" t="inlineStr">
        <is>
          <t>amount_reporting</t>
        </is>
      </c>
      <c r="J2" s="17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INC</t>
        </is>
      </c>
      <c r="C3" t="inlineStr">
        <is>
          <t>US</t>
        </is>
      </c>
      <c r="D3" t="inlineStr">
        <is>
          <t>US</t>
        </is>
      </c>
      <c r="E3" s="4" t="n">
        <v>10261.58</v>
      </c>
      <c r="F3" t="inlineStr">
        <is>
          <t>USD</t>
        </is>
      </c>
      <c r="G3" t="inlineStr">
        <is>
          <t>USD</t>
        </is>
      </c>
      <c r="H3" s="18" t="n">
        <v>1</v>
      </c>
      <c r="I3" s="4" t="n">
        <v>10261.58</v>
      </c>
      <c r="J3" t="inlineStr">
        <is>
          <t>finance.ventas_pyg</t>
        </is>
      </c>
    </row>
    <row r="4" ht="12" customHeight="1">
      <c r="A4" t="inlineStr">
        <is>
          <t>202602</t>
        </is>
      </c>
      <c r="B4" t="inlineStr">
        <is>
          <t>INC</t>
        </is>
      </c>
      <c r="C4" t="inlineStr">
        <is>
          <t>US</t>
        </is>
      </c>
      <c r="D4" t="inlineStr">
        <is>
          <t>US</t>
        </is>
      </c>
      <c r="E4" s="4" t="n">
        <v>15549.06</v>
      </c>
      <c r="F4" t="inlineStr">
        <is>
          <t>USD</t>
        </is>
      </c>
      <c r="G4" t="inlineStr">
        <is>
          <t>USD</t>
        </is>
      </c>
      <c r="H4" s="18" t="n">
        <v>1</v>
      </c>
      <c r="I4" s="4" t="n">
        <v>15549.06</v>
      </c>
      <c r="J4" t="inlineStr">
        <is>
          <t>finance.ventas_pyg</t>
        </is>
      </c>
    </row>
    <row r="5" ht="12" customHeight="1">
      <c r="A5" t="inlineStr">
        <is>
          <t>202603</t>
        </is>
      </c>
      <c r="B5" t="inlineStr">
        <is>
          <t>INC</t>
        </is>
      </c>
      <c r="C5" t="inlineStr">
        <is>
          <t>US</t>
        </is>
      </c>
      <c r="D5" t="inlineStr">
        <is>
          <t>US</t>
        </is>
      </c>
      <c r="E5" s="4" t="n">
        <v>16536.75</v>
      </c>
      <c r="F5" t="inlineStr">
        <is>
          <t>USD</t>
        </is>
      </c>
      <c r="G5" t="inlineStr">
        <is>
          <t>USD</t>
        </is>
      </c>
      <c r="H5" s="18" t="n">
        <v>1</v>
      </c>
      <c r="I5" s="4" t="n">
        <v>16536.75</v>
      </c>
      <c r="J5" t="inlineStr">
        <is>
          <t>finance.ventas_pyg</t>
        </is>
      </c>
    </row>
    <row r="6" ht="12" customHeight="1">
      <c r="A6" t="inlineStr">
        <is>
          <t>202604</t>
        </is>
      </c>
      <c r="B6" t="inlineStr">
        <is>
          <t>INC</t>
        </is>
      </c>
      <c r="C6" t="inlineStr">
        <is>
          <t>US</t>
        </is>
      </c>
      <c r="D6" t="inlineStr">
        <is>
          <t>US</t>
        </is>
      </c>
      <c r="E6" s="4" t="n">
        <v>15937.61</v>
      </c>
      <c r="F6" t="inlineStr">
        <is>
          <t>USD</t>
        </is>
      </c>
      <c r="G6" t="inlineStr">
        <is>
          <t>USD</t>
        </is>
      </c>
      <c r="H6" s="18" t="n">
        <v>1</v>
      </c>
      <c r="I6" s="4" t="n">
        <v>15937.61</v>
      </c>
      <c r="J6" t="inlineStr">
        <is>
          <t>finance.ventas_pyg</t>
        </is>
      </c>
    </row>
    <row r="7" ht="12" customHeight="1">
      <c r="A7" t="inlineStr">
        <is>
          <t>202605</t>
        </is>
      </c>
      <c r="B7" t="inlineStr">
        <is>
          <t>INC</t>
        </is>
      </c>
      <c r="C7" t="inlineStr">
        <is>
          <t>US</t>
        </is>
      </c>
      <c r="D7" t="inlineStr">
        <is>
          <t>US</t>
        </is>
      </c>
      <c r="E7" s="4" t="n">
        <v>13016.46</v>
      </c>
      <c r="F7" t="inlineStr">
        <is>
          <t>USD</t>
        </is>
      </c>
      <c r="G7" t="inlineStr">
        <is>
          <t>USD</t>
        </is>
      </c>
      <c r="H7" s="18" t="n">
        <v>1</v>
      </c>
      <c r="I7" s="4" t="n">
        <v>13016.46</v>
      </c>
      <c r="J7" t="inlineStr">
        <is>
          <t>finance.ventas_pyg</t>
        </is>
      </c>
    </row>
    <row r="8" ht="12" customHeight="1">
      <c r="A8" t="inlineStr">
        <is>
          <t>202606</t>
        </is>
      </c>
      <c r="B8" t="inlineStr">
        <is>
          <t>INC</t>
        </is>
      </c>
      <c r="C8" t="inlineStr">
        <is>
          <t>US</t>
        </is>
      </c>
      <c r="D8" t="inlineStr">
        <is>
          <t>US</t>
        </is>
      </c>
      <c r="E8" s="4" t="n">
        <v>17088.84</v>
      </c>
      <c r="F8" t="inlineStr">
        <is>
          <t>USD</t>
        </is>
      </c>
      <c r="G8" t="inlineStr">
        <is>
          <t>USD</t>
        </is>
      </c>
      <c r="H8" s="18" t="n">
        <v>1</v>
      </c>
      <c r="I8" s="4" t="n">
        <v>17088.84</v>
      </c>
      <c r="J8" t="inlineStr">
        <is>
          <t>finance.ventas_pyg</t>
        </is>
      </c>
    </row>
    <row r="9" ht="12" customHeight="1">
      <c r="A9" t="inlineStr">
        <is>
          <t>202607</t>
        </is>
      </c>
      <c r="B9" t="inlineStr">
        <is>
          <t>INC</t>
        </is>
      </c>
      <c r="C9" t="inlineStr">
        <is>
          <t>US</t>
        </is>
      </c>
      <c r="D9" t="inlineStr">
        <is>
          <t>US</t>
        </is>
      </c>
      <c r="E9" s="4" t="n">
        <v>2616.97</v>
      </c>
      <c r="F9" t="inlineStr">
        <is>
          <t>USD</t>
        </is>
      </c>
      <c r="G9" t="inlineStr">
        <is>
          <t>USD</t>
        </is>
      </c>
      <c r="H9" s="18" t="n">
        <v>1</v>
      </c>
      <c r="I9" s="4" t="n">
        <v>2616.97</v>
      </c>
      <c r="J9" t="inlineStr">
        <is>
          <t>finance.ventas_pyg</t>
        </is>
      </c>
    </row>
  </sheetData>
  <hyperlinks>
    <hyperlink ref="A1" location="'P&amp;G-INC'!A1" display="&lt;- Volver a P&amp;G-INC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7" customWidth="1" min="7" max="7"/>
    <col width="19" customWidth="1" min="8" max="8"/>
    <col width="20" customWidth="1" min="9" max="9"/>
    <col width="14" customWidth="1" min="10" max="10"/>
    <col width="18" customWidth="1" min="11" max="11"/>
    <col width="14" customWidth="1" min="12" max="12"/>
    <col width="16" customWidth="1" min="13" max="13"/>
    <col hidden="1" width="14" customWidth="1" min="14" max="14"/>
  </cols>
  <sheetData>
    <row r="1" ht="12" customHeight="1">
      <c r="A1" s="16" t="inlineStr">
        <is>
          <t>&lt;- Volver a P&amp;G-INC</t>
        </is>
      </c>
    </row>
    <row r="2" ht="12" customHeight="1">
      <c r="A2" s="17" t="inlineStr">
        <is>
          <t>yyyymm</t>
        </is>
      </c>
      <c r="B2" s="17" t="inlineStr">
        <is>
          <t>entity</t>
        </is>
      </c>
      <c r="C2" s="17" t="inlineStr">
        <is>
          <t>category</t>
        </is>
      </c>
      <c r="D2" s="17" t="inlineStr">
        <is>
          <t>subcategory</t>
        </is>
      </c>
      <c r="E2" s="17" t="inlineStr">
        <is>
          <t>supplier_code</t>
        </is>
      </c>
      <c r="F2" s="17" t="inlineStr">
        <is>
          <t>detail</t>
        </is>
      </c>
      <c r="G2" s="17" t="inlineStr">
        <is>
          <t>amount_original</t>
        </is>
      </c>
      <c r="H2" s="17" t="inlineStr">
        <is>
          <t>currency_original</t>
        </is>
      </c>
      <c r="I2" s="17" t="inlineStr">
        <is>
          <t>reporting_currency</t>
        </is>
      </c>
      <c r="J2" s="17" t="inlineStr">
        <is>
          <t>fx_rate</t>
        </is>
      </c>
      <c r="K2" s="17" t="inlineStr">
        <is>
          <t>amount_reporting</t>
        </is>
      </c>
      <c r="L2" s="17" t="inlineStr">
        <is>
          <t>source</t>
        </is>
      </c>
      <c r="M2" s="17" t="inlineStr">
        <is>
          <t>invoice_number</t>
        </is>
      </c>
      <c r="N2" s="17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INC</t>
        </is>
      </c>
      <c r="C3" t="inlineStr">
        <is>
          <t>opex</t>
        </is>
      </c>
      <c r="D3" t="inlineStr">
        <is>
          <t>administration</t>
        </is>
      </c>
      <c r="E3" t="inlineStr">
        <is>
          <t>CONTINUUM</t>
        </is>
      </c>
      <c r="F3" t="inlineStr">
        <is>
          <t>invoice</t>
        </is>
      </c>
      <c r="G3" s="4" t="n">
        <v>1150</v>
      </c>
      <c r="H3" t="inlineStr">
        <is>
          <t>USD</t>
        </is>
      </c>
      <c r="I3" t="inlineStr">
        <is>
          <t>USD</t>
        </is>
      </c>
      <c r="J3" s="18" t="n">
        <v>1</v>
      </c>
      <c r="K3" s="4" t="n">
        <v>1150</v>
      </c>
      <c r="L3" t="inlineStr">
        <is>
          <t>documents</t>
        </is>
      </c>
      <c r="M3" s="19" t="inlineStr">
        <is>
          <t>1220</t>
        </is>
      </c>
      <c r="N3" t="inlineStr">
        <is>
          <t>https://drive.google.com/file/d/1VQJLNIB-5t3CvvCH7lD24otxOYB9qBhF/view?usp=drivesdk</t>
        </is>
      </c>
    </row>
    <row r="4" ht="12" customHeight="1">
      <c r="A4" t="inlineStr">
        <is>
          <t>202601</t>
        </is>
      </c>
      <c r="B4" t="inlineStr">
        <is>
          <t>INC</t>
        </is>
      </c>
      <c r="C4" t="inlineStr">
        <is>
          <t>opex</t>
        </is>
      </c>
      <c r="D4" t="inlineStr">
        <is>
          <t>administration</t>
        </is>
      </c>
      <c r="E4" t="inlineStr">
        <is>
          <t>HUSHED</t>
        </is>
      </c>
      <c r="F4" t="inlineStr">
        <is>
          <t>invoice</t>
        </is>
      </c>
      <c r="G4" s="4" t="n">
        <v>4.99</v>
      </c>
      <c r="H4" t="inlineStr">
        <is>
          <t>USD</t>
        </is>
      </c>
      <c r="I4" t="inlineStr">
        <is>
          <t>USD</t>
        </is>
      </c>
      <c r="J4" s="18" t="n">
        <v>1</v>
      </c>
      <c r="K4" s="4" t="n">
        <v>4.99</v>
      </c>
      <c r="L4" t="inlineStr">
        <is>
          <t>documents</t>
        </is>
      </c>
      <c r="M4" s="19" t="inlineStr">
        <is>
          <t>2172-2199</t>
        </is>
      </c>
      <c r="N4" t="inlineStr">
        <is>
          <t>https://drive.google.com/file/d/1BbduJYKX9BQjP8XUl1QyyqI2dYd_kaDG/view?usp=drivesdk</t>
        </is>
      </c>
    </row>
    <row r="5" ht="12" customHeight="1">
      <c r="A5" t="inlineStr">
        <is>
          <t>202601</t>
        </is>
      </c>
      <c r="B5" t="inlineStr">
        <is>
          <t>INC</t>
        </is>
      </c>
      <c r="C5" t="inlineStr">
        <is>
          <t>opex</t>
        </is>
      </c>
      <c r="D5" t="inlineStr">
        <is>
          <t>administration</t>
        </is>
      </c>
      <c r="E5" t="inlineStr">
        <is>
          <t>IPOSTAL</t>
        </is>
      </c>
      <c r="F5" t="inlineStr">
        <is>
          <t>invoice</t>
        </is>
      </c>
      <c r="G5" s="4" t="n">
        <v>1.1</v>
      </c>
      <c r="H5" t="inlineStr">
        <is>
          <t>USD</t>
        </is>
      </c>
      <c r="I5" t="inlineStr">
        <is>
          <t>USD</t>
        </is>
      </c>
      <c r="J5" s="18" t="n">
        <v>1</v>
      </c>
      <c r="K5" s="4" t="n">
        <v>1.1</v>
      </c>
      <c r="L5" t="inlineStr">
        <is>
          <t>documents</t>
        </is>
      </c>
      <c r="M5" s="19" t="inlineStr">
        <is>
          <t>34735793</t>
        </is>
      </c>
      <c r="N5" t="inlineStr">
        <is>
          <t>https://drive.google.com/file/d/1ceZ6j5WAJAPPlpRSVBybJc0WhWv0xodP/view?usp=drivesdk</t>
        </is>
      </c>
    </row>
    <row r="6" ht="12" customHeight="1">
      <c r="A6" t="inlineStr">
        <is>
          <t>202601</t>
        </is>
      </c>
      <c r="B6" t="inlineStr">
        <is>
          <t>INC</t>
        </is>
      </c>
      <c r="C6" t="inlineStr">
        <is>
          <t>opex</t>
        </is>
      </c>
      <c r="D6" t="inlineStr">
        <is>
          <t>administration</t>
        </is>
      </c>
      <c r="E6" t="inlineStr">
        <is>
          <t>IPOSTAL</t>
        </is>
      </c>
      <c r="F6" t="inlineStr">
        <is>
          <t>invoice</t>
        </is>
      </c>
      <c r="G6" s="4" t="n">
        <v>6.6</v>
      </c>
      <c r="H6" t="inlineStr">
        <is>
          <t>USD</t>
        </is>
      </c>
      <c r="I6" t="inlineStr">
        <is>
          <t>USD</t>
        </is>
      </c>
      <c r="J6" s="18" t="n">
        <v>1</v>
      </c>
      <c r="K6" s="4" t="n">
        <v>6.6</v>
      </c>
      <c r="L6" t="inlineStr">
        <is>
          <t>documents</t>
        </is>
      </c>
      <c r="M6" s="19" t="inlineStr">
        <is>
          <t>34899776</t>
        </is>
      </c>
      <c r="N6" t="inlineStr">
        <is>
          <t>https://drive.google.com/file/d/1LMi5pj2ZXxZnqbNKNzf_j2iSIru1WK79/view?usp=drivesdk</t>
        </is>
      </c>
    </row>
    <row r="7" ht="12" customHeight="1">
      <c r="A7" t="inlineStr">
        <is>
          <t>202601</t>
        </is>
      </c>
      <c r="B7" t="inlineStr">
        <is>
          <t>INC</t>
        </is>
      </c>
      <c r="C7" t="inlineStr">
        <is>
          <t>opex</t>
        </is>
      </c>
      <c r="D7" t="inlineStr">
        <is>
          <t>administration</t>
        </is>
      </c>
      <c r="E7" t="inlineStr">
        <is>
          <t>IPOSTAL</t>
        </is>
      </c>
      <c r="F7" t="inlineStr">
        <is>
          <t>invoice</t>
        </is>
      </c>
      <c r="G7" s="4" t="n">
        <v>14.99</v>
      </c>
      <c r="H7" t="inlineStr">
        <is>
          <t>USD</t>
        </is>
      </c>
      <c r="I7" t="inlineStr">
        <is>
          <t>USD</t>
        </is>
      </c>
      <c r="J7" s="18" t="n">
        <v>1</v>
      </c>
      <c r="K7" s="4" t="n">
        <v>14.99</v>
      </c>
      <c r="L7" t="inlineStr">
        <is>
          <t>documents</t>
        </is>
      </c>
      <c r="M7" s="19" t="inlineStr">
        <is>
          <t>35170891</t>
        </is>
      </c>
      <c r="N7" t="inlineStr">
        <is>
          <t>https://drive.google.com/file/d/1KbHUnph5gmHbdTxLjqKqYInKlrmdz4wL/view?usp=drivesdk</t>
        </is>
      </c>
    </row>
    <row r="8" ht="12" customHeight="1">
      <c r="A8" t="inlineStr">
        <is>
          <t>202601</t>
        </is>
      </c>
      <c r="B8" t="inlineStr">
        <is>
          <t>INC</t>
        </is>
      </c>
      <c r="C8" t="inlineStr">
        <is>
          <t>opex</t>
        </is>
      </c>
      <c r="D8" t="inlineStr">
        <is>
          <t>administration</t>
        </is>
      </c>
      <c r="E8" t="inlineStr">
        <is>
          <t>IPOSTAL</t>
        </is>
      </c>
      <c r="F8" t="inlineStr">
        <is>
          <t>invoice</t>
        </is>
      </c>
      <c r="G8" s="4" t="n">
        <v>1.1</v>
      </c>
      <c r="H8" t="inlineStr">
        <is>
          <t>USD</t>
        </is>
      </c>
      <c r="I8" t="inlineStr">
        <is>
          <t>USD</t>
        </is>
      </c>
      <c r="J8" s="18" t="n">
        <v>1</v>
      </c>
      <c r="K8" s="4" t="n">
        <v>1.1</v>
      </c>
      <c r="L8" t="inlineStr">
        <is>
          <t>documents</t>
        </is>
      </c>
      <c r="M8" s="19" t="inlineStr">
        <is>
          <t>35204899</t>
        </is>
      </c>
      <c r="N8" t="inlineStr">
        <is>
          <t>https://drive.google.com/file/d/1yyR0exo4N4IjQeijc-RMOgOFPehkmWG7/view?usp=drivesdk</t>
        </is>
      </c>
    </row>
    <row r="9" ht="12" customHeight="1">
      <c r="A9" t="inlineStr">
        <is>
          <t>202601</t>
        </is>
      </c>
      <c r="B9" t="inlineStr">
        <is>
          <t>INC</t>
        </is>
      </c>
      <c r="C9" t="inlineStr">
        <is>
          <t>cogs</t>
        </is>
      </c>
      <c r="D9" t="inlineStr">
        <is>
          <t>manufacturing</t>
        </is>
      </c>
      <c r="E9" t="inlineStr">
        <is>
          <t>JONDO</t>
        </is>
      </c>
      <c r="F9" t="inlineStr">
        <is>
          <t>manufacturing</t>
        </is>
      </c>
      <c r="G9" s="4" t="n">
        <v>31.61</v>
      </c>
      <c r="H9" t="inlineStr">
        <is>
          <t>USD</t>
        </is>
      </c>
      <c r="I9" t="inlineStr">
        <is>
          <t>USD</t>
        </is>
      </c>
      <c r="J9" s="18" t="n">
        <v>1</v>
      </c>
      <c r="K9" s="4" t="n">
        <v>31.61</v>
      </c>
      <c r="L9" t="inlineStr">
        <is>
          <t>documents</t>
        </is>
      </c>
      <c r="M9" s="19" t="inlineStr">
        <is>
          <t>AS-93451</t>
        </is>
      </c>
      <c r="N9" t="inlineStr">
        <is>
          <t>https://drive.google.com/file/d/1O0P3vzvWe4u3W1s9Cfr7AhvvLpiFmCxE/view?usp=drivesdk</t>
        </is>
      </c>
    </row>
    <row r="10" ht="12" customHeight="1">
      <c r="A10" t="inlineStr">
        <is>
          <t>202601</t>
        </is>
      </c>
      <c r="B10" t="inlineStr">
        <is>
          <t>INC</t>
        </is>
      </c>
      <c r="C10" t="inlineStr">
        <is>
          <t>cogs</t>
        </is>
      </c>
      <c r="D10" t="inlineStr">
        <is>
          <t>manufacturing</t>
        </is>
      </c>
      <c r="E10" t="inlineStr">
        <is>
          <t>JONDO</t>
        </is>
      </c>
      <c r="F10" t="inlineStr">
        <is>
          <t>manufacturing</t>
        </is>
      </c>
      <c r="G10" s="4" t="n">
        <v>249.35</v>
      </c>
      <c r="H10" t="inlineStr">
        <is>
          <t>USD</t>
        </is>
      </c>
      <c r="I10" t="inlineStr">
        <is>
          <t>USD</t>
        </is>
      </c>
      <c r="J10" s="18" t="n">
        <v>1</v>
      </c>
      <c r="K10" s="4" t="n">
        <v>249.35</v>
      </c>
      <c r="L10" t="inlineStr">
        <is>
          <t>documents</t>
        </is>
      </c>
      <c r="M10" s="19" t="inlineStr">
        <is>
          <t>AS-94908</t>
        </is>
      </c>
      <c r="N10" t="inlineStr">
        <is>
          <t>https://drive.google.com/file/d/1jyxd9FqicevsnM8DLiOFiRnzfnmWfzky/view?usp=drivesdk</t>
        </is>
      </c>
    </row>
    <row r="11" ht="12" customHeight="1">
      <c r="A11" t="inlineStr">
        <is>
          <t>202601</t>
        </is>
      </c>
      <c r="B11" t="inlineStr">
        <is>
          <t>INC</t>
        </is>
      </c>
      <c r="C11" t="inlineStr">
        <is>
          <t>cogs</t>
        </is>
      </c>
      <c r="D11" t="inlineStr">
        <is>
          <t>manufacturing</t>
        </is>
      </c>
      <c r="E11" t="inlineStr">
        <is>
          <t>JONDO</t>
        </is>
      </c>
      <c r="F11" t="inlineStr">
        <is>
          <t>manufacturing</t>
        </is>
      </c>
      <c r="G11" s="4" t="n">
        <v>68.72</v>
      </c>
      <c r="H11" t="inlineStr">
        <is>
          <t>USD</t>
        </is>
      </c>
      <c r="I11" t="inlineStr">
        <is>
          <t>USD</t>
        </is>
      </c>
      <c r="J11" s="18" t="n">
        <v>1</v>
      </c>
      <c r="K11" s="4" t="n">
        <v>68.72</v>
      </c>
      <c r="L11" t="inlineStr">
        <is>
          <t>documents</t>
        </is>
      </c>
      <c r="M11" s="19" t="inlineStr">
        <is>
          <t>AS-94969</t>
        </is>
      </c>
      <c r="N11" t="inlineStr">
        <is>
          <t>https://drive.google.com/file/d/1RevzUHhRECleLrhtwD-YjTJp9jaJUWDK/view?usp=drivesdk</t>
        </is>
      </c>
    </row>
    <row r="12" ht="12" customHeight="1">
      <c r="A12" t="inlineStr">
        <is>
          <t>202601</t>
        </is>
      </c>
      <c r="B12" t="inlineStr">
        <is>
          <t>INC</t>
        </is>
      </c>
      <c r="C12" t="inlineStr">
        <is>
          <t>cogs</t>
        </is>
      </c>
      <c r="D12" t="inlineStr">
        <is>
          <t>manufacturing</t>
        </is>
      </c>
      <c r="E12" t="inlineStr">
        <is>
          <t>JONDO</t>
        </is>
      </c>
      <c r="F12" t="inlineStr">
        <is>
          <t>manufacturing</t>
        </is>
      </c>
      <c r="G12" s="4" t="n">
        <v>54.03</v>
      </c>
      <c r="H12" t="inlineStr">
        <is>
          <t>USD</t>
        </is>
      </c>
      <c r="I12" t="inlineStr">
        <is>
          <t>USD</t>
        </is>
      </c>
      <c r="J12" s="18" t="n">
        <v>1</v>
      </c>
      <c r="K12" s="4" t="n">
        <v>54.03</v>
      </c>
      <c r="L12" t="inlineStr">
        <is>
          <t>documents</t>
        </is>
      </c>
      <c r="M12" s="19" t="inlineStr">
        <is>
          <t>AS-95058</t>
        </is>
      </c>
      <c r="N12" t="inlineStr">
        <is>
          <t>https://drive.google.com/file/d/1mBJHgNO2xg-5FqhSFbZNhgENNhUoZFlO/view?usp=drivesdk</t>
        </is>
      </c>
    </row>
    <row r="13" ht="12" customHeight="1">
      <c r="A13" t="inlineStr">
        <is>
          <t>202601</t>
        </is>
      </c>
      <c r="B13" t="inlineStr">
        <is>
          <t>INC</t>
        </is>
      </c>
      <c r="C13" t="inlineStr">
        <is>
          <t>cogs</t>
        </is>
      </c>
      <c r="D13" t="inlineStr">
        <is>
          <t>manufacturing</t>
        </is>
      </c>
      <c r="E13" t="inlineStr">
        <is>
          <t>JONDO</t>
        </is>
      </c>
      <c r="F13" t="inlineStr">
        <is>
          <t>manufacturing</t>
        </is>
      </c>
      <c r="G13" s="4" t="n">
        <v>55.56</v>
      </c>
      <c r="H13" t="inlineStr">
        <is>
          <t>USD</t>
        </is>
      </c>
      <c r="I13" t="inlineStr">
        <is>
          <t>USD</t>
        </is>
      </c>
      <c r="J13" s="18" t="n">
        <v>1</v>
      </c>
      <c r="K13" s="4" t="n">
        <v>55.56</v>
      </c>
      <c r="L13" t="inlineStr">
        <is>
          <t>documents</t>
        </is>
      </c>
      <c r="M13" s="19" t="inlineStr">
        <is>
          <t>AS-95513</t>
        </is>
      </c>
      <c r="N13" t="inlineStr">
        <is>
          <t>https://drive.google.com/file/d/1n0jkiCaVd0_gWUGq-nbHvrLmzbH5wqOe/view?usp=drivesdk</t>
        </is>
      </c>
    </row>
    <row r="14" ht="12" customHeight="1">
      <c r="A14" t="inlineStr">
        <is>
          <t>202601</t>
        </is>
      </c>
      <c r="B14" t="inlineStr">
        <is>
          <t>INC</t>
        </is>
      </c>
      <c r="C14" t="inlineStr">
        <is>
          <t>cogs</t>
        </is>
      </c>
      <c r="D14" t="inlineStr">
        <is>
          <t>manufacturing</t>
        </is>
      </c>
      <c r="E14" t="inlineStr">
        <is>
          <t>JONDO</t>
        </is>
      </c>
      <c r="F14" t="inlineStr">
        <is>
          <t>manufacturing</t>
        </is>
      </c>
      <c r="G14" s="4" t="n">
        <v>43.89</v>
      </c>
      <c r="H14" t="inlineStr">
        <is>
          <t>USD</t>
        </is>
      </c>
      <c r="I14" t="inlineStr">
        <is>
          <t>USD</t>
        </is>
      </c>
      <c r="J14" s="18" t="n">
        <v>1</v>
      </c>
      <c r="K14" s="4" t="n">
        <v>43.89</v>
      </c>
      <c r="L14" t="inlineStr">
        <is>
          <t>documents</t>
        </is>
      </c>
      <c r="M14" s="19" t="inlineStr">
        <is>
          <t>AS-96265</t>
        </is>
      </c>
      <c r="N14" t="inlineStr">
        <is>
          <t>https://drive.google.com/file/d/1oaJt7342H9v6JYlHDXVc1qKPm1x6UfSA/view?usp=drivesdk</t>
        </is>
      </c>
    </row>
    <row r="15" ht="12" customHeight="1">
      <c r="A15" t="inlineStr">
        <is>
          <t>202601</t>
        </is>
      </c>
      <c r="B15" t="inlineStr">
        <is>
          <t>INC</t>
        </is>
      </c>
      <c r="C15" t="inlineStr">
        <is>
          <t>cogs</t>
        </is>
      </c>
      <c r="D15" t="inlineStr">
        <is>
          <t>manufacturing</t>
        </is>
      </c>
      <c r="E15" t="inlineStr">
        <is>
          <t>JONDO</t>
        </is>
      </c>
      <c r="F15" t="inlineStr">
        <is>
          <t>manufacturing</t>
        </is>
      </c>
      <c r="G15" s="4" t="n">
        <v>65.05</v>
      </c>
      <c r="H15" t="inlineStr">
        <is>
          <t>USD</t>
        </is>
      </c>
      <c r="I15" t="inlineStr">
        <is>
          <t>USD</t>
        </is>
      </c>
      <c r="J15" s="18" t="n">
        <v>1</v>
      </c>
      <c r="K15" s="4" t="n">
        <v>65.05</v>
      </c>
      <c r="L15" t="inlineStr">
        <is>
          <t>documents</t>
        </is>
      </c>
      <c r="M15" s="19" t="inlineStr">
        <is>
          <t>AS-96361</t>
        </is>
      </c>
      <c r="N15" t="inlineStr">
        <is>
          <t>https://drive.google.com/file/d/1XcWHHiuZhYBfTD9p5V8io5vc60MnzuTH/view?usp=drivesdk</t>
        </is>
      </c>
    </row>
    <row r="16" ht="12" customHeight="1">
      <c r="A16" t="inlineStr">
        <is>
          <t>202601</t>
        </is>
      </c>
      <c r="B16" t="inlineStr">
        <is>
          <t>INC</t>
        </is>
      </c>
      <c r="C16" t="inlineStr">
        <is>
          <t>opex</t>
        </is>
      </c>
      <c r="D16" t="inlineStr">
        <is>
          <t>administration</t>
        </is>
      </c>
      <c r="E16" t="inlineStr">
        <is>
          <t>QUICKBOOKS</t>
        </is>
      </c>
      <c r="F16" t="inlineStr">
        <is>
          <t>invoice</t>
        </is>
      </c>
      <c r="G16" s="4" t="n">
        <v>121.9</v>
      </c>
      <c r="H16" t="inlineStr">
        <is>
          <t>USD</t>
        </is>
      </c>
      <c r="I16" t="inlineStr">
        <is>
          <t>USD</t>
        </is>
      </c>
      <c r="J16" s="18" t="n">
        <v>1</v>
      </c>
      <c r="K16" s="4" t="n">
        <v>121.9</v>
      </c>
      <c r="L16" t="inlineStr">
        <is>
          <t>documents</t>
        </is>
      </c>
      <c r="M16" s="19" t="inlineStr">
        <is>
          <t>10001458238017</t>
        </is>
      </c>
      <c r="N16" t="inlineStr">
        <is>
          <t>https://drive.google.com/file/d/1O3JQWCljxjpurBip-btRlPPIgNjLDS8z/view?usp=drivesdk</t>
        </is>
      </c>
    </row>
    <row r="17" ht="12" customHeight="1">
      <c r="A17" t="inlineStr">
        <is>
          <t>202601</t>
        </is>
      </c>
      <c r="B17" t="inlineStr">
        <is>
          <t>INC</t>
        </is>
      </c>
      <c r="C17" t="inlineStr">
        <is>
          <t>opex</t>
        </is>
      </c>
      <c r="D17" t="inlineStr">
        <is>
          <t>administration</t>
        </is>
      </c>
      <c r="E17" t="inlineStr">
        <is>
          <t>REGUS</t>
        </is>
      </c>
      <c r="F17" t="inlineStr">
        <is>
          <t>invoice</t>
        </is>
      </c>
      <c r="G17" s="4" t="n">
        <v>31.8</v>
      </c>
      <c r="H17" t="inlineStr">
        <is>
          <t>USD</t>
        </is>
      </c>
      <c r="I17" t="inlineStr">
        <is>
          <t>USD</t>
        </is>
      </c>
      <c r="J17" s="18" t="n">
        <v>1</v>
      </c>
      <c r="K17" s="4" t="n">
        <v>31.8</v>
      </c>
      <c r="L17" t="inlineStr">
        <is>
          <t>documents</t>
        </is>
      </c>
      <c r="M17" s="19" t="inlineStr">
        <is>
          <t>3313-43306</t>
        </is>
      </c>
      <c r="N17" t="inlineStr">
        <is>
          <t>https://drive.google.com/file/d/1gZQTLCPSHOk4TktpGvMCAtrlr8UHdVJj/view?usp=drivesdk</t>
        </is>
      </c>
    </row>
    <row r="18" ht="12" customHeight="1">
      <c r="A18" t="inlineStr">
        <is>
          <t>202601</t>
        </is>
      </c>
      <c r="B18" t="inlineStr">
        <is>
          <t>INC</t>
        </is>
      </c>
      <c r="C18" t="inlineStr">
        <is>
          <t>opex</t>
        </is>
      </c>
      <c r="D18" t="inlineStr">
        <is>
          <t>shared_services</t>
        </is>
      </c>
      <c r="E18" t="inlineStr">
        <is>
          <t>SHAREDSERVICESSL</t>
        </is>
      </c>
      <c r="F18" t="inlineStr">
        <is>
          <t>invoice</t>
        </is>
      </c>
      <c r="G18" s="4" t="n">
        <v>7334.44</v>
      </c>
      <c r="H18" t="inlineStr">
        <is>
          <t>EUR</t>
        </is>
      </c>
      <c r="I18" t="inlineStr">
        <is>
          <t>USD</t>
        </is>
      </c>
      <c r="J18" s="18" t="n">
        <v>1.1919</v>
      </c>
      <c r="K18" s="4" t="n">
        <v>8741.92</v>
      </c>
      <c r="L18" t="inlineStr">
        <is>
          <t>documents</t>
        </is>
      </c>
      <c r="M18" s="19" t="inlineStr">
        <is>
          <t>2026-0009</t>
        </is>
      </c>
      <c r="N18" t="inlineStr">
        <is>
          <t>https://drive.google.com/file/d/1f0y-ak8qjEua6xrzfcweFpWZqOtA8h9C/view?usp=drivesdk</t>
        </is>
      </c>
    </row>
    <row r="19" ht="12" customHeight="1">
      <c r="A19" t="inlineStr">
        <is>
          <t>202601</t>
        </is>
      </c>
      <c r="B19" t="inlineStr">
        <is>
          <t>INC</t>
        </is>
      </c>
      <c r="C19" t="inlineStr">
        <is>
          <t>cogs</t>
        </is>
      </c>
      <c r="D19" t="inlineStr">
        <is>
          <t>manufacturing</t>
        </is>
      </c>
      <c r="E19" t="inlineStr">
        <is>
          <t>TGI</t>
        </is>
      </c>
      <c r="F19" t="inlineStr">
        <is>
          <t>manufacturing</t>
        </is>
      </c>
      <c r="G19" s="4" t="n">
        <v>1562.55</v>
      </c>
      <c r="H19" t="inlineStr">
        <is>
          <t>USD</t>
        </is>
      </c>
      <c r="I19" t="inlineStr">
        <is>
          <t>USD</t>
        </is>
      </c>
      <c r="J19" s="18" t="n">
        <v>1</v>
      </c>
      <c r="K19" s="4" t="n">
        <v>1562.55</v>
      </c>
      <c r="L19" t="inlineStr">
        <is>
          <t>documents</t>
        </is>
      </c>
      <c r="M19" s="19" t="inlineStr">
        <is>
          <t>171197</t>
        </is>
      </c>
      <c r="N19" t="inlineStr">
        <is>
          <t>https://drive.google.com/file/d/1EUtQF-FleTAy3EgSdssG3kIsBahVXhP7/view?usp=drivesdk</t>
        </is>
      </c>
    </row>
    <row r="20" ht="12" customHeight="1">
      <c r="A20" t="inlineStr">
        <is>
          <t>202601</t>
        </is>
      </c>
      <c r="B20" t="inlineStr">
        <is>
          <t>INC</t>
        </is>
      </c>
      <c r="C20" t="inlineStr">
        <is>
          <t>cogs</t>
        </is>
      </c>
      <c r="D20" t="inlineStr">
        <is>
          <t>logistics</t>
        </is>
      </c>
      <c r="E20" t="inlineStr">
        <is>
          <t>TGI</t>
        </is>
      </c>
      <c r="F20" t="inlineStr">
        <is>
          <t>logistics</t>
        </is>
      </c>
      <c r="G20" s="4" t="n">
        <v>2888.86</v>
      </c>
      <c r="H20" t="inlineStr">
        <is>
          <t>USD</t>
        </is>
      </c>
      <c r="I20" t="inlineStr">
        <is>
          <t>USD</t>
        </is>
      </c>
      <c r="J20" s="18" t="n">
        <v>1</v>
      </c>
      <c r="K20" s="4" t="n">
        <v>2888.86</v>
      </c>
      <c r="L20" t="inlineStr">
        <is>
          <t>documents</t>
        </is>
      </c>
      <c r="M20" s="19" t="inlineStr">
        <is>
          <t>171198</t>
        </is>
      </c>
      <c r="N20" t="inlineStr">
        <is>
          <t>https://drive.google.com/file/d/15ijSn48A6cTNkNH6H12fgOkucD-ULCFE/view?usp=drivesdk</t>
        </is>
      </c>
    </row>
    <row r="21" ht="12" customHeight="1">
      <c r="A21" t="inlineStr">
        <is>
          <t>202602</t>
        </is>
      </c>
      <c r="B21" t="inlineStr">
        <is>
          <t>INC</t>
        </is>
      </c>
      <c r="C21" t="inlineStr">
        <is>
          <t>opex</t>
        </is>
      </c>
      <c r="D21" t="inlineStr">
        <is>
          <t>administration</t>
        </is>
      </c>
      <c r="E21" t="inlineStr">
        <is>
          <t>CONTINUUM</t>
        </is>
      </c>
      <c r="F21" t="inlineStr">
        <is>
          <t>invoice</t>
        </is>
      </c>
      <c r="G21" s="4" t="n">
        <v>1150</v>
      </c>
      <c r="H21" t="inlineStr">
        <is>
          <t>USD</t>
        </is>
      </c>
      <c r="I21" t="inlineStr">
        <is>
          <t>USD</t>
        </is>
      </c>
      <c r="J21" s="18" t="n">
        <v>1</v>
      </c>
      <c r="K21" s="4" t="n">
        <v>1150</v>
      </c>
      <c r="L21" t="inlineStr">
        <is>
          <t>documents</t>
        </is>
      </c>
      <c r="M21" s="19" t="inlineStr">
        <is>
          <t>1236</t>
        </is>
      </c>
      <c r="N21" t="inlineStr">
        <is>
          <t>https://drive.google.com/file/d/19qRHVy1VXN3r8_I38sW_TfnopkqkdH5y/view?usp=drivesdk</t>
        </is>
      </c>
    </row>
    <row r="22" ht="12" customHeight="1">
      <c r="A22" t="inlineStr">
        <is>
          <t>202602</t>
        </is>
      </c>
      <c r="B22" t="inlineStr">
        <is>
          <t>INC</t>
        </is>
      </c>
      <c r="C22" t="inlineStr">
        <is>
          <t>opex</t>
        </is>
      </c>
      <c r="D22" t="inlineStr">
        <is>
          <t>administration</t>
        </is>
      </c>
      <c r="E22" t="inlineStr">
        <is>
          <t>HUSHED</t>
        </is>
      </c>
      <c r="F22" t="inlineStr">
        <is>
          <t>invoice</t>
        </is>
      </c>
      <c r="G22" s="4" t="n">
        <v>4.99</v>
      </c>
      <c r="H22" t="inlineStr">
        <is>
          <t>USD</t>
        </is>
      </c>
      <c r="I22" t="inlineStr">
        <is>
          <t>USD</t>
        </is>
      </c>
      <c r="J22" s="18" t="n">
        <v>1</v>
      </c>
      <c r="K22" s="4" t="n">
        <v>4.99</v>
      </c>
      <c r="L22" t="inlineStr">
        <is>
          <t>documents</t>
        </is>
      </c>
      <c r="M22" s="19" t="inlineStr">
        <is>
          <t>2353-3823</t>
        </is>
      </c>
      <c r="N22" t="inlineStr">
        <is>
          <t>https://drive.google.com/file/d/1ucffmXSTwbEd1NPh3IgAuKV_LAbciIE3/view?usp=drivesdk</t>
        </is>
      </c>
    </row>
    <row r="23" ht="12" customHeight="1">
      <c r="A23" t="inlineStr">
        <is>
          <t>202602</t>
        </is>
      </c>
      <c r="B23" t="inlineStr">
        <is>
          <t>INC</t>
        </is>
      </c>
      <c r="C23" t="inlineStr">
        <is>
          <t>opex</t>
        </is>
      </c>
      <c r="D23" t="inlineStr">
        <is>
          <t>administration</t>
        </is>
      </c>
      <c r="E23" t="inlineStr">
        <is>
          <t>IPOSTAL</t>
        </is>
      </c>
      <c r="F23" t="inlineStr">
        <is>
          <t>invoice</t>
        </is>
      </c>
      <c r="G23" s="4" t="n">
        <v>1.1</v>
      </c>
      <c r="H23" t="inlineStr">
        <is>
          <t>USD</t>
        </is>
      </c>
      <c r="I23" t="inlineStr">
        <is>
          <t>USD</t>
        </is>
      </c>
      <c r="J23" s="18" t="n">
        <v>1</v>
      </c>
      <c r="K23" s="4" t="n">
        <v>1.1</v>
      </c>
      <c r="L23" t="inlineStr">
        <is>
          <t>documents</t>
        </is>
      </c>
      <c r="M23" s="19" t="inlineStr">
        <is>
          <t>35389577</t>
        </is>
      </c>
      <c r="N23" t="inlineStr">
        <is>
          <t>https://drive.google.com/file/d/1Qv3sUtITrFrr0vCvvVDO9E2rkyQ_GGDR/view?usp=drivesdk</t>
        </is>
      </c>
    </row>
    <row r="24" ht="12" customHeight="1">
      <c r="A24" t="inlineStr">
        <is>
          <t>202602</t>
        </is>
      </c>
      <c r="B24" t="inlineStr">
        <is>
          <t>INC</t>
        </is>
      </c>
      <c r="C24" t="inlineStr">
        <is>
          <t>opex</t>
        </is>
      </c>
      <c r="D24" t="inlineStr">
        <is>
          <t>administration</t>
        </is>
      </c>
      <c r="E24" t="inlineStr">
        <is>
          <t>IPOSTAL</t>
        </is>
      </c>
      <c r="F24" t="inlineStr">
        <is>
          <t>invoice</t>
        </is>
      </c>
      <c r="G24" s="4" t="n">
        <v>3.3</v>
      </c>
      <c r="H24" t="inlineStr">
        <is>
          <t>USD</t>
        </is>
      </c>
      <c r="I24" t="inlineStr">
        <is>
          <t>USD</t>
        </is>
      </c>
      <c r="J24" s="18" t="n">
        <v>1</v>
      </c>
      <c r="K24" s="4" t="n">
        <v>3.3</v>
      </c>
      <c r="L24" t="inlineStr">
        <is>
          <t>documents</t>
        </is>
      </c>
      <c r="M24" s="19" t="inlineStr">
        <is>
          <t>35565709</t>
        </is>
      </c>
      <c r="N24" t="inlineStr">
        <is>
          <t>https://drive.google.com/file/d/1x0UkVSghoqqzzwFf7y0HgzoZgXkCaS8G/view?usp=drivesdk</t>
        </is>
      </c>
    </row>
    <row r="25" ht="12" customHeight="1">
      <c r="A25" t="inlineStr">
        <is>
          <t>202602</t>
        </is>
      </c>
      <c r="B25" t="inlineStr">
        <is>
          <t>INC</t>
        </is>
      </c>
      <c r="C25" t="inlineStr">
        <is>
          <t>opex</t>
        </is>
      </c>
      <c r="D25" t="inlineStr">
        <is>
          <t>administration</t>
        </is>
      </c>
      <c r="E25" t="inlineStr">
        <is>
          <t>IPOSTAL</t>
        </is>
      </c>
      <c r="F25" t="inlineStr">
        <is>
          <t>invoice</t>
        </is>
      </c>
      <c r="G25" s="4" t="n">
        <v>3.3</v>
      </c>
      <c r="H25" t="inlineStr">
        <is>
          <t>USD</t>
        </is>
      </c>
      <c r="I25" t="inlineStr">
        <is>
          <t>USD</t>
        </is>
      </c>
      <c r="J25" s="18" t="n">
        <v>1</v>
      </c>
      <c r="K25" s="4" t="n">
        <v>3.3</v>
      </c>
      <c r="L25" t="inlineStr">
        <is>
          <t>documents</t>
        </is>
      </c>
      <c r="M25" s="19" t="inlineStr">
        <is>
          <t>35722393</t>
        </is>
      </c>
      <c r="N25" t="inlineStr">
        <is>
          <t>https://drive.google.com/file/d/1YfOki42vge4FANfVk-MA2_HuwrNAPmOR/view?usp=drivesdk</t>
        </is>
      </c>
    </row>
    <row r="26" ht="12" customHeight="1">
      <c r="A26" t="inlineStr">
        <is>
          <t>202602</t>
        </is>
      </c>
      <c r="B26" t="inlineStr">
        <is>
          <t>INC</t>
        </is>
      </c>
      <c r="C26" t="inlineStr">
        <is>
          <t>cogs</t>
        </is>
      </c>
      <c r="D26" t="inlineStr">
        <is>
          <t>manufacturing</t>
        </is>
      </c>
      <c r="E26" t="inlineStr">
        <is>
          <t>JONDO</t>
        </is>
      </c>
      <c r="F26" t="inlineStr">
        <is>
          <t>manufacturing</t>
        </is>
      </c>
      <c r="G26" s="4" t="n">
        <v>52</v>
      </c>
      <c r="H26" t="inlineStr">
        <is>
          <t>USD</t>
        </is>
      </c>
      <c r="I26" t="inlineStr">
        <is>
          <t>USD</t>
        </is>
      </c>
      <c r="J26" s="18" t="n">
        <v>1</v>
      </c>
      <c r="K26" s="4" t="n">
        <v>52</v>
      </c>
      <c r="L26" t="inlineStr">
        <is>
          <t>documents</t>
        </is>
      </c>
      <c r="M26" s="19" t="inlineStr">
        <is>
          <t>AS-97102</t>
        </is>
      </c>
      <c r="N26" t="inlineStr">
        <is>
          <t>https://drive.google.com/file/d/17yz-OjOD_OiscKegCKHsuLS2iph8Iq2Z/view?usp=drivesdk</t>
        </is>
      </c>
    </row>
    <row r="27" ht="12" customHeight="1">
      <c r="A27" t="inlineStr">
        <is>
          <t>202602</t>
        </is>
      </c>
      <c r="B27" t="inlineStr">
        <is>
          <t>INC</t>
        </is>
      </c>
      <c r="C27" t="inlineStr">
        <is>
          <t>cogs</t>
        </is>
      </c>
      <c r="D27" t="inlineStr">
        <is>
          <t>manufacturing</t>
        </is>
      </c>
      <c r="E27" t="inlineStr">
        <is>
          <t>JONDO</t>
        </is>
      </c>
      <c r="F27" t="inlineStr">
        <is>
          <t>manufacturing</t>
        </is>
      </c>
      <c r="G27" s="4" t="n">
        <v>41.82</v>
      </c>
      <c r="H27" t="inlineStr">
        <is>
          <t>USD</t>
        </is>
      </c>
      <c r="I27" t="inlineStr">
        <is>
          <t>USD</t>
        </is>
      </c>
      <c r="J27" s="18" t="n">
        <v>1</v>
      </c>
      <c r="K27" s="4" t="n">
        <v>41.82</v>
      </c>
      <c r="L27" t="inlineStr">
        <is>
          <t>documents</t>
        </is>
      </c>
      <c r="M27" s="19" t="inlineStr">
        <is>
          <t>AS-97313</t>
        </is>
      </c>
      <c r="N27" t="inlineStr">
        <is>
          <t>https://drive.google.com/file/d/1jDsCgTUxIQfP-43lMMhxyWNGIfFcyKi1/view?usp=drivesdk</t>
        </is>
      </c>
    </row>
    <row r="28" ht="12" customHeight="1">
      <c r="A28" t="inlineStr">
        <is>
          <t>202602</t>
        </is>
      </c>
      <c r="B28" t="inlineStr">
        <is>
          <t>INC</t>
        </is>
      </c>
      <c r="C28" t="inlineStr">
        <is>
          <t>cogs</t>
        </is>
      </c>
      <c r="D28" t="inlineStr">
        <is>
          <t>manufacturing</t>
        </is>
      </c>
      <c r="E28" t="inlineStr">
        <is>
          <t>JONDO</t>
        </is>
      </c>
      <c r="F28" t="inlineStr">
        <is>
          <t>manufacturing</t>
        </is>
      </c>
      <c r="G28" s="4" t="n">
        <v>104.54</v>
      </c>
      <c r="H28" t="inlineStr">
        <is>
          <t>USD</t>
        </is>
      </c>
      <c r="I28" t="inlineStr">
        <is>
          <t>USD</t>
        </is>
      </c>
      <c r="J28" s="18" t="n">
        <v>1</v>
      </c>
      <c r="K28" s="4" t="n">
        <v>104.54</v>
      </c>
      <c r="L28" t="inlineStr">
        <is>
          <t>documents</t>
        </is>
      </c>
      <c r="M28" s="19" t="inlineStr">
        <is>
          <t>AS-97766</t>
        </is>
      </c>
      <c r="N28" t="inlineStr">
        <is>
          <t>https://drive.google.com/file/d/1cRmaF6PcrmnIb2R1odSy7Vfe9PCmm33F/view?usp=drivesdk</t>
        </is>
      </c>
    </row>
    <row r="29" ht="12" customHeight="1">
      <c r="A29" t="inlineStr">
        <is>
          <t>202602</t>
        </is>
      </c>
      <c r="B29" t="inlineStr">
        <is>
          <t>INC</t>
        </is>
      </c>
      <c r="C29" t="inlineStr">
        <is>
          <t>cogs</t>
        </is>
      </c>
      <c r="D29" t="inlineStr">
        <is>
          <t>manufacturing</t>
        </is>
      </c>
      <c r="E29" t="inlineStr">
        <is>
          <t>JONDO</t>
        </is>
      </c>
      <c r="F29" t="inlineStr">
        <is>
          <t>manufacturing</t>
        </is>
      </c>
      <c r="G29" s="4" t="n">
        <v>82.73</v>
      </c>
      <c r="H29" t="inlineStr">
        <is>
          <t>USD</t>
        </is>
      </c>
      <c r="I29" t="inlineStr">
        <is>
          <t>USD</t>
        </is>
      </c>
      <c r="J29" s="18" t="n">
        <v>1</v>
      </c>
      <c r="K29" s="4" t="n">
        <v>82.73</v>
      </c>
      <c r="L29" t="inlineStr">
        <is>
          <t>documents</t>
        </is>
      </c>
      <c r="M29" s="19" t="inlineStr">
        <is>
          <t>AS-97929</t>
        </is>
      </c>
      <c r="N29" t="inlineStr">
        <is>
          <t>https://drive.google.com/file/d/1XSd6qUVZmmUut5jXHAu0boyCzx24IyXY/view?usp=drivesdk</t>
        </is>
      </c>
    </row>
    <row r="30" ht="12" customHeight="1">
      <c r="A30" t="inlineStr">
        <is>
          <t>202602</t>
        </is>
      </c>
      <c r="B30" t="inlineStr">
        <is>
          <t>INC</t>
        </is>
      </c>
      <c r="C30" t="inlineStr">
        <is>
          <t>cogs</t>
        </is>
      </c>
      <c r="D30" t="inlineStr">
        <is>
          <t>manufacturing</t>
        </is>
      </c>
      <c r="E30" t="inlineStr">
        <is>
          <t>JONDO</t>
        </is>
      </c>
      <c r="F30" t="inlineStr">
        <is>
          <t>manufacturing</t>
        </is>
      </c>
      <c r="G30" s="4" t="n">
        <v>49.06</v>
      </c>
      <c r="H30" t="inlineStr">
        <is>
          <t>USD</t>
        </is>
      </c>
      <c r="I30" t="inlineStr">
        <is>
          <t>USD</t>
        </is>
      </c>
      <c r="J30" s="18" t="n">
        <v>1</v>
      </c>
      <c r="K30" s="4" t="n">
        <v>49.06</v>
      </c>
      <c r="L30" t="inlineStr">
        <is>
          <t>documents</t>
        </is>
      </c>
      <c r="M30" s="19" t="inlineStr">
        <is>
          <t>AS-98182</t>
        </is>
      </c>
      <c r="N30" t="inlineStr">
        <is>
          <t>https://drive.google.com/file/d/18-431Zp6DTVo2m9HUh3SMuz2qyBKoLem/view?usp=drivesdk</t>
        </is>
      </c>
    </row>
    <row r="31" ht="12" customHeight="1">
      <c r="A31" t="inlineStr">
        <is>
          <t>202602</t>
        </is>
      </c>
      <c r="B31" t="inlineStr">
        <is>
          <t>INC</t>
        </is>
      </c>
      <c r="C31" t="inlineStr">
        <is>
          <t>cogs</t>
        </is>
      </c>
      <c r="D31" t="inlineStr">
        <is>
          <t>manufacturing</t>
        </is>
      </c>
      <c r="E31" t="inlineStr">
        <is>
          <t>JONDO</t>
        </is>
      </c>
      <c r="F31" t="inlineStr">
        <is>
          <t>manufacturing</t>
        </is>
      </c>
      <c r="G31" s="4" t="n">
        <v>44.48</v>
      </c>
      <c r="H31" t="inlineStr">
        <is>
          <t>USD</t>
        </is>
      </c>
      <c r="I31" t="inlineStr">
        <is>
          <t>USD</t>
        </is>
      </c>
      <c r="J31" s="18" t="n">
        <v>1</v>
      </c>
      <c r="K31" s="4" t="n">
        <v>44.48</v>
      </c>
      <c r="L31" t="inlineStr">
        <is>
          <t>documents</t>
        </is>
      </c>
      <c r="M31" s="19" t="inlineStr">
        <is>
          <t>AS-98184</t>
        </is>
      </c>
      <c r="N31" t="inlineStr">
        <is>
          <t>https://drive.google.com/file/d/1cP0o74jkhXdQk9aPXo7L1osS8x5cwT_j/view?usp=drivesdk</t>
        </is>
      </c>
    </row>
    <row r="32" ht="12" customHeight="1">
      <c r="A32" t="inlineStr">
        <is>
          <t>202602</t>
        </is>
      </c>
      <c r="B32" t="inlineStr">
        <is>
          <t>INC</t>
        </is>
      </c>
      <c r="C32" t="inlineStr">
        <is>
          <t>cogs</t>
        </is>
      </c>
      <c r="D32" t="inlineStr">
        <is>
          <t>manufacturing</t>
        </is>
      </c>
      <c r="E32" t="inlineStr">
        <is>
          <t>JONDO</t>
        </is>
      </c>
      <c r="F32" t="inlineStr">
        <is>
          <t>manufacturing</t>
        </is>
      </c>
      <c r="G32" s="4" t="n">
        <v>44.48</v>
      </c>
      <c r="H32" t="inlineStr">
        <is>
          <t>USD</t>
        </is>
      </c>
      <c r="I32" t="inlineStr">
        <is>
          <t>USD</t>
        </is>
      </c>
      <c r="J32" s="18" t="n">
        <v>1</v>
      </c>
      <c r="K32" s="4" t="n">
        <v>44.48</v>
      </c>
      <c r="L32" t="inlineStr">
        <is>
          <t>documents</t>
        </is>
      </c>
      <c r="M32" s="19" t="inlineStr">
        <is>
          <t>AS-98186</t>
        </is>
      </c>
      <c r="N32" t="inlineStr">
        <is>
          <t>https://drive.google.com/file/d/1MaJcncxz7W_PmnWCBLG0TWeEkCieXw6n/view?usp=drivesdk</t>
        </is>
      </c>
    </row>
    <row r="33" ht="12" customHeight="1">
      <c r="A33" t="inlineStr">
        <is>
          <t>202602</t>
        </is>
      </c>
      <c r="B33" t="inlineStr">
        <is>
          <t>INC</t>
        </is>
      </c>
      <c r="C33" t="inlineStr">
        <is>
          <t>cogs</t>
        </is>
      </c>
      <c r="D33" t="inlineStr">
        <is>
          <t>manufacturing</t>
        </is>
      </c>
      <c r="E33" t="inlineStr">
        <is>
          <t>JONDO</t>
        </is>
      </c>
      <c r="F33" t="inlineStr">
        <is>
          <t>manufacturing</t>
        </is>
      </c>
      <c r="G33" s="4" t="n">
        <v>52.62</v>
      </c>
      <c r="H33" t="inlineStr">
        <is>
          <t>USD</t>
        </is>
      </c>
      <c r="I33" t="inlineStr">
        <is>
          <t>USD</t>
        </is>
      </c>
      <c r="J33" s="18" t="n">
        <v>1</v>
      </c>
      <c r="K33" s="4" t="n">
        <v>52.62</v>
      </c>
      <c r="L33" t="inlineStr">
        <is>
          <t>documents</t>
        </is>
      </c>
      <c r="M33" s="19" t="inlineStr">
        <is>
          <t>AS-98295</t>
        </is>
      </c>
      <c r="N33" t="inlineStr">
        <is>
          <t>https://drive.google.com/file/d/1gPRda7kqtCsp7y3XsBonf8t2GHm4RxiY/view?usp=drivesdk</t>
        </is>
      </c>
    </row>
    <row r="34" ht="12" customHeight="1">
      <c r="A34" t="inlineStr">
        <is>
          <t>202602</t>
        </is>
      </c>
      <c r="B34" t="inlineStr">
        <is>
          <t>INC</t>
        </is>
      </c>
      <c r="C34" t="inlineStr">
        <is>
          <t>cogs</t>
        </is>
      </c>
      <c r="D34" t="inlineStr">
        <is>
          <t>manufacturing</t>
        </is>
      </c>
      <c r="E34" t="inlineStr">
        <is>
          <t>JONDO</t>
        </is>
      </c>
      <c r="F34" t="inlineStr">
        <is>
          <t>manufacturing</t>
        </is>
      </c>
      <c r="G34" s="4" t="n">
        <v>44.1</v>
      </c>
      <c r="H34" t="inlineStr">
        <is>
          <t>USD</t>
        </is>
      </c>
      <c r="I34" t="inlineStr">
        <is>
          <t>USD</t>
        </is>
      </c>
      <c r="J34" s="18" t="n">
        <v>1</v>
      </c>
      <c r="K34" s="4" t="n">
        <v>44.1</v>
      </c>
      <c r="L34" t="inlineStr">
        <is>
          <t>documents</t>
        </is>
      </c>
      <c r="M34" s="19" t="inlineStr">
        <is>
          <t>AS-98569</t>
        </is>
      </c>
      <c r="N34" t="inlineStr">
        <is>
          <t>https://drive.google.com/file/d/1CF9gddWi0M8W61isQoq9hLg1wgCd0YU0/view?usp=drivesdk</t>
        </is>
      </c>
    </row>
    <row r="35" ht="12" customHeight="1">
      <c r="A35" t="inlineStr">
        <is>
          <t>202602</t>
        </is>
      </c>
      <c r="B35" t="inlineStr">
        <is>
          <t>INC</t>
        </is>
      </c>
      <c r="C35" t="inlineStr">
        <is>
          <t>cogs</t>
        </is>
      </c>
      <c r="D35" t="inlineStr">
        <is>
          <t>manufacturing</t>
        </is>
      </c>
      <c r="E35" t="inlineStr">
        <is>
          <t>JONDO</t>
        </is>
      </c>
      <c r="F35" t="inlineStr">
        <is>
          <t>manufacturing</t>
        </is>
      </c>
      <c r="G35" s="4" t="n">
        <v>33.4</v>
      </c>
      <c r="H35" t="inlineStr">
        <is>
          <t>USD</t>
        </is>
      </c>
      <c r="I35" t="inlineStr">
        <is>
          <t>USD</t>
        </is>
      </c>
      <c r="J35" s="18" t="n">
        <v>1</v>
      </c>
      <c r="K35" s="4" t="n">
        <v>33.4</v>
      </c>
      <c r="L35" t="inlineStr">
        <is>
          <t>documents</t>
        </is>
      </c>
      <c r="M35" s="19" t="inlineStr">
        <is>
          <t>AS-98850</t>
        </is>
      </c>
      <c r="N35" t="inlineStr">
        <is>
          <t>https://drive.google.com/file/d/124eW3cPeSVU9chNVpkckm3lApHmcSpeY/view?usp=drivesdk</t>
        </is>
      </c>
    </row>
    <row r="36" ht="12" customHeight="1">
      <c r="A36" t="inlineStr">
        <is>
          <t>202602</t>
        </is>
      </c>
      <c r="B36" t="inlineStr">
        <is>
          <t>INC</t>
        </is>
      </c>
      <c r="C36" t="inlineStr">
        <is>
          <t>cogs</t>
        </is>
      </c>
      <c r="D36" t="inlineStr">
        <is>
          <t>manufacturing</t>
        </is>
      </c>
      <c r="E36" t="inlineStr">
        <is>
          <t>JONDO</t>
        </is>
      </c>
      <c r="F36" t="inlineStr">
        <is>
          <t>manufacturing</t>
        </is>
      </c>
      <c r="G36" s="4" t="n">
        <v>31.61</v>
      </c>
      <c r="H36" t="inlineStr">
        <is>
          <t>USD</t>
        </is>
      </c>
      <c r="I36" t="inlineStr">
        <is>
          <t>USD</t>
        </is>
      </c>
      <c r="J36" s="18" t="n">
        <v>1</v>
      </c>
      <c r="K36" s="4" t="n">
        <v>31.61</v>
      </c>
      <c r="L36" t="inlineStr">
        <is>
          <t>documents</t>
        </is>
      </c>
      <c r="M36" s="19" t="inlineStr">
        <is>
          <t>AS-99137</t>
        </is>
      </c>
      <c r="N36" t="inlineStr">
        <is>
          <t>https://drive.google.com/file/d/1UJD1YgQGDw_lhkgllw-qAY40gjr1CXD3/view?usp=drivesdk</t>
        </is>
      </c>
    </row>
    <row r="37" ht="12" customHeight="1">
      <c r="A37" t="inlineStr">
        <is>
          <t>202602</t>
        </is>
      </c>
      <c r="B37" t="inlineStr">
        <is>
          <t>INC</t>
        </is>
      </c>
      <c r="C37" t="inlineStr">
        <is>
          <t>cogs</t>
        </is>
      </c>
      <c r="D37" t="inlineStr">
        <is>
          <t>manufacturing</t>
        </is>
      </c>
      <c r="E37" t="inlineStr">
        <is>
          <t>JONDO</t>
        </is>
      </c>
      <c r="F37" t="inlineStr">
        <is>
          <t>manufacturing</t>
        </is>
      </c>
      <c r="G37" s="4" t="n">
        <v>22.45</v>
      </c>
      <c r="H37" t="inlineStr">
        <is>
          <t>USD</t>
        </is>
      </c>
      <c r="I37" t="inlineStr">
        <is>
          <t>USD</t>
        </is>
      </c>
      <c r="J37" s="18" t="n">
        <v>1</v>
      </c>
      <c r="K37" s="4" t="n">
        <v>22.45</v>
      </c>
      <c r="L37" t="inlineStr">
        <is>
          <t>documents</t>
        </is>
      </c>
      <c r="M37" s="19" t="inlineStr">
        <is>
          <t>AS-99148</t>
        </is>
      </c>
      <c r="N37" t="inlineStr">
        <is>
          <t>https://drive.google.com/file/d/15FcdLXRiAC-fc5rJJ0HumhzpjebgySO2/view?usp=drivesdk</t>
        </is>
      </c>
    </row>
    <row r="38" ht="12" customHeight="1">
      <c r="A38" t="inlineStr">
        <is>
          <t>202602</t>
        </is>
      </c>
      <c r="B38" t="inlineStr">
        <is>
          <t>INC</t>
        </is>
      </c>
      <c r="C38" t="inlineStr">
        <is>
          <t>cogs</t>
        </is>
      </c>
      <c r="D38" t="inlineStr">
        <is>
          <t>manufacturing</t>
        </is>
      </c>
      <c r="E38" t="inlineStr">
        <is>
          <t>JONDO</t>
        </is>
      </c>
      <c r="F38" t="inlineStr">
        <is>
          <t>manufacturing</t>
        </is>
      </c>
      <c r="G38" s="4" t="n">
        <v>103.92</v>
      </c>
      <c r="H38" t="inlineStr">
        <is>
          <t>USD</t>
        </is>
      </c>
      <c r="I38" t="inlineStr">
        <is>
          <t>USD</t>
        </is>
      </c>
      <c r="J38" s="18" t="n">
        <v>1</v>
      </c>
      <c r="K38" s="4" t="n">
        <v>103.92</v>
      </c>
      <c r="L38" t="inlineStr">
        <is>
          <t>documents</t>
        </is>
      </c>
      <c r="M38" s="19" t="inlineStr">
        <is>
          <t>AS-99337</t>
        </is>
      </c>
      <c r="N38" t="inlineStr">
        <is>
          <t>https://drive.google.com/file/d/1qCQb7DfrhSMf1s5fBDZI6Cr38Ujt69gI/view?usp=drivesdk</t>
        </is>
      </c>
    </row>
    <row r="39" ht="12" customHeight="1">
      <c r="A39" t="inlineStr">
        <is>
          <t>202602</t>
        </is>
      </c>
      <c r="B39" t="inlineStr">
        <is>
          <t>INC</t>
        </is>
      </c>
      <c r="C39" t="inlineStr">
        <is>
          <t>cogs</t>
        </is>
      </c>
      <c r="D39" t="inlineStr">
        <is>
          <t>manufacturing</t>
        </is>
      </c>
      <c r="E39" t="inlineStr">
        <is>
          <t>JONDO</t>
        </is>
      </c>
      <c r="F39" t="inlineStr">
        <is>
          <t>manufacturing</t>
        </is>
      </c>
      <c r="G39" s="4" t="n">
        <v>201.05</v>
      </c>
      <c r="H39" t="inlineStr">
        <is>
          <t>USD</t>
        </is>
      </c>
      <c r="I39" t="inlineStr">
        <is>
          <t>USD</t>
        </is>
      </c>
      <c r="J39" s="18" t="n">
        <v>1</v>
      </c>
      <c r="K39" s="4" t="n">
        <v>201.05</v>
      </c>
      <c r="L39" t="inlineStr">
        <is>
          <t>documents</t>
        </is>
      </c>
      <c r="M39" s="19" t="inlineStr">
        <is>
          <t>AS-99436</t>
        </is>
      </c>
      <c r="N39" t="inlineStr">
        <is>
          <t>https://drive.google.com/file/d/16HigSV6-0JvXWtaIr0tm6I9tZmtUDVtP/view?usp=drivesdk</t>
        </is>
      </c>
    </row>
    <row r="40" ht="12" customHeight="1">
      <c r="A40" t="inlineStr">
        <is>
          <t>202602</t>
        </is>
      </c>
      <c r="B40" t="inlineStr">
        <is>
          <t>INC</t>
        </is>
      </c>
      <c r="C40" t="inlineStr">
        <is>
          <t>cogs</t>
        </is>
      </c>
      <c r="D40" t="inlineStr">
        <is>
          <t>manufacturing</t>
        </is>
      </c>
      <c r="E40" t="inlineStr">
        <is>
          <t>JONDO</t>
        </is>
      </c>
      <c r="F40" t="inlineStr">
        <is>
          <t>manufacturing</t>
        </is>
      </c>
      <c r="G40" s="4" t="n">
        <v>52</v>
      </c>
      <c r="H40" t="inlineStr">
        <is>
          <t>USD</t>
        </is>
      </c>
      <c r="I40" t="inlineStr">
        <is>
          <t>USD</t>
        </is>
      </c>
      <c r="J40" s="18" t="n">
        <v>1</v>
      </c>
      <c r="K40" s="4" t="n">
        <v>52</v>
      </c>
      <c r="L40" t="inlineStr">
        <is>
          <t>documents</t>
        </is>
      </c>
      <c r="M40" s="19" t="inlineStr">
        <is>
          <t>AS-99460</t>
        </is>
      </c>
      <c r="N40" t="inlineStr">
        <is>
          <t>https://drive.google.com/file/d/16TRaXUZMQYZeQPs1Vj3jmfRAukB4q81A/view?usp=drivesdk</t>
        </is>
      </c>
    </row>
    <row r="41" ht="12" customHeight="1">
      <c r="A41" t="inlineStr">
        <is>
          <t>202602</t>
        </is>
      </c>
      <c r="B41" t="inlineStr">
        <is>
          <t>INC</t>
        </is>
      </c>
      <c r="C41" t="inlineStr">
        <is>
          <t>cogs</t>
        </is>
      </c>
      <c r="D41" t="inlineStr">
        <is>
          <t>manufacturing</t>
        </is>
      </c>
      <c r="E41" t="inlineStr">
        <is>
          <t>JONDO</t>
        </is>
      </c>
      <c r="F41" t="inlineStr">
        <is>
          <t>manufacturing</t>
        </is>
      </c>
      <c r="G41" s="4" t="n">
        <v>81.58</v>
      </c>
      <c r="H41" t="inlineStr">
        <is>
          <t>USD</t>
        </is>
      </c>
      <c r="I41" t="inlineStr">
        <is>
          <t>USD</t>
        </is>
      </c>
      <c r="J41" s="18" t="n">
        <v>1</v>
      </c>
      <c r="K41" s="4" t="n">
        <v>81.58</v>
      </c>
      <c r="L41" t="inlineStr">
        <is>
          <t>documents</t>
        </is>
      </c>
      <c r="M41" s="19" t="inlineStr">
        <is>
          <t>AS-99461</t>
        </is>
      </c>
      <c r="N41" t="inlineStr">
        <is>
          <t>https://drive.google.com/file/d/1oQJmNDemN2VYUTX6QTYyicXd9Jd_sfP9/view?usp=drivesdk</t>
        </is>
      </c>
    </row>
    <row r="42" ht="12" customHeight="1">
      <c r="A42" t="inlineStr">
        <is>
          <t>202602</t>
        </is>
      </c>
      <c r="B42" t="inlineStr">
        <is>
          <t>INC</t>
        </is>
      </c>
      <c r="C42" t="inlineStr">
        <is>
          <t>cogs</t>
        </is>
      </c>
      <c r="D42" t="inlineStr">
        <is>
          <t>manufacturing</t>
        </is>
      </c>
      <c r="E42" t="inlineStr">
        <is>
          <t>JONDO</t>
        </is>
      </c>
      <c r="F42" t="inlineStr">
        <is>
          <t>manufacturing</t>
        </is>
      </c>
      <c r="G42" s="4" t="n">
        <v>66.73</v>
      </c>
      <c r="H42" t="inlineStr">
        <is>
          <t>USD</t>
        </is>
      </c>
      <c r="I42" t="inlineStr">
        <is>
          <t>USD</t>
        </is>
      </c>
      <c r="J42" s="18" t="n">
        <v>1</v>
      </c>
      <c r="K42" s="4" t="n">
        <v>66.73</v>
      </c>
      <c r="L42" t="inlineStr">
        <is>
          <t>documents</t>
        </is>
      </c>
      <c r="M42" s="19" t="inlineStr">
        <is>
          <t>AS-99636</t>
        </is>
      </c>
      <c r="N42" t="inlineStr">
        <is>
          <t>https://drive.google.com/file/d/1-cHfa02zhjklsbE1q-cLpj5dZxl0FAh1/view?usp=drivesdk</t>
        </is>
      </c>
    </row>
    <row r="43" ht="12" customHeight="1">
      <c r="A43" t="inlineStr">
        <is>
          <t>202602</t>
        </is>
      </c>
      <c r="B43" t="inlineStr">
        <is>
          <t>INC</t>
        </is>
      </c>
      <c r="C43" t="inlineStr">
        <is>
          <t>cogs</t>
        </is>
      </c>
      <c r="D43" t="inlineStr">
        <is>
          <t>manufacturing</t>
        </is>
      </c>
      <c r="E43" t="inlineStr">
        <is>
          <t>JONDO</t>
        </is>
      </c>
      <c r="F43" t="inlineStr">
        <is>
          <t>manufacturing</t>
        </is>
      </c>
      <c r="G43" s="4" t="n">
        <v>25.5</v>
      </c>
      <c r="H43" t="inlineStr">
        <is>
          <t>USD</t>
        </is>
      </c>
      <c r="I43" t="inlineStr">
        <is>
          <t>USD</t>
        </is>
      </c>
      <c r="J43" s="18" t="n">
        <v>1</v>
      </c>
      <c r="K43" s="4" t="n">
        <v>25.5</v>
      </c>
      <c r="L43" t="inlineStr">
        <is>
          <t>documents</t>
        </is>
      </c>
      <c r="M43" s="19" t="inlineStr">
        <is>
          <t>AS-99795</t>
        </is>
      </c>
      <c r="N43" t="inlineStr">
        <is>
          <t>https://drive.google.com/file/d/1u1gkkYGB0B7zP2eCx87KEw2V5LsGNihA/view?usp=drivesdk</t>
        </is>
      </c>
    </row>
    <row r="44" ht="12" customHeight="1">
      <c r="A44" t="inlineStr">
        <is>
          <t>202602</t>
        </is>
      </c>
      <c r="B44" t="inlineStr">
        <is>
          <t>INC</t>
        </is>
      </c>
      <c r="C44" t="inlineStr">
        <is>
          <t>opex</t>
        </is>
      </c>
      <c r="D44" t="inlineStr">
        <is>
          <t>administration</t>
        </is>
      </c>
      <c r="E44" t="inlineStr">
        <is>
          <t>QUICKBOOKS</t>
        </is>
      </c>
      <c r="F44" t="inlineStr">
        <is>
          <t>invoice</t>
        </is>
      </c>
      <c r="G44" s="4" t="n">
        <v>121.9</v>
      </c>
      <c r="H44" t="inlineStr">
        <is>
          <t>USD</t>
        </is>
      </c>
      <c r="I44" t="inlineStr">
        <is>
          <t>USD</t>
        </is>
      </c>
      <c r="J44" s="18" t="n">
        <v>1</v>
      </c>
      <c r="K44" s="4" t="n">
        <v>121.9</v>
      </c>
      <c r="L44" t="inlineStr">
        <is>
          <t>documents</t>
        </is>
      </c>
      <c r="M44" s="19" t="inlineStr">
        <is>
          <t>10001466838914</t>
        </is>
      </c>
      <c r="N44" t="inlineStr">
        <is>
          <t>https://drive.google.com/file/d/1iQV7Ay6VzQkBn1F-2LKdlzE6SlYah9nh/view?usp=drivesdk</t>
        </is>
      </c>
    </row>
    <row r="45" ht="12" customHeight="1">
      <c r="A45" t="inlineStr">
        <is>
          <t>202602</t>
        </is>
      </c>
      <c r="B45" t="inlineStr">
        <is>
          <t>INC</t>
        </is>
      </c>
      <c r="C45" t="inlineStr">
        <is>
          <t>opex</t>
        </is>
      </c>
      <c r="D45" t="inlineStr">
        <is>
          <t>administration</t>
        </is>
      </c>
      <c r="E45" t="inlineStr">
        <is>
          <t>REGUS</t>
        </is>
      </c>
      <c r="F45" t="inlineStr">
        <is>
          <t>invoice</t>
        </is>
      </c>
      <c r="G45" s="4" t="n">
        <v>31.8</v>
      </c>
      <c r="H45" t="inlineStr">
        <is>
          <t>USD</t>
        </is>
      </c>
      <c r="I45" t="inlineStr">
        <is>
          <t>USD</t>
        </is>
      </c>
      <c r="J45" s="18" t="n">
        <v>1</v>
      </c>
      <c r="K45" s="4" t="n">
        <v>31.8</v>
      </c>
      <c r="L45" t="inlineStr">
        <is>
          <t>documents</t>
        </is>
      </c>
      <c r="M45" s="19" t="inlineStr">
        <is>
          <t>3313-43718</t>
        </is>
      </c>
      <c r="N45" t="inlineStr">
        <is>
          <t>https://drive.google.com/file/d/1NS01lvut_GaX32JXr0pbMFEHm2VsNjei/view?usp=drivesdk</t>
        </is>
      </c>
    </row>
    <row r="46" ht="12" customHeight="1">
      <c r="A46" t="inlineStr">
        <is>
          <t>202602</t>
        </is>
      </c>
      <c r="B46" t="inlineStr">
        <is>
          <t>INC</t>
        </is>
      </c>
      <c r="C46" t="inlineStr">
        <is>
          <t>opex</t>
        </is>
      </c>
      <c r="D46" t="inlineStr">
        <is>
          <t>shared_services</t>
        </is>
      </c>
      <c r="E46" t="inlineStr">
        <is>
          <t>SHAREDSERVICESSL</t>
        </is>
      </c>
      <c r="F46" t="inlineStr">
        <is>
          <t>invoice</t>
        </is>
      </c>
      <c r="G46" s="4" t="n">
        <v>8462.360000000001</v>
      </c>
      <c r="H46" t="inlineStr">
        <is>
          <t>EUR</t>
        </is>
      </c>
      <c r="I46" t="inlineStr">
        <is>
          <t>USD</t>
        </is>
      </c>
      <c r="J46" s="18" t="n">
        <v>1.1805</v>
      </c>
      <c r="K46" s="4" t="n">
        <v>9989.82</v>
      </c>
      <c r="L46" t="inlineStr">
        <is>
          <t>documents</t>
        </is>
      </c>
      <c r="M46" s="19" t="inlineStr">
        <is>
          <t>2026-0014</t>
        </is>
      </c>
      <c r="N46" t="inlineStr">
        <is>
          <t>https://drive.google.com/file/d/1rlqcAuJUaWxt0Udjbpq3E6fP_lfRq58_/view?usp=drivesdk</t>
        </is>
      </c>
    </row>
    <row r="47" ht="12" customHeight="1">
      <c r="A47" t="inlineStr">
        <is>
          <t>202602</t>
        </is>
      </c>
      <c r="B47" t="inlineStr">
        <is>
          <t>INC</t>
        </is>
      </c>
      <c r="C47" t="inlineStr">
        <is>
          <t>cogs</t>
        </is>
      </c>
      <c r="D47" t="inlineStr">
        <is>
          <t>logistics</t>
        </is>
      </c>
      <c r="E47" t="inlineStr">
        <is>
          <t>TGI</t>
        </is>
      </c>
      <c r="F47" t="inlineStr">
        <is>
          <t>logistics</t>
        </is>
      </c>
      <c r="G47" s="4" t="n">
        <v>4445.62</v>
      </c>
      <c r="H47" t="inlineStr">
        <is>
          <t>USD</t>
        </is>
      </c>
      <c r="I47" t="inlineStr">
        <is>
          <t>USD</t>
        </is>
      </c>
      <c r="J47" s="18" t="n">
        <v>1</v>
      </c>
      <c r="K47" s="4" t="n">
        <v>4445.62</v>
      </c>
      <c r="L47" t="inlineStr">
        <is>
          <t>documents</t>
        </is>
      </c>
      <c r="M47" s="19" t="inlineStr">
        <is>
          <t>171420</t>
        </is>
      </c>
      <c r="N47" t="inlineStr">
        <is>
          <t>https://drive.google.com/file/d/1InywJ9PnYh3UCqxE9lRE2PWmjWaBcmnD/view?usp=drivesdk</t>
        </is>
      </c>
    </row>
    <row r="48" ht="12" customHeight="1">
      <c r="A48" t="inlineStr">
        <is>
          <t>202602</t>
        </is>
      </c>
      <c r="B48" t="inlineStr">
        <is>
          <t>INC</t>
        </is>
      </c>
      <c r="C48" t="inlineStr">
        <is>
          <t>cogs</t>
        </is>
      </c>
      <c r="D48" t="inlineStr">
        <is>
          <t>manufacturing</t>
        </is>
      </c>
      <c r="E48" t="inlineStr">
        <is>
          <t>TGI</t>
        </is>
      </c>
      <c r="F48" t="inlineStr">
        <is>
          <t>manufacturing</t>
        </is>
      </c>
      <c r="G48" s="4" t="n">
        <v>2616.28</v>
      </c>
      <c r="H48" t="inlineStr">
        <is>
          <t>USD</t>
        </is>
      </c>
      <c r="I48" t="inlineStr">
        <is>
          <t>USD</t>
        </is>
      </c>
      <c r="J48" s="18" t="n">
        <v>1</v>
      </c>
      <c r="K48" s="4" t="n">
        <v>2616.28</v>
      </c>
      <c r="L48" t="inlineStr">
        <is>
          <t>documents</t>
        </is>
      </c>
      <c r="M48" s="19" t="inlineStr">
        <is>
          <t>171421</t>
        </is>
      </c>
      <c r="N48" t="inlineStr">
        <is>
          <t>https://drive.google.com/file/d/1PO_RD2CHNRNOEBltczl9fkFpwCsNwxPc/view?usp=drivesdk</t>
        </is>
      </c>
    </row>
    <row r="49" ht="12" customHeight="1">
      <c r="A49" t="inlineStr">
        <is>
          <t>202603</t>
        </is>
      </c>
      <c r="B49" t="inlineStr">
        <is>
          <t>INC</t>
        </is>
      </c>
      <c r="C49" t="inlineStr">
        <is>
          <t>opex</t>
        </is>
      </c>
      <c r="D49" t="inlineStr">
        <is>
          <t>administration</t>
        </is>
      </c>
      <c r="E49" t="inlineStr">
        <is>
          <t>CONTINUUM</t>
        </is>
      </c>
      <c r="F49" t="inlineStr">
        <is>
          <t>invoice</t>
        </is>
      </c>
      <c r="G49" s="4" t="n">
        <v>1150</v>
      </c>
      <c r="H49" t="inlineStr">
        <is>
          <t>USD</t>
        </is>
      </c>
      <c r="I49" t="inlineStr">
        <is>
          <t>USD</t>
        </is>
      </c>
      <c r="J49" s="18" t="n">
        <v>1</v>
      </c>
      <c r="K49" s="4" t="n">
        <v>1150</v>
      </c>
      <c r="L49" t="inlineStr">
        <is>
          <t>documents</t>
        </is>
      </c>
      <c r="M49" s="19" t="inlineStr">
        <is>
          <t>1253</t>
        </is>
      </c>
      <c r="N49" t="inlineStr">
        <is>
          <t>https://drive.google.com/file/d/10g4rvQi3froy77rnSdW_9mo36rDSW1U2/view?usp=drivesdk</t>
        </is>
      </c>
    </row>
    <row r="50" ht="12" customHeight="1">
      <c r="A50" t="inlineStr">
        <is>
          <t>202603</t>
        </is>
      </c>
      <c r="B50" t="inlineStr">
        <is>
          <t>INC</t>
        </is>
      </c>
      <c r="C50" t="inlineStr">
        <is>
          <t>opex</t>
        </is>
      </c>
      <c r="D50" t="inlineStr">
        <is>
          <t>administration</t>
        </is>
      </c>
      <c r="E50" t="inlineStr">
        <is>
          <t>DELAWARE</t>
        </is>
      </c>
      <c r="F50" t="inlineStr">
        <is>
          <t>invoice</t>
        </is>
      </c>
      <c r="G50" s="4" t="n">
        <v>49</v>
      </c>
      <c r="H50" t="inlineStr">
        <is>
          <t>USD</t>
        </is>
      </c>
      <c r="I50" t="inlineStr">
        <is>
          <t>USD</t>
        </is>
      </c>
      <c r="J50" s="18" t="n">
        <v>1</v>
      </c>
      <c r="K50" s="4" t="n">
        <v>49</v>
      </c>
      <c r="L50" t="inlineStr">
        <is>
          <t>documents</t>
        </is>
      </c>
      <c r="M50" s="19" t="inlineStr">
        <is>
          <t>29482W6G</t>
        </is>
      </c>
      <c r="N50" t="inlineStr">
        <is>
          <t>https://drive.google.com/file/d/1napS_w2Xc41F-WTfdiiWHEUr-QA9PNbd/view?usp=drivesdk</t>
        </is>
      </c>
    </row>
    <row r="51" ht="12" customHeight="1">
      <c r="A51" t="inlineStr">
        <is>
          <t>202603</t>
        </is>
      </c>
      <c r="B51" t="inlineStr">
        <is>
          <t>INC</t>
        </is>
      </c>
      <c r="C51" t="inlineStr">
        <is>
          <t>opex</t>
        </is>
      </c>
      <c r="D51" t="inlineStr">
        <is>
          <t>administration</t>
        </is>
      </c>
      <c r="E51" t="inlineStr">
        <is>
          <t>DELAWARE</t>
        </is>
      </c>
      <c r="F51" t="inlineStr">
        <is>
          <t>invoice</t>
        </is>
      </c>
      <c r="G51" s="4" t="n">
        <v>99</v>
      </c>
      <c r="H51" t="inlineStr">
        <is>
          <t>USD</t>
        </is>
      </c>
      <c r="I51" t="inlineStr">
        <is>
          <t>USD</t>
        </is>
      </c>
      <c r="J51" s="18" t="n">
        <v>1</v>
      </c>
      <c r="K51" s="4" t="n">
        <v>99</v>
      </c>
      <c r="L51" t="inlineStr">
        <is>
          <t>documents</t>
        </is>
      </c>
      <c r="M51" s="19" t="inlineStr">
        <is>
          <t>6FF58AC</t>
        </is>
      </c>
      <c r="N51" t="inlineStr">
        <is>
          <t>https://drive.google.com/file/d/1b3lRk0uvFhmBHXBXSVqk0Z_qtSygPXDE/view</t>
        </is>
      </c>
    </row>
    <row r="52" ht="12" customHeight="1">
      <c r="A52" t="inlineStr">
        <is>
          <t>202603</t>
        </is>
      </c>
      <c r="B52" t="inlineStr">
        <is>
          <t>INC</t>
        </is>
      </c>
      <c r="C52" t="inlineStr">
        <is>
          <t>opex</t>
        </is>
      </c>
      <c r="D52" t="inlineStr">
        <is>
          <t>administration</t>
        </is>
      </c>
      <c r="E52" t="inlineStr">
        <is>
          <t>HUSHED</t>
        </is>
      </c>
      <c r="F52" t="inlineStr">
        <is>
          <t>invoice</t>
        </is>
      </c>
      <c r="G52" s="4" t="n">
        <v>4.99</v>
      </c>
      <c r="H52" t="inlineStr">
        <is>
          <t>USD</t>
        </is>
      </c>
      <c r="I52" t="inlineStr">
        <is>
          <t>USD</t>
        </is>
      </c>
      <c r="J52" s="18" t="n">
        <v>1</v>
      </c>
      <c r="K52" s="4" t="n">
        <v>4.99</v>
      </c>
      <c r="L52" t="inlineStr">
        <is>
          <t>documents</t>
        </is>
      </c>
      <c r="M52" s="19" t="inlineStr">
        <is>
          <t>2262-7837</t>
        </is>
      </c>
      <c r="N52" t="inlineStr">
        <is>
          <t>https://drive.google.com/file/d/176yfc70ezTIGdi4KorC09_glKVNPgXHX/view?usp=drivesdk</t>
        </is>
      </c>
    </row>
    <row r="53" ht="12" customHeight="1">
      <c r="A53" t="inlineStr">
        <is>
          <t>202603</t>
        </is>
      </c>
      <c r="B53" t="inlineStr">
        <is>
          <t>INC</t>
        </is>
      </c>
      <c r="C53" t="inlineStr">
        <is>
          <t>opex</t>
        </is>
      </c>
      <c r="D53" t="inlineStr">
        <is>
          <t>administration</t>
        </is>
      </c>
      <c r="E53" t="inlineStr">
        <is>
          <t>IPOSTAL</t>
        </is>
      </c>
      <c r="F53" t="inlineStr">
        <is>
          <t>invoice</t>
        </is>
      </c>
      <c r="G53" s="4" t="n">
        <v>14.99</v>
      </c>
      <c r="H53" t="inlineStr">
        <is>
          <t>USD</t>
        </is>
      </c>
      <c r="I53" t="inlineStr">
        <is>
          <t>USD</t>
        </is>
      </c>
      <c r="J53" s="18" t="n">
        <v>1</v>
      </c>
      <c r="K53" s="4" t="n">
        <v>14.99</v>
      </c>
      <c r="L53" t="inlineStr">
        <is>
          <t>documents</t>
        </is>
      </c>
      <c r="M53" s="19" t="inlineStr">
        <is>
          <t>35894810</t>
        </is>
      </c>
      <c r="N53" t="inlineStr">
        <is>
          <t>https://drive.google.com/file/d/1yIsmWVg1oRuboG-zbYrLUho04HzIiIyK/view?usp=drivesdk</t>
        </is>
      </c>
    </row>
    <row r="54" ht="12" customHeight="1">
      <c r="A54" t="inlineStr">
        <is>
          <t>202603</t>
        </is>
      </c>
      <c r="B54" t="inlineStr">
        <is>
          <t>INC</t>
        </is>
      </c>
      <c r="C54" t="inlineStr">
        <is>
          <t>opex</t>
        </is>
      </c>
      <c r="D54" t="inlineStr">
        <is>
          <t>administration</t>
        </is>
      </c>
      <c r="E54" t="inlineStr">
        <is>
          <t>IPOSTAL</t>
        </is>
      </c>
      <c r="F54" t="inlineStr">
        <is>
          <t>invoice</t>
        </is>
      </c>
      <c r="G54" s="4" t="n">
        <v>1.1</v>
      </c>
      <c r="H54" t="inlineStr">
        <is>
          <t>USD</t>
        </is>
      </c>
      <c r="I54" t="inlineStr">
        <is>
          <t>USD</t>
        </is>
      </c>
      <c r="J54" s="18" t="n">
        <v>1</v>
      </c>
      <c r="K54" s="4" t="n">
        <v>1.1</v>
      </c>
      <c r="L54" t="inlineStr">
        <is>
          <t>documents</t>
        </is>
      </c>
      <c r="M54" s="19" t="inlineStr">
        <is>
          <t>35920058</t>
        </is>
      </c>
      <c r="N54" t="inlineStr">
        <is>
          <t>https://drive.google.com/file/d/1wXV9fWvwxyEBQq62-UJe49I7S0KXvaSG/view?usp=drivesdk</t>
        </is>
      </c>
    </row>
    <row r="55" ht="12" customHeight="1">
      <c r="A55" t="inlineStr">
        <is>
          <t>202603</t>
        </is>
      </c>
      <c r="B55" t="inlineStr">
        <is>
          <t>INC</t>
        </is>
      </c>
      <c r="C55" t="inlineStr">
        <is>
          <t>opex</t>
        </is>
      </c>
      <c r="D55" t="inlineStr">
        <is>
          <t>administration</t>
        </is>
      </c>
      <c r="E55" t="inlineStr">
        <is>
          <t>IPOSTAL</t>
        </is>
      </c>
      <c r="F55" t="inlineStr">
        <is>
          <t>invoice</t>
        </is>
      </c>
      <c r="G55" s="4" t="n">
        <v>1.1</v>
      </c>
      <c r="H55" t="inlineStr">
        <is>
          <t>USD</t>
        </is>
      </c>
      <c r="I55" t="inlineStr">
        <is>
          <t>USD</t>
        </is>
      </c>
      <c r="J55" s="18" t="n">
        <v>1</v>
      </c>
      <c r="K55" s="4" t="n">
        <v>1.1</v>
      </c>
      <c r="L55" t="inlineStr">
        <is>
          <t>documents</t>
        </is>
      </c>
      <c r="M55" s="19" t="inlineStr">
        <is>
          <t>36093781</t>
        </is>
      </c>
      <c r="N55" t="inlineStr">
        <is>
          <t>https://drive.google.com/file/d/12HKshlwi77vzpCgTTirEXD-MZNuhFA-c/view?usp=drivesdk</t>
        </is>
      </c>
    </row>
    <row r="56" ht="12" customHeight="1">
      <c r="A56" t="inlineStr">
        <is>
          <t>202603</t>
        </is>
      </c>
      <c r="B56" t="inlineStr">
        <is>
          <t>INC</t>
        </is>
      </c>
      <c r="C56" t="inlineStr">
        <is>
          <t>opex</t>
        </is>
      </c>
      <c r="D56" t="inlineStr">
        <is>
          <t>administration</t>
        </is>
      </c>
      <c r="E56" t="inlineStr">
        <is>
          <t>IPOSTAL</t>
        </is>
      </c>
      <c r="F56" t="inlineStr">
        <is>
          <t>invoice</t>
        </is>
      </c>
      <c r="G56" s="4" t="n">
        <v>3.3</v>
      </c>
      <c r="H56" t="inlineStr">
        <is>
          <t>USD</t>
        </is>
      </c>
      <c r="I56" t="inlineStr">
        <is>
          <t>USD</t>
        </is>
      </c>
      <c r="J56" s="18" t="n">
        <v>1</v>
      </c>
      <c r="K56" s="4" t="n">
        <v>3.3</v>
      </c>
      <c r="L56" t="inlineStr">
        <is>
          <t>documents</t>
        </is>
      </c>
      <c r="M56" s="19" t="inlineStr">
        <is>
          <t>36265975</t>
        </is>
      </c>
      <c r="N56" t="inlineStr">
        <is>
          <t>https://drive.google.com/file/d/1LmADNjxt37qcWuUuhWGuUTAjIyKHA5TN/view?usp=drivesdk</t>
        </is>
      </c>
    </row>
    <row r="57" ht="12" customHeight="1">
      <c r="A57" t="inlineStr">
        <is>
          <t>202603</t>
        </is>
      </c>
      <c r="B57" t="inlineStr">
        <is>
          <t>INC</t>
        </is>
      </c>
      <c r="C57" t="inlineStr">
        <is>
          <t>opex</t>
        </is>
      </c>
      <c r="D57" t="inlineStr">
        <is>
          <t>administration</t>
        </is>
      </c>
      <c r="E57" t="inlineStr">
        <is>
          <t>IPOSTAL</t>
        </is>
      </c>
      <c r="F57" t="inlineStr">
        <is>
          <t>invoice</t>
        </is>
      </c>
      <c r="G57" s="4" t="n">
        <v>3.3</v>
      </c>
      <c r="H57" t="inlineStr">
        <is>
          <t>USD</t>
        </is>
      </c>
      <c r="I57" t="inlineStr">
        <is>
          <t>USD</t>
        </is>
      </c>
      <c r="J57" s="18" t="n">
        <v>1</v>
      </c>
      <c r="K57" s="4" t="n">
        <v>3.3</v>
      </c>
      <c r="L57" t="inlineStr">
        <is>
          <t>documents</t>
        </is>
      </c>
      <c r="M57" s="19" t="inlineStr">
        <is>
          <t>36427002</t>
        </is>
      </c>
      <c r="N57" t="inlineStr">
        <is>
          <t>https://drive.google.com/file/d/1T9KWZxBKxvW0g6TR87InMH1N6L7fKbK-/view?usp=drivesdk</t>
        </is>
      </c>
    </row>
    <row r="58" ht="12" customHeight="1">
      <c r="A58" t="inlineStr">
        <is>
          <t>202603</t>
        </is>
      </c>
      <c r="B58" t="inlineStr">
        <is>
          <t>INC</t>
        </is>
      </c>
      <c r="C58" t="inlineStr">
        <is>
          <t>opex</t>
        </is>
      </c>
      <c r="D58" t="inlineStr">
        <is>
          <t>administration</t>
        </is>
      </c>
      <c r="E58" t="inlineStr">
        <is>
          <t>IPOSTAL</t>
        </is>
      </c>
      <c r="F58" t="inlineStr">
        <is>
          <t>invoice</t>
        </is>
      </c>
      <c r="G58" s="4" t="n">
        <v>10</v>
      </c>
      <c r="H58" t="inlineStr">
        <is>
          <t>USD</t>
        </is>
      </c>
      <c r="I58" t="inlineStr">
        <is>
          <t>USD</t>
        </is>
      </c>
      <c r="J58" s="18" t="n">
        <v>1</v>
      </c>
      <c r="K58" s="4" t="n">
        <v>10</v>
      </c>
      <c r="L58" t="inlineStr">
        <is>
          <t>documents</t>
        </is>
      </c>
      <c r="M58" s="19" t="inlineStr">
        <is>
          <t>36541238</t>
        </is>
      </c>
      <c r="N58" t="inlineStr">
        <is>
          <t>https://drive.google.com/file/d/1q2P_FQTEKlc2oi9V12k0V2g4Ly8j4pcm/view?usp=drivesdk</t>
        </is>
      </c>
    </row>
    <row r="59" ht="12" customHeight="1">
      <c r="A59" t="inlineStr">
        <is>
          <t>202603</t>
        </is>
      </c>
      <c r="B59" t="inlineStr">
        <is>
          <t>INC</t>
        </is>
      </c>
      <c r="C59" t="inlineStr">
        <is>
          <t>opex</t>
        </is>
      </c>
      <c r="D59" t="inlineStr">
        <is>
          <t>administration</t>
        </is>
      </c>
      <c r="E59" t="inlineStr">
        <is>
          <t>IPOSTAL</t>
        </is>
      </c>
      <c r="F59" t="inlineStr">
        <is>
          <t>invoice</t>
        </is>
      </c>
      <c r="G59" s="4" t="n">
        <v>14.99</v>
      </c>
      <c r="H59" t="inlineStr">
        <is>
          <t>USD</t>
        </is>
      </c>
      <c r="I59" t="inlineStr">
        <is>
          <t>USD</t>
        </is>
      </c>
      <c r="J59" s="18" t="n">
        <v>1</v>
      </c>
      <c r="K59" s="4" t="n">
        <v>14.99</v>
      </c>
      <c r="L59" t="inlineStr">
        <is>
          <t>documents</t>
        </is>
      </c>
      <c r="M59" s="19" t="inlineStr">
        <is>
          <t>36584953</t>
        </is>
      </c>
      <c r="N59" t="inlineStr">
        <is>
          <t>https://drive.google.com/file/d/1qtaz8f1JVhjTszda1jSXMoHUhdimgxN4/view?usp=drivesdk</t>
        </is>
      </c>
    </row>
    <row r="60" ht="12" customHeight="1">
      <c r="A60" t="inlineStr">
        <is>
          <t>202603</t>
        </is>
      </c>
      <c r="B60" t="inlineStr">
        <is>
          <t>INC</t>
        </is>
      </c>
      <c r="C60" t="inlineStr">
        <is>
          <t>opex</t>
        </is>
      </c>
      <c r="D60" t="inlineStr">
        <is>
          <t>administration</t>
        </is>
      </c>
      <c r="E60" t="inlineStr">
        <is>
          <t>IPOSTAL</t>
        </is>
      </c>
      <c r="F60" t="inlineStr">
        <is>
          <t>invoice</t>
        </is>
      </c>
      <c r="G60" s="4" t="n">
        <v>1.1</v>
      </c>
      <c r="H60" t="inlineStr">
        <is>
          <t>USD</t>
        </is>
      </c>
      <c r="I60" t="inlineStr">
        <is>
          <t>USD</t>
        </is>
      </c>
      <c r="J60" s="18" t="n">
        <v>1</v>
      </c>
      <c r="K60" s="4" t="n">
        <v>1.1</v>
      </c>
      <c r="L60" t="inlineStr">
        <is>
          <t>documents</t>
        </is>
      </c>
      <c r="M60" s="19" t="inlineStr">
        <is>
          <t>36600953</t>
        </is>
      </c>
      <c r="N60" t="inlineStr">
        <is>
          <t>https://drive.google.com/file/d/148hQ1ctHcLYbkGm3jEcIflExnc5ngCjE/view?usp=drivesdk</t>
        </is>
      </c>
    </row>
    <row r="61" ht="12" customHeight="1">
      <c r="A61" t="inlineStr">
        <is>
          <t>202603</t>
        </is>
      </c>
      <c r="B61" t="inlineStr">
        <is>
          <t>INC</t>
        </is>
      </c>
      <c r="C61" t="inlineStr">
        <is>
          <t>cogs</t>
        </is>
      </c>
      <c r="D61" t="inlineStr">
        <is>
          <t>manufacturing</t>
        </is>
      </c>
      <c r="E61" t="inlineStr">
        <is>
          <t>JONDO</t>
        </is>
      </c>
      <c r="F61" t="inlineStr">
        <is>
          <t>invoice</t>
        </is>
      </c>
      <c r="G61" s="4" t="n">
        <v>51.24</v>
      </c>
      <c r="H61" t="inlineStr">
        <is>
          <t>USD</t>
        </is>
      </c>
      <c r="I61" t="inlineStr">
        <is>
          <t>USD</t>
        </is>
      </c>
      <c r="J61" s="18" t="n">
        <v>1</v>
      </c>
      <c r="K61" s="4" t="n">
        <v>51.24</v>
      </c>
      <c r="L61" t="inlineStr">
        <is>
          <t>documents</t>
        </is>
      </c>
      <c r="M61" s="19" t="inlineStr">
        <is>
          <t>AS-100001</t>
        </is>
      </c>
      <c r="N61" t="inlineStr">
        <is>
          <t>https://drive.google.com/file/d/1R0UDJ1fU0jyIr6k39RjCTcQLgDGhaZkb/view?usp=drivesdk</t>
        </is>
      </c>
    </row>
    <row r="62" ht="12" customHeight="1">
      <c r="A62" t="inlineStr">
        <is>
          <t>202603</t>
        </is>
      </c>
      <c r="B62" t="inlineStr">
        <is>
          <t>INC</t>
        </is>
      </c>
      <c r="C62" t="inlineStr">
        <is>
          <t>cogs</t>
        </is>
      </c>
      <c r="D62" t="inlineStr">
        <is>
          <t>manufacturing</t>
        </is>
      </c>
      <c r="E62" t="inlineStr">
        <is>
          <t>JONDO</t>
        </is>
      </c>
      <c r="F62" t="inlineStr">
        <is>
          <t>manufacturing</t>
        </is>
      </c>
      <c r="G62" s="4" t="n">
        <v>105.64</v>
      </c>
      <c r="H62" t="inlineStr">
        <is>
          <t>USD</t>
        </is>
      </c>
      <c r="I62" t="inlineStr">
        <is>
          <t>USD</t>
        </is>
      </c>
      <c r="J62" s="18" t="n">
        <v>1</v>
      </c>
      <c r="K62" s="4" t="n">
        <v>105.64</v>
      </c>
      <c r="L62" t="inlineStr">
        <is>
          <t>documents</t>
        </is>
      </c>
      <c r="M62" s="19" t="inlineStr">
        <is>
          <t>AS-100189</t>
        </is>
      </c>
      <c r="N62" t="inlineStr">
        <is>
          <t>https://drive.google.com/file/d/1TYtEUECTDsFNrsj6k4o7ceUycXUJdVfz/view?usp=drivesdk</t>
        </is>
      </c>
    </row>
    <row r="63" ht="12" customHeight="1">
      <c r="A63" t="inlineStr">
        <is>
          <t>202603</t>
        </is>
      </c>
      <c r="B63" t="inlineStr">
        <is>
          <t>INC</t>
        </is>
      </c>
      <c r="C63" t="inlineStr">
        <is>
          <t>cogs</t>
        </is>
      </c>
      <c r="D63" t="inlineStr">
        <is>
          <t>manufacturing</t>
        </is>
      </c>
      <c r="E63" t="inlineStr">
        <is>
          <t>JONDO</t>
        </is>
      </c>
      <c r="F63" t="inlineStr">
        <is>
          <t>manufacturing</t>
        </is>
      </c>
      <c r="G63" s="4" t="n">
        <v>41.81</v>
      </c>
      <c r="H63" t="inlineStr">
        <is>
          <t>USD</t>
        </is>
      </c>
      <c r="I63" t="inlineStr">
        <is>
          <t>USD</t>
        </is>
      </c>
      <c r="J63" s="18" t="n">
        <v>1</v>
      </c>
      <c r="K63" s="4" t="n">
        <v>41.81</v>
      </c>
      <c r="L63" t="inlineStr">
        <is>
          <t>documents</t>
        </is>
      </c>
      <c r="M63" s="19" t="inlineStr">
        <is>
          <t>AS-100208</t>
        </is>
      </c>
      <c r="N63" t="inlineStr">
        <is>
          <t>https://drive.google.com/file/d/1RPIi58UZHvF1QZ2EWIPyyeAqJT4KuHpe/view?usp=drivesdk</t>
        </is>
      </c>
    </row>
    <row r="64" ht="12" customHeight="1">
      <c r="A64" t="inlineStr">
        <is>
          <t>202603</t>
        </is>
      </c>
      <c r="B64" t="inlineStr">
        <is>
          <t>INC</t>
        </is>
      </c>
      <c r="C64" t="inlineStr">
        <is>
          <t>cogs</t>
        </is>
      </c>
      <c r="D64" t="inlineStr">
        <is>
          <t>manufacturing</t>
        </is>
      </c>
      <c r="E64" t="inlineStr">
        <is>
          <t>JONDO</t>
        </is>
      </c>
      <c r="F64" t="inlineStr">
        <is>
          <t>manufacturing</t>
        </is>
      </c>
      <c r="G64" s="4" t="n">
        <v>52.86</v>
      </c>
      <c r="H64" t="inlineStr">
        <is>
          <t>USD</t>
        </is>
      </c>
      <c r="I64" t="inlineStr">
        <is>
          <t>USD</t>
        </is>
      </c>
      <c r="J64" s="18" t="n">
        <v>1</v>
      </c>
      <c r="K64" s="4" t="n">
        <v>52.86</v>
      </c>
      <c r="L64" t="inlineStr">
        <is>
          <t>documents</t>
        </is>
      </c>
      <c r="M64" s="19" t="inlineStr">
        <is>
          <t>AS-100505</t>
        </is>
      </c>
      <c r="N64" t="inlineStr">
        <is>
          <t>https://drive.google.com/file/d/1zpf3eQjrD-VvbFJf4oilNyE8LTzx-Mkz/view?usp=drivesdk</t>
        </is>
      </c>
    </row>
    <row r="65" ht="12" customHeight="1">
      <c r="A65" t="inlineStr">
        <is>
          <t>202603</t>
        </is>
      </c>
      <c r="B65" t="inlineStr">
        <is>
          <t>INC</t>
        </is>
      </c>
      <c r="C65" t="inlineStr">
        <is>
          <t>cogs</t>
        </is>
      </c>
      <c r="D65" t="inlineStr">
        <is>
          <t>manufacturing</t>
        </is>
      </c>
      <c r="E65" t="inlineStr">
        <is>
          <t>JONDO</t>
        </is>
      </c>
      <c r="F65" t="inlineStr">
        <is>
          <t>manufacturing</t>
        </is>
      </c>
      <c r="G65" s="4" t="n">
        <v>61.22</v>
      </c>
      <c r="H65" t="inlineStr">
        <is>
          <t>USD</t>
        </is>
      </c>
      <c r="I65" t="inlineStr">
        <is>
          <t>USD</t>
        </is>
      </c>
      <c r="J65" s="18" t="n">
        <v>1</v>
      </c>
      <c r="K65" s="4" t="n">
        <v>61.22</v>
      </c>
      <c r="L65" t="inlineStr">
        <is>
          <t>documents</t>
        </is>
      </c>
      <c r="M65" s="19" t="inlineStr">
        <is>
          <t>AS-100874</t>
        </is>
      </c>
      <c r="N65" t="inlineStr">
        <is>
          <t>https://drive.google.com/file/d/1tXUDS7Y3FysYp6H4r4QDmMELk_P5L6lg/view?usp=drivesdk</t>
        </is>
      </c>
    </row>
    <row r="66" ht="12" customHeight="1">
      <c r="A66" t="inlineStr">
        <is>
          <t>202603</t>
        </is>
      </c>
      <c r="B66" t="inlineStr">
        <is>
          <t>INC</t>
        </is>
      </c>
      <c r="C66" t="inlineStr">
        <is>
          <t>cogs</t>
        </is>
      </c>
      <c r="D66" t="inlineStr">
        <is>
          <t>manufacturing</t>
        </is>
      </c>
      <c r="E66" t="inlineStr">
        <is>
          <t>JONDO</t>
        </is>
      </c>
      <c r="F66" t="inlineStr">
        <is>
          <t>manufacturing</t>
        </is>
      </c>
      <c r="G66" s="4" t="n">
        <v>105.64</v>
      </c>
      <c r="H66" t="inlineStr">
        <is>
          <t>USD</t>
        </is>
      </c>
      <c r="I66" t="inlineStr">
        <is>
          <t>USD</t>
        </is>
      </c>
      <c r="J66" s="18" t="n">
        <v>1</v>
      </c>
      <c r="K66" s="4" t="n">
        <v>105.64</v>
      </c>
      <c r="L66" t="inlineStr">
        <is>
          <t>documents</t>
        </is>
      </c>
      <c r="M66" s="19" t="inlineStr">
        <is>
          <t>AS-100996</t>
        </is>
      </c>
      <c r="N66" t="inlineStr">
        <is>
          <t>https://drive.google.com/file/d/1y0K_gBPthDyVzyNsw_YHf-53BN434i9x/view?usp=drivesdk</t>
        </is>
      </c>
    </row>
    <row r="67" ht="12" customHeight="1">
      <c r="A67" t="inlineStr">
        <is>
          <t>202603</t>
        </is>
      </c>
      <c r="B67" t="inlineStr">
        <is>
          <t>INC</t>
        </is>
      </c>
      <c r="C67" t="inlineStr">
        <is>
          <t>cogs</t>
        </is>
      </c>
      <c r="D67" t="inlineStr">
        <is>
          <t>manufacturing</t>
        </is>
      </c>
      <c r="E67" t="inlineStr">
        <is>
          <t>JONDO</t>
        </is>
      </c>
      <c r="F67" t="inlineStr">
        <is>
          <t>invoice</t>
        </is>
      </c>
      <c r="G67" s="4" t="n">
        <v>330.91</v>
      </c>
      <c r="H67" t="inlineStr">
        <is>
          <t>USD</t>
        </is>
      </c>
      <c r="I67" t="inlineStr">
        <is>
          <t>USD</t>
        </is>
      </c>
      <c r="J67" s="18" t="n">
        <v>1</v>
      </c>
      <c r="K67" s="4" t="n">
        <v>330.91</v>
      </c>
      <c r="L67" t="inlineStr">
        <is>
          <t>documents</t>
        </is>
      </c>
      <c r="M67" s="19" t="inlineStr">
        <is>
          <t>AS-101113</t>
        </is>
      </c>
      <c r="N67" t="inlineStr">
        <is>
          <t>https://drive.google.com/file/d/1vdHrWT_SVLcmzDZbOw1DHUWOdXyUqB-p/view?usp=drivesdk</t>
        </is>
      </c>
    </row>
    <row r="68" ht="12" customHeight="1">
      <c r="A68" t="inlineStr">
        <is>
          <t>202603</t>
        </is>
      </c>
      <c r="B68" t="inlineStr">
        <is>
          <t>INC</t>
        </is>
      </c>
      <c r="C68" t="inlineStr">
        <is>
          <t>cogs</t>
        </is>
      </c>
      <c r="D68" t="inlineStr">
        <is>
          <t>manufacturing</t>
        </is>
      </c>
      <c r="E68" t="inlineStr">
        <is>
          <t>JONDO</t>
        </is>
      </c>
      <c r="F68" t="inlineStr">
        <is>
          <t>invoice</t>
        </is>
      </c>
      <c r="G68" s="4" t="n">
        <v>21.88</v>
      </c>
      <c r="H68" t="inlineStr">
        <is>
          <t>USD</t>
        </is>
      </c>
      <c r="I68" t="inlineStr">
        <is>
          <t>USD</t>
        </is>
      </c>
      <c r="J68" s="18" t="n">
        <v>1</v>
      </c>
      <c r="K68" s="4" t="n">
        <v>21.88</v>
      </c>
      <c r="L68" t="inlineStr">
        <is>
          <t>documents</t>
        </is>
      </c>
      <c r="M68" s="19" t="inlineStr">
        <is>
          <t>AS-101200</t>
        </is>
      </c>
      <c r="N68" t="inlineStr">
        <is>
          <t>https://drive.google.com/file/d/1yrn7IddHlYFUVsL9TPovbi5qfWRKqaUh/view?usp=drivesdk</t>
        </is>
      </c>
    </row>
    <row r="69" ht="12" customHeight="1">
      <c r="A69" t="inlineStr">
        <is>
          <t>202603</t>
        </is>
      </c>
      <c r="B69" t="inlineStr">
        <is>
          <t>INC</t>
        </is>
      </c>
      <c r="C69" t="inlineStr">
        <is>
          <t>cogs</t>
        </is>
      </c>
      <c r="D69" t="inlineStr">
        <is>
          <t>manufacturing</t>
        </is>
      </c>
      <c r="E69" t="inlineStr">
        <is>
          <t>JONDO</t>
        </is>
      </c>
      <c r="F69" t="inlineStr">
        <is>
          <t>invoice</t>
        </is>
      </c>
      <c r="G69" s="4" t="n">
        <v>82.73</v>
      </c>
      <c r="H69" t="inlineStr">
        <is>
          <t>USD</t>
        </is>
      </c>
      <c r="I69" t="inlineStr">
        <is>
          <t>USD</t>
        </is>
      </c>
      <c r="J69" s="18" t="n">
        <v>1</v>
      </c>
      <c r="K69" s="4" t="n">
        <v>82.73</v>
      </c>
      <c r="L69" t="inlineStr">
        <is>
          <t>documents</t>
        </is>
      </c>
      <c r="M69" s="19" t="inlineStr">
        <is>
          <t>AS-101203</t>
        </is>
      </c>
      <c r="N69" t="inlineStr">
        <is>
          <t>https://drive.google.com/file/d/1Uc-zN0AmJNB0Ls2D2fQnCv0kC0mYYFfx/view?usp=drivesdk</t>
        </is>
      </c>
    </row>
    <row r="70" ht="12" customHeight="1">
      <c r="A70" t="inlineStr">
        <is>
          <t>202603</t>
        </is>
      </c>
      <c r="B70" t="inlineStr">
        <is>
          <t>INC</t>
        </is>
      </c>
      <c r="C70" t="inlineStr">
        <is>
          <t>cogs</t>
        </is>
      </c>
      <c r="D70" t="inlineStr">
        <is>
          <t>manufacturing</t>
        </is>
      </c>
      <c r="E70" t="inlineStr">
        <is>
          <t>JONDO</t>
        </is>
      </c>
      <c r="F70" t="inlineStr">
        <is>
          <t>invoice</t>
        </is>
      </c>
      <c r="G70" s="4" t="n">
        <v>67.59</v>
      </c>
      <c r="H70" t="inlineStr">
        <is>
          <t>USD</t>
        </is>
      </c>
      <c r="I70" t="inlineStr">
        <is>
          <t>USD</t>
        </is>
      </c>
      <c r="J70" s="18" t="n">
        <v>1</v>
      </c>
      <c r="K70" s="4" t="n">
        <v>67.59</v>
      </c>
      <c r="L70" t="inlineStr">
        <is>
          <t>documents</t>
        </is>
      </c>
      <c r="M70" s="19" t="inlineStr">
        <is>
          <t>AS-101378</t>
        </is>
      </c>
      <c r="N70" t="inlineStr">
        <is>
          <t>https://drive.google.com/file/d/1cNFvFmpmrhSDzJZGxJC4_VbaDQuBnDjq/view?usp=drivesdk</t>
        </is>
      </c>
    </row>
    <row r="71" ht="12" customHeight="1">
      <c r="A71" t="inlineStr">
        <is>
          <t>202603</t>
        </is>
      </c>
      <c r="B71" t="inlineStr">
        <is>
          <t>INC</t>
        </is>
      </c>
      <c r="C71" t="inlineStr">
        <is>
          <t>cogs</t>
        </is>
      </c>
      <c r="D71" t="inlineStr">
        <is>
          <t>manufacturing</t>
        </is>
      </c>
      <c r="E71" t="inlineStr">
        <is>
          <t>JONDO</t>
        </is>
      </c>
      <c r="F71" t="inlineStr">
        <is>
          <t>invoice</t>
        </is>
      </c>
      <c r="G71" s="4" t="n">
        <v>44.54</v>
      </c>
      <c r="H71" t="inlineStr">
        <is>
          <t>USD</t>
        </is>
      </c>
      <c r="I71" t="inlineStr">
        <is>
          <t>USD</t>
        </is>
      </c>
      <c r="J71" s="18" t="n">
        <v>1</v>
      </c>
      <c r="K71" s="4" t="n">
        <v>44.54</v>
      </c>
      <c r="L71" t="inlineStr">
        <is>
          <t>documents</t>
        </is>
      </c>
      <c r="M71" s="19" t="inlineStr">
        <is>
          <t>AS-101565</t>
        </is>
      </c>
      <c r="N71" t="inlineStr">
        <is>
          <t>https://drive.google.com/file/d/1qu0mx5pb241hfjo981F5ydijE7gET8Wx/view?usp=drivesdk</t>
        </is>
      </c>
    </row>
    <row r="72" ht="12" customHeight="1">
      <c r="A72" t="inlineStr">
        <is>
          <t>202603</t>
        </is>
      </c>
      <c r="B72" t="inlineStr">
        <is>
          <t>INC</t>
        </is>
      </c>
      <c r="C72" t="inlineStr">
        <is>
          <t>cogs</t>
        </is>
      </c>
      <c r="D72" t="inlineStr">
        <is>
          <t>manufacturing</t>
        </is>
      </c>
      <c r="E72" t="inlineStr">
        <is>
          <t>JONDO</t>
        </is>
      </c>
      <c r="F72" t="inlineStr">
        <is>
          <t>invoice</t>
        </is>
      </c>
      <c r="G72" s="4" t="n">
        <v>51.95</v>
      </c>
      <c r="H72" t="inlineStr">
        <is>
          <t>USD</t>
        </is>
      </c>
      <c r="I72" t="inlineStr">
        <is>
          <t>USD</t>
        </is>
      </c>
      <c r="J72" s="18" t="n">
        <v>1</v>
      </c>
      <c r="K72" s="4" t="n">
        <v>51.95</v>
      </c>
      <c r="L72" t="inlineStr">
        <is>
          <t>documents</t>
        </is>
      </c>
      <c r="M72" s="19" t="inlineStr">
        <is>
          <t>AS-101625</t>
        </is>
      </c>
      <c r="N72" t="inlineStr">
        <is>
          <t>https://drive.google.com/file/d/1R_MvGhiBksTOJuTVj-PPDWZGUXumyABi/view?usp=drivesdk</t>
        </is>
      </c>
    </row>
    <row r="73" ht="12" customHeight="1">
      <c r="A73" t="inlineStr">
        <is>
          <t>202603</t>
        </is>
      </c>
      <c r="B73" t="inlineStr">
        <is>
          <t>INC</t>
        </is>
      </c>
      <c r="C73" t="inlineStr">
        <is>
          <t>cogs</t>
        </is>
      </c>
      <c r="D73" t="inlineStr">
        <is>
          <t>manufacturing</t>
        </is>
      </c>
      <c r="E73" t="inlineStr">
        <is>
          <t>JONDO</t>
        </is>
      </c>
      <c r="F73" t="inlineStr">
        <is>
          <t>invoice</t>
        </is>
      </c>
      <c r="G73" s="4" t="n">
        <v>51.18</v>
      </c>
      <c r="H73" t="inlineStr">
        <is>
          <t>USD</t>
        </is>
      </c>
      <c r="I73" t="inlineStr">
        <is>
          <t>USD</t>
        </is>
      </c>
      <c r="J73" s="18" t="n">
        <v>1</v>
      </c>
      <c r="K73" s="4" t="n">
        <v>51.18</v>
      </c>
      <c r="L73" t="inlineStr">
        <is>
          <t>documents</t>
        </is>
      </c>
      <c r="M73" s="19" t="inlineStr">
        <is>
          <t>AS-101687</t>
        </is>
      </c>
      <c r="N73" t="inlineStr">
        <is>
          <t>https://drive.google.com/file/d/1Vj2JB3XmkotEZ_rwHLvKFds1VxC0jEtR/view?usp=drivesdk</t>
        </is>
      </c>
    </row>
    <row r="74" ht="12" customHeight="1">
      <c r="A74" t="inlineStr">
        <is>
          <t>202603</t>
        </is>
      </c>
      <c r="B74" t="inlineStr">
        <is>
          <t>INC</t>
        </is>
      </c>
      <c r="C74" t="inlineStr">
        <is>
          <t>cogs</t>
        </is>
      </c>
      <c r="D74" t="inlineStr">
        <is>
          <t>manufacturing</t>
        </is>
      </c>
      <c r="E74" t="inlineStr">
        <is>
          <t>JONDO</t>
        </is>
      </c>
      <c r="F74" t="inlineStr">
        <is>
          <t>invoice</t>
        </is>
      </c>
      <c r="G74" s="4" t="n">
        <v>43.89</v>
      </c>
      <c r="H74" t="inlineStr">
        <is>
          <t>USD</t>
        </is>
      </c>
      <c r="I74" t="inlineStr">
        <is>
          <t>USD</t>
        </is>
      </c>
      <c r="J74" s="18" t="n">
        <v>1</v>
      </c>
      <c r="K74" s="4" t="n">
        <v>43.89</v>
      </c>
      <c r="L74" t="inlineStr">
        <is>
          <t>documents</t>
        </is>
      </c>
      <c r="M74" s="19" t="inlineStr">
        <is>
          <t>AS-101720</t>
        </is>
      </c>
      <c r="N74" t="inlineStr">
        <is>
          <t>https://drive.google.com/file/d/1S2WQJ2d_2BB1eFnFBIic2fGe1zYRAT1y/view?usp=drivesdk</t>
        </is>
      </c>
    </row>
    <row r="75" ht="12" customHeight="1">
      <c r="A75" t="inlineStr">
        <is>
          <t>202603</t>
        </is>
      </c>
      <c r="B75" t="inlineStr">
        <is>
          <t>INC</t>
        </is>
      </c>
      <c r="C75" t="inlineStr">
        <is>
          <t>cogs</t>
        </is>
      </c>
      <c r="D75" t="inlineStr">
        <is>
          <t>manufacturing</t>
        </is>
      </c>
      <c r="E75" t="inlineStr">
        <is>
          <t>JONDO</t>
        </is>
      </c>
      <c r="F75" t="inlineStr">
        <is>
          <t>invoice</t>
        </is>
      </c>
      <c r="G75" s="4" t="n">
        <v>66.27</v>
      </c>
      <c r="H75" t="inlineStr">
        <is>
          <t>USD</t>
        </is>
      </c>
      <c r="I75" t="inlineStr">
        <is>
          <t>USD</t>
        </is>
      </c>
      <c r="J75" s="18" t="n">
        <v>1</v>
      </c>
      <c r="K75" s="4" t="n">
        <v>66.27</v>
      </c>
      <c r="L75" t="inlineStr">
        <is>
          <t>documents</t>
        </is>
      </c>
      <c r="M75" s="19" t="inlineStr">
        <is>
          <t>AS-101875</t>
        </is>
      </c>
      <c r="N75" t="inlineStr">
        <is>
          <t>https://drive.google.com/file/d/1jU9NNf4_wzLCbF1iVHbRHrz-s36y6FNi/view?usp=drivesdk</t>
        </is>
      </c>
    </row>
    <row r="76" ht="12" customHeight="1">
      <c r="A76" t="inlineStr">
        <is>
          <t>202603</t>
        </is>
      </c>
      <c r="B76" t="inlineStr">
        <is>
          <t>INC</t>
        </is>
      </c>
      <c r="C76" t="inlineStr">
        <is>
          <t>cogs</t>
        </is>
      </c>
      <c r="D76" t="inlineStr">
        <is>
          <t>manufacturing</t>
        </is>
      </c>
      <c r="E76" t="inlineStr">
        <is>
          <t>JONDO</t>
        </is>
      </c>
      <c r="F76" t="inlineStr">
        <is>
          <t>invoice</t>
        </is>
      </c>
      <c r="G76" s="4" t="n">
        <v>32.12</v>
      </c>
      <c r="H76" t="inlineStr">
        <is>
          <t>USD</t>
        </is>
      </c>
      <c r="I76" t="inlineStr">
        <is>
          <t>USD</t>
        </is>
      </c>
      <c r="J76" s="18" t="n">
        <v>1</v>
      </c>
      <c r="K76" s="4" t="n">
        <v>32.12</v>
      </c>
      <c r="L76" t="inlineStr">
        <is>
          <t>documents</t>
        </is>
      </c>
      <c r="M76" s="19" t="inlineStr">
        <is>
          <t>AS-101899</t>
        </is>
      </c>
      <c r="N76" t="inlineStr">
        <is>
          <t>https://drive.google.com/file/d/1IwBgxSlGdttKi41ivuvMXvT6Hu8z2E1_/view?usp=drivesdk</t>
        </is>
      </c>
    </row>
    <row r="77" ht="12" customHeight="1">
      <c r="A77" t="inlineStr">
        <is>
          <t>202603</t>
        </is>
      </c>
      <c r="B77" t="inlineStr">
        <is>
          <t>INC</t>
        </is>
      </c>
      <c r="C77" t="inlineStr">
        <is>
          <t>cogs</t>
        </is>
      </c>
      <c r="D77" t="inlineStr">
        <is>
          <t>manufacturing</t>
        </is>
      </c>
      <c r="E77" t="inlineStr">
        <is>
          <t>JONDO</t>
        </is>
      </c>
      <c r="F77" t="inlineStr">
        <is>
          <t>invoice</t>
        </is>
      </c>
      <c r="G77" s="4" t="n">
        <v>64.89</v>
      </c>
      <c r="H77" t="inlineStr">
        <is>
          <t>USD</t>
        </is>
      </c>
      <c r="I77" t="inlineStr">
        <is>
          <t>USD</t>
        </is>
      </c>
      <c r="J77" s="18" t="n">
        <v>1</v>
      </c>
      <c r="K77" s="4" t="n">
        <v>64.89</v>
      </c>
      <c r="L77" t="inlineStr">
        <is>
          <t>documents</t>
        </is>
      </c>
      <c r="M77" s="19" t="inlineStr">
        <is>
          <t>AS-101925</t>
        </is>
      </c>
      <c r="N77" t="inlineStr">
        <is>
          <t>https://drive.google.com/file/d/1rmZW6WMTXdJvVUm26QzTJA94sajDVpWq/view?usp=drivesdk</t>
        </is>
      </c>
    </row>
    <row r="78" ht="12" customHeight="1">
      <c r="A78" t="inlineStr">
        <is>
          <t>202603</t>
        </is>
      </c>
      <c r="B78" t="inlineStr">
        <is>
          <t>INC</t>
        </is>
      </c>
      <c r="C78" t="inlineStr">
        <is>
          <t>cogs</t>
        </is>
      </c>
      <c r="D78" t="inlineStr">
        <is>
          <t>manufacturing</t>
        </is>
      </c>
      <c r="E78" t="inlineStr">
        <is>
          <t>JONDO</t>
        </is>
      </c>
      <c r="F78" t="inlineStr">
        <is>
          <t>invoice</t>
        </is>
      </c>
      <c r="G78" s="4" t="n">
        <v>45.67</v>
      </c>
      <c r="H78" t="inlineStr">
        <is>
          <t>USD</t>
        </is>
      </c>
      <c r="I78" t="inlineStr">
        <is>
          <t>USD</t>
        </is>
      </c>
      <c r="J78" s="18" t="n">
        <v>1</v>
      </c>
      <c r="K78" s="4" t="n">
        <v>45.67</v>
      </c>
      <c r="L78" t="inlineStr">
        <is>
          <t>documents</t>
        </is>
      </c>
      <c r="M78" s="19" t="inlineStr">
        <is>
          <t>AS-101927</t>
        </is>
      </c>
      <c r="N78" t="inlineStr">
        <is>
          <t>https://drive.google.com/file/d/15JRxcPZJ_hVHDLJ8z5Yro4FDJovLx0tK/view?usp=drivesdk</t>
        </is>
      </c>
    </row>
    <row r="79" ht="12" customHeight="1">
      <c r="A79" t="inlineStr">
        <is>
          <t>202603</t>
        </is>
      </c>
      <c r="B79" t="inlineStr">
        <is>
          <t>INC</t>
        </is>
      </c>
      <c r="C79" t="inlineStr">
        <is>
          <t>cogs</t>
        </is>
      </c>
      <c r="D79" t="inlineStr">
        <is>
          <t>manufacturing</t>
        </is>
      </c>
      <c r="E79" t="inlineStr">
        <is>
          <t>JONDO</t>
        </is>
      </c>
      <c r="F79" t="inlineStr">
        <is>
          <t>invoice</t>
        </is>
      </c>
      <c r="G79" s="4" t="n">
        <v>32.49</v>
      </c>
      <c r="H79" t="inlineStr">
        <is>
          <t>USD</t>
        </is>
      </c>
      <c r="I79" t="inlineStr">
        <is>
          <t>USD</t>
        </is>
      </c>
      <c r="J79" s="18" t="n">
        <v>1</v>
      </c>
      <c r="K79" s="4" t="n">
        <v>32.49</v>
      </c>
      <c r="L79" t="inlineStr">
        <is>
          <t>documents</t>
        </is>
      </c>
      <c r="M79" s="19" t="inlineStr">
        <is>
          <t>AS-101932</t>
        </is>
      </c>
      <c r="N79" t="inlineStr">
        <is>
          <t>https://drive.google.com/file/d/13weQ7Y4G8KgjFaRrcenGtTdmOa1WFGMs/view?usp=drivesdk</t>
        </is>
      </c>
    </row>
    <row r="80" ht="12" customHeight="1">
      <c r="A80" t="inlineStr">
        <is>
          <t>202603</t>
        </is>
      </c>
      <c r="B80" t="inlineStr">
        <is>
          <t>INC</t>
        </is>
      </c>
      <c r="C80" t="inlineStr">
        <is>
          <t>cogs</t>
        </is>
      </c>
      <c r="D80" t="inlineStr">
        <is>
          <t>manufacturing</t>
        </is>
      </c>
      <c r="E80" t="inlineStr">
        <is>
          <t>JONDO</t>
        </is>
      </c>
      <c r="F80" t="inlineStr">
        <is>
          <t>invoice</t>
        </is>
      </c>
      <c r="G80" s="4" t="n">
        <v>52.13</v>
      </c>
      <c r="H80" t="inlineStr">
        <is>
          <t>USD</t>
        </is>
      </c>
      <c r="I80" t="inlineStr">
        <is>
          <t>USD</t>
        </is>
      </c>
      <c r="J80" s="18" t="n">
        <v>1</v>
      </c>
      <c r="K80" s="4" t="n">
        <v>52.13</v>
      </c>
      <c r="L80" t="inlineStr">
        <is>
          <t>documents</t>
        </is>
      </c>
      <c r="M80" s="19" t="inlineStr">
        <is>
          <t>AS-102156</t>
        </is>
      </c>
      <c r="N80" t="inlineStr">
        <is>
          <t>https://drive.google.com/file/d/1Hs1vUcuZkelPAwLMKmyLOzZ1ZzxTmpHC/view?usp=drivesdk</t>
        </is>
      </c>
    </row>
    <row r="81" ht="12" customHeight="1">
      <c r="A81" t="inlineStr">
        <is>
          <t>202603</t>
        </is>
      </c>
      <c r="B81" t="inlineStr">
        <is>
          <t>INC</t>
        </is>
      </c>
      <c r="C81" t="inlineStr">
        <is>
          <t>cogs</t>
        </is>
      </c>
      <c r="D81" t="inlineStr">
        <is>
          <t>manufacturing</t>
        </is>
      </c>
      <c r="E81" t="inlineStr">
        <is>
          <t>JONDO</t>
        </is>
      </c>
      <c r="F81" t="inlineStr">
        <is>
          <t>invoice</t>
        </is>
      </c>
      <c r="G81" s="4" t="n">
        <v>65.51000000000001</v>
      </c>
      <c r="H81" t="inlineStr">
        <is>
          <t>USD</t>
        </is>
      </c>
      <c r="I81" t="inlineStr">
        <is>
          <t>USD</t>
        </is>
      </c>
      <c r="J81" s="18" t="n">
        <v>1</v>
      </c>
      <c r="K81" s="4" t="n">
        <v>65.51000000000001</v>
      </c>
      <c r="L81" t="inlineStr">
        <is>
          <t>documents</t>
        </is>
      </c>
      <c r="M81" s="19" t="inlineStr">
        <is>
          <t>AS-102233</t>
        </is>
      </c>
      <c r="N81" t="inlineStr">
        <is>
          <t>https://drive.google.com/file/d/17DD7Tsl8Uzy2qdnX2BWCYhZjUuE7FIC-/view?usp=drivesdk</t>
        </is>
      </c>
    </row>
    <row r="82" ht="12" customHeight="1">
      <c r="A82" t="inlineStr">
        <is>
          <t>202603</t>
        </is>
      </c>
      <c r="B82" t="inlineStr">
        <is>
          <t>INC</t>
        </is>
      </c>
      <c r="C82" t="inlineStr">
        <is>
          <t>cogs</t>
        </is>
      </c>
      <c r="D82" t="inlineStr">
        <is>
          <t>manufacturing</t>
        </is>
      </c>
      <c r="E82" t="inlineStr">
        <is>
          <t>JONDO</t>
        </is>
      </c>
      <c r="F82" t="inlineStr">
        <is>
          <t>invoice</t>
        </is>
      </c>
      <c r="G82" s="4" t="n">
        <v>234.26</v>
      </c>
      <c r="H82" t="inlineStr">
        <is>
          <t>USD</t>
        </is>
      </c>
      <c r="I82" t="inlineStr">
        <is>
          <t>USD</t>
        </is>
      </c>
      <c r="J82" s="18" t="n">
        <v>1</v>
      </c>
      <c r="K82" s="4" t="n">
        <v>234.26</v>
      </c>
      <c r="L82" t="inlineStr">
        <is>
          <t>documents</t>
        </is>
      </c>
      <c r="M82" s="19" t="inlineStr">
        <is>
          <t>AS-102527</t>
        </is>
      </c>
      <c r="N82" t="inlineStr">
        <is>
          <t>https://drive.google.com/file/d/1sdwyLdhMxINaYrTryaUlKirTc2dpG4nL/view?usp=drivesdk</t>
        </is>
      </c>
    </row>
    <row r="83" ht="12" customHeight="1">
      <c r="A83" t="inlineStr">
        <is>
          <t>202603</t>
        </is>
      </c>
      <c r="B83" t="inlineStr">
        <is>
          <t>INC</t>
        </is>
      </c>
      <c r="C83" t="inlineStr">
        <is>
          <t>cogs</t>
        </is>
      </c>
      <c r="D83" t="inlineStr">
        <is>
          <t>manufacturing</t>
        </is>
      </c>
      <c r="E83" t="inlineStr">
        <is>
          <t>JONDO</t>
        </is>
      </c>
      <c r="F83" t="inlineStr">
        <is>
          <t>invoice</t>
        </is>
      </c>
      <c r="G83" s="4" t="n">
        <v>44.41</v>
      </c>
      <c r="H83" t="inlineStr">
        <is>
          <t>USD</t>
        </is>
      </c>
      <c r="I83" t="inlineStr">
        <is>
          <t>USD</t>
        </is>
      </c>
      <c r="J83" s="18" t="n">
        <v>1</v>
      </c>
      <c r="K83" s="4" t="n">
        <v>44.41</v>
      </c>
      <c r="L83" t="inlineStr">
        <is>
          <t>documents</t>
        </is>
      </c>
      <c r="M83" s="19" t="inlineStr">
        <is>
          <t>AS-102584</t>
        </is>
      </c>
      <c r="N83" t="inlineStr">
        <is>
          <t>https://drive.google.com/file/d/1azySLsSPalq9tOHXPoJoJjvUXrwjOXJr/view?usp=drivesdk</t>
        </is>
      </c>
    </row>
    <row r="84" ht="12" customHeight="1">
      <c r="A84" t="inlineStr">
        <is>
          <t>202603</t>
        </is>
      </c>
      <c r="B84" t="inlineStr">
        <is>
          <t>INC</t>
        </is>
      </c>
      <c r="C84" t="inlineStr">
        <is>
          <t>cogs</t>
        </is>
      </c>
      <c r="D84" t="inlineStr">
        <is>
          <t>manufacturing</t>
        </is>
      </c>
      <c r="E84" t="inlineStr">
        <is>
          <t>JONDO</t>
        </is>
      </c>
      <c r="F84" t="inlineStr">
        <is>
          <t>invoice</t>
        </is>
      </c>
      <c r="G84" s="4" t="n">
        <v>52.25</v>
      </c>
      <c r="H84" t="inlineStr">
        <is>
          <t>USD</t>
        </is>
      </c>
      <c r="I84" t="inlineStr">
        <is>
          <t>USD</t>
        </is>
      </c>
      <c r="J84" s="18" t="n">
        <v>1</v>
      </c>
      <c r="K84" s="4" t="n">
        <v>52.25</v>
      </c>
      <c r="L84" t="inlineStr">
        <is>
          <t>documents</t>
        </is>
      </c>
      <c r="M84" s="19" t="inlineStr">
        <is>
          <t>AS-102713</t>
        </is>
      </c>
      <c r="N84" t="inlineStr">
        <is>
          <t>https://drive.google.com/file/d/1eR1J45oNqARlNda10Dn0ekyiiE4Y_G-u/view?usp=drivesdk</t>
        </is>
      </c>
    </row>
    <row r="85" ht="12" customHeight="1">
      <c r="A85" t="inlineStr">
        <is>
          <t>202603</t>
        </is>
      </c>
      <c r="B85" t="inlineStr">
        <is>
          <t>INC</t>
        </is>
      </c>
      <c r="C85" t="inlineStr">
        <is>
          <t>cogs</t>
        </is>
      </c>
      <c r="D85" t="inlineStr">
        <is>
          <t>manufacturing</t>
        </is>
      </c>
      <c r="E85" t="inlineStr">
        <is>
          <t>JONDO</t>
        </is>
      </c>
      <c r="F85" t="inlineStr">
        <is>
          <t>invoice</t>
        </is>
      </c>
      <c r="G85" s="4" t="n">
        <v>106.74</v>
      </c>
      <c r="H85" t="inlineStr">
        <is>
          <t>USD</t>
        </is>
      </c>
      <c r="I85" t="inlineStr">
        <is>
          <t>USD</t>
        </is>
      </c>
      <c r="J85" s="18" t="n">
        <v>1</v>
      </c>
      <c r="K85" s="4" t="n">
        <v>106.74</v>
      </c>
      <c r="L85" t="inlineStr">
        <is>
          <t>documents</t>
        </is>
      </c>
      <c r="M85" s="19" t="inlineStr">
        <is>
          <t>AS-102769</t>
        </is>
      </c>
      <c r="N85" t="inlineStr">
        <is>
          <t>https://drive.google.com/file/d/1ZdC0Tq7ojooTcmbCMMi8VTyd-K_YhzkY/view?usp=drivesdk</t>
        </is>
      </c>
    </row>
    <row r="86" ht="12" customHeight="1">
      <c r="A86" t="inlineStr">
        <is>
          <t>202603</t>
        </is>
      </c>
      <c r="B86" t="inlineStr">
        <is>
          <t>INC</t>
        </is>
      </c>
      <c r="C86" t="inlineStr">
        <is>
          <t>cogs</t>
        </is>
      </c>
      <c r="D86" t="inlineStr">
        <is>
          <t>manufacturing</t>
        </is>
      </c>
      <c r="E86" t="inlineStr">
        <is>
          <t>JONDO</t>
        </is>
      </c>
      <c r="F86" t="inlineStr">
        <is>
          <t>invoice</t>
        </is>
      </c>
      <c r="G86" s="4" t="n">
        <v>66.27</v>
      </c>
      <c r="H86" t="inlineStr">
        <is>
          <t>USD</t>
        </is>
      </c>
      <c r="I86" t="inlineStr">
        <is>
          <t>USD</t>
        </is>
      </c>
      <c r="J86" s="18" t="n">
        <v>1</v>
      </c>
      <c r="K86" s="4" t="n">
        <v>66.27</v>
      </c>
      <c r="L86" t="inlineStr">
        <is>
          <t>documents</t>
        </is>
      </c>
      <c r="M86" s="19" t="inlineStr">
        <is>
          <t>AS-102793</t>
        </is>
      </c>
      <c r="N86" t="inlineStr">
        <is>
          <t>https://drive.google.com/file/d/1T5CAEz-SGauhipF7HSwaNXRGFzHaHRby/view?usp=drivesdk</t>
        </is>
      </c>
    </row>
    <row r="87" ht="12" customHeight="1">
      <c r="A87" t="inlineStr">
        <is>
          <t>202603</t>
        </is>
      </c>
      <c r="B87" t="inlineStr">
        <is>
          <t>INC</t>
        </is>
      </c>
      <c r="C87" t="inlineStr">
        <is>
          <t>cogs</t>
        </is>
      </c>
      <c r="D87" t="inlineStr">
        <is>
          <t>manufacturing</t>
        </is>
      </c>
      <c r="E87" t="inlineStr">
        <is>
          <t>JONDO</t>
        </is>
      </c>
      <c r="F87" t="inlineStr">
        <is>
          <t>invoice</t>
        </is>
      </c>
      <c r="G87" s="4" t="n">
        <v>90.17</v>
      </c>
      <c r="H87" t="inlineStr">
        <is>
          <t>USD</t>
        </is>
      </c>
      <c r="I87" t="inlineStr">
        <is>
          <t>USD</t>
        </is>
      </c>
      <c r="J87" s="18" t="n">
        <v>1</v>
      </c>
      <c r="K87" s="4" t="n">
        <v>90.17</v>
      </c>
      <c r="L87" t="inlineStr">
        <is>
          <t>documents</t>
        </is>
      </c>
      <c r="M87" s="19" t="inlineStr">
        <is>
          <t>AS-102814</t>
        </is>
      </c>
      <c r="N87" t="inlineStr">
        <is>
          <t>https://drive.google.com/file/d/1271ZQ4ZHZABB4HidgKNyjLNycqKTZIWp/view?usp=drivesdk</t>
        </is>
      </c>
    </row>
    <row r="88" ht="12" customHeight="1">
      <c r="A88" t="inlineStr">
        <is>
          <t>202603</t>
        </is>
      </c>
      <c r="B88" t="inlineStr">
        <is>
          <t>INC</t>
        </is>
      </c>
      <c r="C88" t="inlineStr">
        <is>
          <t>cogs</t>
        </is>
      </c>
      <c r="D88" t="inlineStr">
        <is>
          <t>manufacturing</t>
        </is>
      </c>
      <c r="E88" t="inlineStr">
        <is>
          <t>JONDO</t>
        </is>
      </c>
      <c r="F88" t="inlineStr">
        <is>
          <t>invoice</t>
        </is>
      </c>
      <c r="G88" s="4" t="n">
        <v>27.29</v>
      </c>
      <c r="H88" t="inlineStr">
        <is>
          <t>USD</t>
        </is>
      </c>
      <c r="I88" t="inlineStr">
        <is>
          <t>USD</t>
        </is>
      </c>
      <c r="J88" s="18" t="n">
        <v>1</v>
      </c>
      <c r="K88" s="4" t="n">
        <v>27.29</v>
      </c>
      <c r="L88" t="inlineStr">
        <is>
          <t>documents</t>
        </is>
      </c>
      <c r="M88" s="19" t="inlineStr">
        <is>
          <t>AS-99872</t>
        </is>
      </c>
      <c r="N88" t="inlineStr">
        <is>
          <t>https://drive.google.com/file/d/1fz0py0TlKS9CdvqLBj6obnIyKdFd-Ocr/view?usp=drivesdk</t>
        </is>
      </c>
    </row>
    <row r="89" ht="12" customHeight="1">
      <c r="A89" t="inlineStr">
        <is>
          <t>202603</t>
        </is>
      </c>
      <c r="B89" t="inlineStr">
        <is>
          <t>INC</t>
        </is>
      </c>
      <c r="C89" t="inlineStr">
        <is>
          <t>opex</t>
        </is>
      </c>
      <c r="D89" t="inlineStr">
        <is>
          <t>administration</t>
        </is>
      </c>
      <c r="E89" t="inlineStr">
        <is>
          <t>QUICKBOOKS</t>
        </is>
      </c>
      <c r="F89" t="inlineStr">
        <is>
          <t>invoice</t>
        </is>
      </c>
      <c r="G89" s="4" t="n">
        <v>121.9</v>
      </c>
      <c r="H89" t="inlineStr">
        <is>
          <t>USD</t>
        </is>
      </c>
      <c r="I89" t="inlineStr">
        <is>
          <t>USD</t>
        </is>
      </c>
      <c r="J89" s="18" t="n">
        <v>1</v>
      </c>
      <c r="K89" s="4" t="n">
        <v>121.9</v>
      </c>
      <c r="L89" t="inlineStr">
        <is>
          <t>documents</t>
        </is>
      </c>
      <c r="M89" s="19" t="inlineStr">
        <is>
          <t>10001475281494</t>
        </is>
      </c>
      <c r="N89" t="inlineStr">
        <is>
          <t>https://drive.google.com/file/d/1OI4OBm0RC_6F4A459LM3KgrTwDxv30Lf/view?usp=drivesdk</t>
        </is>
      </c>
    </row>
    <row r="90" ht="12" customHeight="1">
      <c r="A90" t="inlineStr">
        <is>
          <t>202603</t>
        </is>
      </c>
      <c r="B90" t="inlineStr">
        <is>
          <t>INC</t>
        </is>
      </c>
      <c r="C90" t="inlineStr">
        <is>
          <t>opex</t>
        </is>
      </c>
      <c r="D90" t="inlineStr">
        <is>
          <t>shared_services</t>
        </is>
      </c>
      <c r="E90" t="inlineStr">
        <is>
          <t>SHAREDSERVICESSL</t>
        </is>
      </c>
      <c r="F90" t="inlineStr">
        <is>
          <t>invoice</t>
        </is>
      </c>
      <c r="G90" s="4" t="n">
        <v>7586.05</v>
      </c>
      <c r="H90" t="inlineStr">
        <is>
          <t>EUR</t>
        </is>
      </c>
      <c r="I90" t="inlineStr">
        <is>
          <t>USD</t>
        </is>
      </c>
      <c r="J90" s="18" t="n">
        <v>1.1498</v>
      </c>
      <c r="K90" s="4" t="n">
        <v>8722.440000000001</v>
      </c>
      <c r="L90" t="inlineStr">
        <is>
          <t>documents</t>
        </is>
      </c>
      <c r="M90" s="19" t="inlineStr">
        <is>
          <t>2026-0017</t>
        </is>
      </c>
      <c r="N90" t="inlineStr">
        <is>
          <t>https://drive.google.com/file/d/1ixVdpnGpB3KUF2QQIt94W1I4J6yD6ybZ/view?usp=drivesdk</t>
        </is>
      </c>
    </row>
    <row r="91" ht="12" customHeight="1">
      <c r="A91" t="inlineStr">
        <is>
          <t>202603</t>
        </is>
      </c>
      <c r="B91" t="inlineStr">
        <is>
          <t>INC</t>
        </is>
      </c>
      <c r="C91" t="inlineStr">
        <is>
          <t>cogs</t>
        </is>
      </c>
      <c r="D91" t="inlineStr">
        <is>
          <t>logistics</t>
        </is>
      </c>
      <c r="E91" t="inlineStr">
        <is>
          <t>TGI</t>
        </is>
      </c>
      <c r="F91" t="inlineStr">
        <is>
          <t>logistics</t>
        </is>
      </c>
      <c r="G91" s="4" t="n">
        <v>4826.94</v>
      </c>
      <c r="H91" t="inlineStr">
        <is>
          <t>USD</t>
        </is>
      </c>
      <c r="I91" t="inlineStr">
        <is>
          <t>USD</t>
        </is>
      </c>
      <c r="J91" s="18" t="n">
        <v>1</v>
      </c>
      <c r="K91" s="4" t="n">
        <v>4826.94</v>
      </c>
      <c r="L91" t="inlineStr">
        <is>
          <t>documents</t>
        </is>
      </c>
      <c r="M91" s="19" t="inlineStr">
        <is>
          <t>171663</t>
        </is>
      </c>
      <c r="N91" t="inlineStr">
        <is>
          <t>https://drive.google.com/file/d/1KMML8lqWHjys5zcY1N68s233Ze6aJrf7/view?usp=drivesdk</t>
        </is>
      </c>
    </row>
    <row r="92" ht="12" customHeight="1">
      <c r="A92" t="inlineStr">
        <is>
          <t>202603</t>
        </is>
      </c>
      <c r="B92" t="inlineStr">
        <is>
          <t>INC</t>
        </is>
      </c>
      <c r="C92" t="inlineStr">
        <is>
          <t>cogs</t>
        </is>
      </c>
      <c r="D92" t="inlineStr">
        <is>
          <t>manufacturing</t>
        </is>
      </c>
      <c r="E92" t="inlineStr">
        <is>
          <t>TGI</t>
        </is>
      </c>
      <c r="F92" t="inlineStr">
        <is>
          <t>manufacturing</t>
        </is>
      </c>
      <c r="G92" s="4" t="n">
        <v>2696.59</v>
      </c>
      <c r="H92" t="inlineStr">
        <is>
          <t>USD</t>
        </is>
      </c>
      <c r="I92" t="inlineStr">
        <is>
          <t>USD</t>
        </is>
      </c>
      <c r="J92" s="18" t="n">
        <v>1</v>
      </c>
      <c r="K92" s="4" t="n">
        <v>2696.59</v>
      </c>
      <c r="L92" t="inlineStr">
        <is>
          <t>documents</t>
        </is>
      </c>
      <c r="M92" s="19" t="inlineStr">
        <is>
          <t>171664</t>
        </is>
      </c>
      <c r="N92" t="inlineStr">
        <is>
          <t>https://drive.google.com/file/d/1j6OlS3fo3c7ynAP6XCubZbsputNipz9k/view?usp=drivesdk</t>
        </is>
      </c>
    </row>
    <row r="93" ht="12" customHeight="1">
      <c r="A93" t="inlineStr">
        <is>
          <t>202604</t>
        </is>
      </c>
      <c r="B93" t="inlineStr">
        <is>
          <t>INC</t>
        </is>
      </c>
      <c r="C93" t="inlineStr">
        <is>
          <t>opex</t>
        </is>
      </c>
      <c r="D93" t="inlineStr">
        <is>
          <t>administration</t>
        </is>
      </c>
      <c r="E93" t="inlineStr">
        <is>
          <t>CONTINUUM</t>
        </is>
      </c>
      <c r="F93" t="inlineStr">
        <is>
          <t>invoice</t>
        </is>
      </c>
      <c r="G93" s="4" t="n">
        <v>1150</v>
      </c>
      <c r="H93" t="inlineStr">
        <is>
          <t>USD</t>
        </is>
      </c>
      <c r="I93" t="inlineStr">
        <is>
          <t>USD</t>
        </is>
      </c>
      <c r="J93" s="18" t="n">
        <v>1</v>
      </c>
      <c r="K93" s="4" t="n">
        <v>1150</v>
      </c>
      <c r="L93" t="inlineStr">
        <is>
          <t>documents</t>
        </is>
      </c>
      <c r="M93" s="19" t="inlineStr">
        <is>
          <t>1268</t>
        </is>
      </c>
      <c r="N93" t="inlineStr">
        <is>
          <t>https://drive.google.com/file/d/1IRL2tRQ5R66B1XtT5WF43fvSBNABo2MK/view?usp=drivesdk</t>
        </is>
      </c>
    </row>
    <row r="94" ht="12" customHeight="1">
      <c r="A94" t="inlineStr">
        <is>
          <t>202604</t>
        </is>
      </c>
      <c r="B94" t="inlineStr">
        <is>
          <t>INC</t>
        </is>
      </c>
      <c r="C94" t="inlineStr">
        <is>
          <t>opex</t>
        </is>
      </c>
      <c r="D94" t="inlineStr">
        <is>
          <t>administration</t>
        </is>
      </c>
      <c r="E94" t="inlineStr">
        <is>
          <t>DELAWARE</t>
        </is>
      </c>
      <c r="F94" t="inlineStr">
        <is>
          <t>invoice</t>
        </is>
      </c>
      <c r="G94" s="4" t="n">
        <v>107</v>
      </c>
      <c r="H94" t="inlineStr">
        <is>
          <t>USD</t>
        </is>
      </c>
      <c r="I94" t="inlineStr">
        <is>
          <t>USD</t>
        </is>
      </c>
      <c r="J94" s="18" t="n">
        <v>1</v>
      </c>
      <c r="K94" s="4" t="n">
        <v>107</v>
      </c>
      <c r="L94" t="inlineStr">
        <is>
          <t>documents</t>
        </is>
      </c>
      <c r="M94" s="19" t="inlineStr">
        <is>
          <t>DZWHFH4</t>
        </is>
      </c>
      <c r="N94" t="inlineStr">
        <is>
          <t>https://drive.google.com/file/d/18Bz5GqwljLihnHs4k9hmETmifyo6LER2/view?usp=drivesdk</t>
        </is>
      </c>
    </row>
    <row r="95" ht="12" customHeight="1">
      <c r="A95" t="inlineStr">
        <is>
          <t>202604</t>
        </is>
      </c>
      <c r="B95" t="inlineStr">
        <is>
          <t>INC</t>
        </is>
      </c>
      <c r="C95" t="inlineStr">
        <is>
          <t>opex</t>
        </is>
      </c>
      <c r="D95" t="inlineStr">
        <is>
          <t>administration</t>
        </is>
      </c>
      <c r="E95" t="inlineStr">
        <is>
          <t>IPOSTAL</t>
        </is>
      </c>
      <c r="F95" t="inlineStr">
        <is>
          <t>invoice</t>
        </is>
      </c>
      <c r="G95" s="4" t="n">
        <v>1.1</v>
      </c>
      <c r="H95" t="inlineStr">
        <is>
          <t>USD</t>
        </is>
      </c>
      <c r="I95" t="inlineStr">
        <is>
          <t>USD</t>
        </is>
      </c>
      <c r="J95" s="18" t="n">
        <v>1</v>
      </c>
      <c r="K95" s="4" t="n">
        <v>1.1</v>
      </c>
      <c r="L95" t="inlineStr">
        <is>
          <t>documents</t>
        </is>
      </c>
      <c r="M95" s="19" t="inlineStr">
        <is>
          <t>36752641</t>
        </is>
      </c>
      <c r="N95" t="inlineStr">
        <is>
          <t>https://drive.google.com/file/d/1beC5Hc1W7ij4zZ3P22rXyi55CrvbbPk6/view?usp=drivesdk</t>
        </is>
      </c>
    </row>
    <row r="96" ht="12" customHeight="1">
      <c r="A96" t="inlineStr">
        <is>
          <t>202604</t>
        </is>
      </c>
      <c r="B96" t="inlineStr">
        <is>
          <t>INC</t>
        </is>
      </c>
      <c r="C96" t="inlineStr">
        <is>
          <t>opex</t>
        </is>
      </c>
      <c r="D96" t="inlineStr">
        <is>
          <t>administration</t>
        </is>
      </c>
      <c r="E96" t="inlineStr">
        <is>
          <t>IPOSTAL</t>
        </is>
      </c>
      <c r="F96" t="inlineStr">
        <is>
          <t>invoice</t>
        </is>
      </c>
      <c r="G96" s="4" t="n">
        <v>1.1</v>
      </c>
      <c r="H96" t="inlineStr">
        <is>
          <t>USD</t>
        </is>
      </c>
      <c r="I96" t="inlineStr">
        <is>
          <t>USD</t>
        </is>
      </c>
      <c r="J96" s="18" t="n">
        <v>1</v>
      </c>
      <c r="K96" s="4" t="n">
        <v>1.1</v>
      </c>
      <c r="L96" t="inlineStr">
        <is>
          <t>documents</t>
        </is>
      </c>
      <c r="M96" s="19" t="inlineStr">
        <is>
          <t>36951380</t>
        </is>
      </c>
      <c r="N96" t="inlineStr">
        <is>
          <t>https://drive.google.com/file/d/1wZg-q6ZiTEI0OrQ0TwcfsUWshu0Ux5N9/view?usp=drivesdk</t>
        </is>
      </c>
    </row>
    <row r="97" ht="12" customHeight="1">
      <c r="A97" t="inlineStr">
        <is>
          <t>202604</t>
        </is>
      </c>
      <c r="B97" t="inlineStr">
        <is>
          <t>INC</t>
        </is>
      </c>
      <c r="C97" t="inlineStr">
        <is>
          <t>opex</t>
        </is>
      </c>
      <c r="D97" t="inlineStr">
        <is>
          <t>administration</t>
        </is>
      </c>
      <c r="E97" t="inlineStr">
        <is>
          <t>IPOSTAL</t>
        </is>
      </c>
      <c r="F97" t="inlineStr">
        <is>
          <t>invoice</t>
        </is>
      </c>
      <c r="G97" s="4" t="n">
        <v>5.5</v>
      </c>
      <c r="H97" t="inlineStr">
        <is>
          <t>USD</t>
        </is>
      </c>
      <c r="I97" t="inlineStr">
        <is>
          <t>USD</t>
        </is>
      </c>
      <c r="J97" s="18" t="n">
        <v>1</v>
      </c>
      <c r="K97" s="4" t="n">
        <v>5.5</v>
      </c>
      <c r="L97" t="inlineStr">
        <is>
          <t>documents</t>
        </is>
      </c>
      <c r="M97" s="19" t="inlineStr">
        <is>
          <t>37116827</t>
        </is>
      </c>
      <c r="N97" t="inlineStr">
        <is>
          <t>https://drive.google.com/file/d/1gJoEKOqYovJJtEOg5y94WrVLNsNu15uO/view?usp=drivesdk</t>
        </is>
      </c>
    </row>
    <row r="98" ht="12" customHeight="1">
      <c r="A98" t="inlineStr">
        <is>
          <t>202604</t>
        </is>
      </c>
      <c r="B98" t="inlineStr">
        <is>
          <t>INC</t>
        </is>
      </c>
      <c r="C98" t="inlineStr">
        <is>
          <t>opex</t>
        </is>
      </c>
      <c r="D98" t="inlineStr">
        <is>
          <t>administration</t>
        </is>
      </c>
      <c r="E98" t="inlineStr">
        <is>
          <t>IPOSTAL</t>
        </is>
      </c>
      <c r="F98" t="inlineStr">
        <is>
          <t>invoice</t>
        </is>
      </c>
      <c r="G98" s="4" t="n">
        <v>1.1</v>
      </c>
      <c r="H98" t="inlineStr">
        <is>
          <t>USD</t>
        </is>
      </c>
      <c r="I98" t="inlineStr">
        <is>
          <t>USD</t>
        </is>
      </c>
      <c r="J98" s="18" t="n">
        <v>1</v>
      </c>
      <c r="K98" s="4" t="n">
        <v>1.1</v>
      </c>
      <c r="L98" t="inlineStr">
        <is>
          <t>documents</t>
        </is>
      </c>
      <c r="M98" s="19" t="inlineStr">
        <is>
          <t>37277911</t>
        </is>
      </c>
      <c r="N98" t="inlineStr">
        <is>
          <t>https://drive.google.com/file/d/19f-Id2wfchFV1l6mggY9gSFntEbmAUCB/view?usp=drivesdk</t>
        </is>
      </c>
    </row>
    <row r="99" ht="12" customHeight="1">
      <c r="A99" t="inlineStr">
        <is>
          <t>202604</t>
        </is>
      </c>
      <c r="B99" t="inlineStr">
        <is>
          <t>INC</t>
        </is>
      </c>
      <c r="C99" t="inlineStr">
        <is>
          <t>opex</t>
        </is>
      </c>
      <c r="D99" t="inlineStr">
        <is>
          <t>administration</t>
        </is>
      </c>
      <c r="E99" t="inlineStr">
        <is>
          <t>IPOSTAL</t>
        </is>
      </c>
      <c r="F99" t="inlineStr">
        <is>
          <t>invoice</t>
        </is>
      </c>
      <c r="G99" s="4" t="n">
        <v>14.99</v>
      </c>
      <c r="H99" t="inlineStr">
        <is>
          <t>USD</t>
        </is>
      </c>
      <c r="I99" t="inlineStr">
        <is>
          <t>USD</t>
        </is>
      </c>
      <c r="J99" s="18" t="n">
        <v>1</v>
      </c>
      <c r="K99" s="4" t="n">
        <v>14.99</v>
      </c>
      <c r="L99" t="inlineStr">
        <is>
          <t>documents</t>
        </is>
      </c>
      <c r="M99" s="19" t="inlineStr">
        <is>
          <t>37337792</t>
        </is>
      </c>
      <c r="N99" t="inlineStr">
        <is>
          <t>https://drive.google.com/file/d/1iFHoL9QL0MfsW0zsHp0uT7-lqsQsUJud/view?usp=drivesdk</t>
        </is>
      </c>
    </row>
    <row r="100" ht="12" customHeight="1">
      <c r="A100" t="inlineStr">
        <is>
          <t>202604</t>
        </is>
      </c>
      <c r="B100" t="inlineStr">
        <is>
          <t>INC</t>
        </is>
      </c>
      <c r="C100" t="inlineStr">
        <is>
          <t>cogs</t>
        </is>
      </c>
      <c r="D100" t="inlineStr">
        <is>
          <t>manufacturing</t>
        </is>
      </c>
      <c r="E100" t="inlineStr">
        <is>
          <t>JONDO</t>
        </is>
      </c>
      <c r="F100" t="inlineStr">
        <is>
          <t>invoice</t>
        </is>
      </c>
      <c r="G100" s="4" t="n">
        <v>68.91</v>
      </c>
      <c r="H100" t="inlineStr">
        <is>
          <t>USD</t>
        </is>
      </c>
      <c r="I100" t="inlineStr">
        <is>
          <t>USD</t>
        </is>
      </c>
      <c r="J100" s="18" t="n">
        <v>1</v>
      </c>
      <c r="K100" s="4" t="n">
        <v>68.91</v>
      </c>
      <c r="L100" t="inlineStr">
        <is>
          <t>documents</t>
        </is>
      </c>
      <c r="M100" s="19" t="inlineStr">
        <is>
          <t>4403771-AS-102981</t>
        </is>
      </c>
      <c r="N100" t="inlineStr">
        <is>
          <t>https://drive.google.com/file/d/1R_pCzyx2C2c_Ox1-25qlNzBtFCapy707/view?usp=drivesdk</t>
        </is>
      </c>
    </row>
    <row r="101" ht="12" customHeight="1">
      <c r="A101" t="inlineStr">
        <is>
          <t>202604</t>
        </is>
      </c>
      <c r="B101" t="inlineStr">
        <is>
          <t>INC</t>
        </is>
      </c>
      <c r="C101" t="inlineStr">
        <is>
          <t>cogs</t>
        </is>
      </c>
      <c r="D101" t="inlineStr">
        <is>
          <t>manufacturing</t>
        </is>
      </c>
      <c r="E101" t="inlineStr">
        <is>
          <t>JONDO</t>
        </is>
      </c>
      <c r="F101" t="inlineStr">
        <is>
          <t>invoice</t>
        </is>
      </c>
      <c r="G101" s="4" t="n">
        <v>252.42</v>
      </c>
      <c r="H101" t="inlineStr">
        <is>
          <t>USD</t>
        </is>
      </c>
      <c r="I101" t="inlineStr">
        <is>
          <t>USD</t>
        </is>
      </c>
      <c r="J101" s="18" t="n">
        <v>1</v>
      </c>
      <c r="K101" s="4" t="n">
        <v>252.42</v>
      </c>
      <c r="L101" t="inlineStr">
        <is>
          <t>documents</t>
        </is>
      </c>
      <c r="M101" s="19" t="inlineStr">
        <is>
          <t>4403772-AS-102832</t>
        </is>
      </c>
      <c r="N101" t="inlineStr">
        <is>
          <t>https://drive.google.com/file/d/1XcQaIUHTXnUW0SZ4Q-nQWM1Fu3nobuo5/view?usp=drivesdk</t>
        </is>
      </c>
    </row>
    <row r="102" ht="12" customHeight="1">
      <c r="A102" t="inlineStr">
        <is>
          <t>202604</t>
        </is>
      </c>
      <c r="B102" t="inlineStr">
        <is>
          <t>INC</t>
        </is>
      </c>
      <c r="C102" t="inlineStr">
        <is>
          <t>cogs</t>
        </is>
      </c>
      <c r="D102" t="inlineStr">
        <is>
          <t>manufacturing</t>
        </is>
      </c>
      <c r="E102" t="inlineStr">
        <is>
          <t>JONDO</t>
        </is>
      </c>
      <c r="F102" t="inlineStr">
        <is>
          <t>invoice</t>
        </is>
      </c>
      <c r="G102" s="4" t="n">
        <v>35.4</v>
      </c>
      <c r="H102" t="inlineStr">
        <is>
          <t>USD</t>
        </is>
      </c>
      <c r="I102" t="inlineStr">
        <is>
          <t>USD</t>
        </is>
      </c>
      <c r="J102" s="18" t="n">
        <v>1</v>
      </c>
      <c r="K102" s="4" t="n">
        <v>35.4</v>
      </c>
      <c r="L102" t="inlineStr">
        <is>
          <t>documents</t>
        </is>
      </c>
      <c r="M102" s="19" t="inlineStr">
        <is>
          <t>4409934-AS-103327</t>
        </is>
      </c>
      <c r="N102" t="inlineStr">
        <is>
          <t>https://drive.google.com/file/d/1sQZti--UZu4nwBrtghMiPijn0GFvV8sY/view?usp=drivesdk</t>
        </is>
      </c>
    </row>
    <row r="103" ht="12" customHeight="1">
      <c r="A103" t="inlineStr">
        <is>
          <t>202604</t>
        </is>
      </c>
      <c r="B103" t="inlineStr">
        <is>
          <t>INC</t>
        </is>
      </c>
      <c r="C103" t="inlineStr">
        <is>
          <t>cogs</t>
        </is>
      </c>
      <c r="D103" t="inlineStr">
        <is>
          <t>manufacturing</t>
        </is>
      </c>
      <c r="E103" t="inlineStr">
        <is>
          <t>JONDO</t>
        </is>
      </c>
      <c r="F103" t="inlineStr">
        <is>
          <t>invoice</t>
        </is>
      </c>
      <c r="G103" s="4" t="n">
        <v>64.54000000000001</v>
      </c>
      <c r="H103" t="inlineStr">
        <is>
          <t>USD</t>
        </is>
      </c>
      <c r="I103" t="inlineStr">
        <is>
          <t>USD</t>
        </is>
      </c>
      <c r="J103" s="18" t="n">
        <v>1</v>
      </c>
      <c r="K103" s="4" t="n">
        <v>64.54000000000001</v>
      </c>
      <c r="L103" t="inlineStr">
        <is>
          <t>documents</t>
        </is>
      </c>
      <c r="M103" s="19" t="inlineStr">
        <is>
          <t>4409935-AS-103109</t>
        </is>
      </c>
      <c r="N103" t="inlineStr">
        <is>
          <t>https://drive.google.com/file/d/1Ua4xn6a6EUB1nJ549lY9ezWCx6XBGm2a/view?usp=drivesdk</t>
        </is>
      </c>
    </row>
    <row r="104" ht="12" customHeight="1">
      <c r="A104" t="inlineStr">
        <is>
          <t>202604</t>
        </is>
      </c>
      <c r="B104" t="inlineStr">
        <is>
          <t>INC</t>
        </is>
      </c>
      <c r="C104" t="inlineStr">
        <is>
          <t>cogs</t>
        </is>
      </c>
      <c r="D104" t="inlineStr">
        <is>
          <t>manufacturing</t>
        </is>
      </c>
      <c r="E104" t="inlineStr">
        <is>
          <t>JONDO</t>
        </is>
      </c>
      <c r="F104" t="inlineStr">
        <is>
          <t>invoice</t>
        </is>
      </c>
      <c r="G104" s="4" t="n">
        <v>104.02</v>
      </c>
      <c r="H104" t="inlineStr">
        <is>
          <t>USD</t>
        </is>
      </c>
      <c r="I104" t="inlineStr">
        <is>
          <t>USD</t>
        </is>
      </c>
      <c r="J104" s="18" t="n">
        <v>1</v>
      </c>
      <c r="K104" s="4" t="n">
        <v>104.02</v>
      </c>
      <c r="L104" t="inlineStr">
        <is>
          <t>documents</t>
        </is>
      </c>
      <c r="M104" s="19" t="inlineStr">
        <is>
          <t>4411288-AS-103259</t>
        </is>
      </c>
      <c r="N104" t="inlineStr">
        <is>
          <t>https://drive.google.com/file/d/1XnGcYQ3IIFT7ZGTqANTb8CAkE8QwnOv_/view?usp=drivesdk</t>
        </is>
      </c>
    </row>
    <row r="105" ht="12" customHeight="1">
      <c r="A105" t="inlineStr">
        <is>
          <t>202604</t>
        </is>
      </c>
      <c r="B105" t="inlineStr">
        <is>
          <t>INC</t>
        </is>
      </c>
      <c r="C105" t="inlineStr">
        <is>
          <t>cogs</t>
        </is>
      </c>
      <c r="D105" t="inlineStr">
        <is>
          <t>manufacturing</t>
        </is>
      </c>
      <c r="E105" t="inlineStr">
        <is>
          <t>JONDO</t>
        </is>
      </c>
      <c r="F105" t="inlineStr">
        <is>
          <t>invoice</t>
        </is>
      </c>
      <c r="G105" s="4" t="n">
        <v>44.62</v>
      </c>
      <c r="H105" t="inlineStr">
        <is>
          <t>USD</t>
        </is>
      </c>
      <c r="I105" t="inlineStr">
        <is>
          <t>USD</t>
        </is>
      </c>
      <c r="J105" s="18" t="n">
        <v>1</v>
      </c>
      <c r="K105" s="4" t="n">
        <v>44.62</v>
      </c>
      <c r="L105" t="inlineStr">
        <is>
          <t>documents</t>
        </is>
      </c>
      <c r="M105" s="19" t="inlineStr">
        <is>
          <t>4412390-AS-103601</t>
        </is>
      </c>
      <c r="N105" t="inlineStr">
        <is>
          <t>https://drive.google.com/file/d/1ZqqfTbSpgYbVglUq7h66PqEdTXv7tTOV/view?usp=drivesdk</t>
        </is>
      </c>
    </row>
    <row r="106" ht="12" customHeight="1">
      <c r="A106" t="inlineStr">
        <is>
          <t>202604</t>
        </is>
      </c>
      <c r="B106" t="inlineStr">
        <is>
          <t>INC</t>
        </is>
      </c>
      <c r="C106" t="inlineStr">
        <is>
          <t>cogs</t>
        </is>
      </c>
      <c r="D106" t="inlineStr">
        <is>
          <t>manufacturing</t>
        </is>
      </c>
      <c r="E106" t="inlineStr">
        <is>
          <t>JONDO</t>
        </is>
      </c>
      <c r="F106" t="inlineStr">
        <is>
          <t>invoice</t>
        </is>
      </c>
      <c r="G106" s="4" t="n">
        <v>31.61</v>
      </c>
      <c r="H106" t="inlineStr">
        <is>
          <t>USD</t>
        </is>
      </c>
      <c r="I106" t="inlineStr">
        <is>
          <t>USD</t>
        </is>
      </c>
      <c r="J106" s="18" t="n">
        <v>1</v>
      </c>
      <c r="K106" s="4" t="n">
        <v>31.61</v>
      </c>
      <c r="L106" t="inlineStr">
        <is>
          <t>documents</t>
        </is>
      </c>
      <c r="M106" s="19" t="inlineStr">
        <is>
          <t>4413197-AS-103687</t>
        </is>
      </c>
      <c r="N106" t="inlineStr">
        <is>
          <t>https://drive.google.com/file/d/1xHkD6qq2E5vMJF4lTz7Ibr_nh-gN-LUA/view?usp=drivesdk</t>
        </is>
      </c>
    </row>
    <row r="107" ht="12" customHeight="1">
      <c r="A107" t="inlineStr">
        <is>
          <t>202604</t>
        </is>
      </c>
      <c r="B107" t="inlineStr">
        <is>
          <t>INC</t>
        </is>
      </c>
      <c r="C107" t="inlineStr">
        <is>
          <t>cogs</t>
        </is>
      </c>
      <c r="D107" t="inlineStr">
        <is>
          <t>manufacturing</t>
        </is>
      </c>
      <c r="E107" t="inlineStr">
        <is>
          <t>JONDO</t>
        </is>
      </c>
      <c r="F107" t="inlineStr">
        <is>
          <t>invoice</t>
        </is>
      </c>
      <c r="G107" s="4" t="n">
        <v>211.77</v>
      </c>
      <c r="H107" t="inlineStr">
        <is>
          <t>USD</t>
        </is>
      </c>
      <c r="I107" t="inlineStr">
        <is>
          <t>USD</t>
        </is>
      </c>
      <c r="J107" s="18" t="n">
        <v>1</v>
      </c>
      <c r="K107" s="4" t="n">
        <v>211.77</v>
      </c>
      <c r="L107" t="inlineStr">
        <is>
          <t>documents</t>
        </is>
      </c>
      <c r="M107" s="19" t="inlineStr">
        <is>
          <t>4413198-AS-103519</t>
        </is>
      </c>
      <c r="N107" t="inlineStr">
        <is>
          <t>https://drive.google.com/file/d/1Xus5OWdK4Dd3zIuCdPSoCDEoynyGI4Ke/view?usp=drivesdk</t>
        </is>
      </c>
    </row>
    <row r="108" ht="12" customHeight="1">
      <c r="A108" t="inlineStr">
        <is>
          <t>202604</t>
        </is>
      </c>
      <c r="B108" t="inlineStr">
        <is>
          <t>INC</t>
        </is>
      </c>
      <c r="C108" t="inlineStr">
        <is>
          <t>cogs</t>
        </is>
      </c>
      <c r="D108" t="inlineStr">
        <is>
          <t>manufacturing</t>
        </is>
      </c>
      <c r="E108" t="inlineStr">
        <is>
          <t>JONDO</t>
        </is>
      </c>
      <c r="F108" t="inlineStr">
        <is>
          <t>invoice</t>
        </is>
      </c>
      <c r="G108" s="4" t="n">
        <v>107.6</v>
      </c>
      <c r="H108" t="inlineStr">
        <is>
          <t>USD</t>
        </is>
      </c>
      <c r="I108" t="inlineStr">
        <is>
          <t>USD</t>
        </is>
      </c>
      <c r="J108" s="18" t="n">
        <v>1</v>
      </c>
      <c r="K108" s="4" t="n">
        <v>107.6</v>
      </c>
      <c r="L108" t="inlineStr">
        <is>
          <t>documents</t>
        </is>
      </c>
      <c r="M108" s="19" t="inlineStr">
        <is>
          <t>4416660-AS-103846</t>
        </is>
      </c>
      <c r="N108" t="inlineStr">
        <is>
          <t>https://drive.google.com/file/d/1GIKULHSQWJli1cm93rRRK6EtE3XQ5sbf/view?usp=drivesdk</t>
        </is>
      </c>
    </row>
    <row r="109" ht="12" customHeight="1">
      <c r="A109" t="inlineStr">
        <is>
          <t>202604</t>
        </is>
      </c>
      <c r="B109" t="inlineStr">
        <is>
          <t>INC</t>
        </is>
      </c>
      <c r="C109" t="inlineStr">
        <is>
          <t>cogs</t>
        </is>
      </c>
      <c r="D109" t="inlineStr">
        <is>
          <t>manufacturing</t>
        </is>
      </c>
      <c r="E109" t="inlineStr">
        <is>
          <t>JONDO</t>
        </is>
      </c>
      <c r="F109" t="inlineStr">
        <is>
          <t>invoice</t>
        </is>
      </c>
      <c r="G109" s="4" t="n">
        <v>22.39</v>
      </c>
      <c r="H109" t="inlineStr">
        <is>
          <t>USD</t>
        </is>
      </c>
      <c r="I109" t="inlineStr">
        <is>
          <t>USD</t>
        </is>
      </c>
      <c r="J109" s="18" t="n">
        <v>1</v>
      </c>
      <c r="K109" s="4" t="n">
        <v>22.39</v>
      </c>
      <c r="L109" t="inlineStr">
        <is>
          <t>documents</t>
        </is>
      </c>
      <c r="M109" s="19" t="inlineStr">
        <is>
          <t>4417786-AS-104125</t>
        </is>
      </c>
      <c r="N109" t="inlineStr">
        <is>
          <t>https://drive.google.com/file/d/1BuS0JHOxQkN-NEre26uwmyf2hPhjblk_/view?usp=drivesdk</t>
        </is>
      </c>
    </row>
    <row r="110" ht="12" customHeight="1">
      <c r="A110" t="inlineStr">
        <is>
          <t>202604</t>
        </is>
      </c>
      <c r="B110" t="inlineStr">
        <is>
          <t>INC</t>
        </is>
      </c>
      <c r="C110" t="inlineStr">
        <is>
          <t>cogs</t>
        </is>
      </c>
      <c r="D110" t="inlineStr">
        <is>
          <t>manufacturing</t>
        </is>
      </c>
      <c r="E110" t="inlineStr">
        <is>
          <t>JONDO</t>
        </is>
      </c>
      <c r="F110" t="inlineStr">
        <is>
          <t>invoice</t>
        </is>
      </c>
      <c r="G110" s="4" t="n">
        <v>120.07</v>
      </c>
      <c r="H110" t="inlineStr">
        <is>
          <t>USD</t>
        </is>
      </c>
      <c r="I110" t="inlineStr">
        <is>
          <t>USD</t>
        </is>
      </c>
      <c r="J110" s="18" t="n">
        <v>1</v>
      </c>
      <c r="K110" s="4" t="n">
        <v>120.07</v>
      </c>
      <c r="L110" t="inlineStr">
        <is>
          <t>documents</t>
        </is>
      </c>
      <c r="M110" s="19" t="inlineStr">
        <is>
          <t>4421562-AS-104370</t>
        </is>
      </c>
      <c r="N110" t="inlineStr">
        <is>
          <t>https://drive.google.com/file/d/1Zai5SdpSiYknofu3kYpK3tpoYmgqZkKp/view?usp=drivesdk</t>
        </is>
      </c>
    </row>
    <row r="111" ht="12" customHeight="1">
      <c r="A111" t="inlineStr">
        <is>
          <t>202604</t>
        </is>
      </c>
      <c r="B111" t="inlineStr">
        <is>
          <t>INC</t>
        </is>
      </c>
      <c r="C111" t="inlineStr">
        <is>
          <t>cogs</t>
        </is>
      </c>
      <c r="D111" t="inlineStr">
        <is>
          <t>manufacturing</t>
        </is>
      </c>
      <c r="E111" t="inlineStr">
        <is>
          <t>JONDO</t>
        </is>
      </c>
      <c r="F111" t="inlineStr">
        <is>
          <t>invoice</t>
        </is>
      </c>
      <c r="G111" s="4" t="n">
        <v>80.81</v>
      </c>
      <c r="H111" t="inlineStr">
        <is>
          <t>USD</t>
        </is>
      </c>
      <c r="I111" t="inlineStr">
        <is>
          <t>USD</t>
        </is>
      </c>
      <c r="J111" s="18" t="n">
        <v>1</v>
      </c>
      <c r="K111" s="4" t="n">
        <v>80.81</v>
      </c>
      <c r="L111" t="inlineStr">
        <is>
          <t>documents</t>
        </is>
      </c>
      <c r="M111" s="19" t="inlineStr">
        <is>
          <t>4425411-AS-104643</t>
        </is>
      </c>
      <c r="N111" t="inlineStr">
        <is>
          <t>https://drive.google.com/file/d/1i1ip4fPPgQRjDtVAp7qRLlN76V9r3nnP/view?usp=drivesdk</t>
        </is>
      </c>
    </row>
    <row r="112" ht="12" customHeight="1">
      <c r="A112" t="inlineStr">
        <is>
          <t>202604</t>
        </is>
      </c>
      <c r="B112" t="inlineStr">
        <is>
          <t>INC</t>
        </is>
      </c>
      <c r="C112" t="inlineStr">
        <is>
          <t>cogs</t>
        </is>
      </c>
      <c r="D112" t="inlineStr">
        <is>
          <t>manufacturing</t>
        </is>
      </c>
      <c r="E112" t="inlineStr">
        <is>
          <t>JONDO</t>
        </is>
      </c>
      <c r="F112" t="inlineStr">
        <is>
          <t>invoice</t>
        </is>
      </c>
      <c r="G112" s="4" t="n">
        <v>41.82</v>
      </c>
      <c r="H112" t="inlineStr">
        <is>
          <t>USD</t>
        </is>
      </c>
      <c r="I112" t="inlineStr">
        <is>
          <t>USD</t>
        </is>
      </c>
      <c r="J112" s="18" t="n">
        <v>1</v>
      </c>
      <c r="K112" s="4" t="n">
        <v>41.82</v>
      </c>
      <c r="L112" t="inlineStr">
        <is>
          <t>documents</t>
        </is>
      </c>
      <c r="M112" s="19" t="inlineStr">
        <is>
          <t>4425412-AS-104694</t>
        </is>
      </c>
      <c r="N112" t="inlineStr">
        <is>
          <t>https://drive.google.com/file/d/1cU1lwn0ZqrNGS3AOsZh3B1XUFOHMiLnv/view?usp=drivesdk</t>
        </is>
      </c>
    </row>
    <row r="113" ht="12" customHeight="1">
      <c r="A113" t="inlineStr">
        <is>
          <t>202604</t>
        </is>
      </c>
      <c r="B113" t="inlineStr">
        <is>
          <t>INC</t>
        </is>
      </c>
      <c r="C113" t="inlineStr">
        <is>
          <t>cogs</t>
        </is>
      </c>
      <c r="D113" t="inlineStr">
        <is>
          <t>manufacturing</t>
        </is>
      </c>
      <c r="E113" t="inlineStr">
        <is>
          <t>JONDO</t>
        </is>
      </c>
      <c r="F113" t="inlineStr">
        <is>
          <t>invoice</t>
        </is>
      </c>
      <c r="G113" s="4" t="n">
        <v>32.57</v>
      </c>
      <c r="H113" t="inlineStr">
        <is>
          <t>USD</t>
        </is>
      </c>
      <c r="I113" t="inlineStr">
        <is>
          <t>USD</t>
        </is>
      </c>
      <c r="J113" s="18" t="n">
        <v>1</v>
      </c>
      <c r="K113" s="4" t="n">
        <v>32.57</v>
      </c>
      <c r="L113" t="inlineStr">
        <is>
          <t>documents</t>
        </is>
      </c>
      <c r="M113" s="19" t="inlineStr">
        <is>
          <t>4425413-AS-104525</t>
        </is>
      </c>
      <c r="N113" t="inlineStr">
        <is>
          <t>https://drive.google.com/file/d/1tZGByodZoOedJ9bp4seMfPvtDG50xowk/view?usp=drivesdk</t>
        </is>
      </c>
    </row>
    <row r="114" ht="12" customHeight="1">
      <c r="A114" t="inlineStr">
        <is>
          <t>202604</t>
        </is>
      </c>
      <c r="B114" t="inlineStr">
        <is>
          <t>INC</t>
        </is>
      </c>
      <c r="C114" t="inlineStr">
        <is>
          <t>cogs</t>
        </is>
      </c>
      <c r="D114" t="inlineStr">
        <is>
          <t>manufacturing</t>
        </is>
      </c>
      <c r="E114" t="inlineStr">
        <is>
          <t>JONDO</t>
        </is>
      </c>
      <c r="F114" t="inlineStr">
        <is>
          <t>invoice</t>
        </is>
      </c>
      <c r="G114" s="4" t="n">
        <v>45.53</v>
      </c>
      <c r="H114" t="inlineStr">
        <is>
          <t>USD</t>
        </is>
      </c>
      <c r="I114" t="inlineStr">
        <is>
          <t>USD</t>
        </is>
      </c>
      <c r="J114" s="18" t="n">
        <v>1</v>
      </c>
      <c r="K114" s="4" t="n">
        <v>45.53</v>
      </c>
      <c r="L114" t="inlineStr">
        <is>
          <t>documents</t>
        </is>
      </c>
      <c r="M114" s="19" t="inlineStr">
        <is>
          <t>4425414-AS-104577</t>
        </is>
      </c>
      <c r="N114" t="inlineStr">
        <is>
          <t>https://drive.google.com/file/d/1B-KNe1kjFcrWmfKL2oaotJFlf8bu4el6/view?usp=drivesdk</t>
        </is>
      </c>
    </row>
    <row r="115" ht="12" customHeight="1">
      <c r="A115" t="inlineStr">
        <is>
          <t>202604</t>
        </is>
      </c>
      <c r="B115" t="inlineStr">
        <is>
          <t>INC</t>
        </is>
      </c>
      <c r="C115" t="inlineStr">
        <is>
          <t>cogs</t>
        </is>
      </c>
      <c r="D115" t="inlineStr">
        <is>
          <t>manufacturing</t>
        </is>
      </c>
      <c r="E115" t="inlineStr">
        <is>
          <t>JONDO</t>
        </is>
      </c>
      <c r="F115" t="inlineStr">
        <is>
          <t>invoice</t>
        </is>
      </c>
      <c r="G115" s="4" t="n">
        <v>253</v>
      </c>
      <c r="H115" t="inlineStr">
        <is>
          <t>USD</t>
        </is>
      </c>
      <c r="I115" t="inlineStr">
        <is>
          <t>USD</t>
        </is>
      </c>
      <c r="J115" s="18" t="n">
        <v>1</v>
      </c>
      <c r="K115" s="4" t="n">
        <v>253</v>
      </c>
      <c r="L115" t="inlineStr">
        <is>
          <t>documents</t>
        </is>
      </c>
      <c r="M115" s="19" t="inlineStr">
        <is>
          <t>4426924-AS-104733</t>
        </is>
      </c>
      <c r="N115" t="inlineStr">
        <is>
          <t>https://drive.google.com/file/d/1UW1w6XEqMfhkkfrXEpknj6bwlEJSZE6d/view?usp=drivesdk</t>
        </is>
      </c>
    </row>
    <row r="116" ht="12" customHeight="1">
      <c r="A116" t="inlineStr">
        <is>
          <t>202604</t>
        </is>
      </c>
      <c r="B116" t="inlineStr">
        <is>
          <t>INC</t>
        </is>
      </c>
      <c r="C116" t="inlineStr">
        <is>
          <t>cogs</t>
        </is>
      </c>
      <c r="D116" t="inlineStr">
        <is>
          <t>manufacturing</t>
        </is>
      </c>
      <c r="E116" t="inlineStr">
        <is>
          <t>JONDO</t>
        </is>
      </c>
      <c r="F116" t="inlineStr">
        <is>
          <t>invoice</t>
        </is>
      </c>
      <c r="G116" s="4" t="n">
        <v>81.95999999999999</v>
      </c>
      <c r="H116" t="inlineStr">
        <is>
          <t>USD</t>
        </is>
      </c>
      <c r="I116" t="inlineStr">
        <is>
          <t>USD</t>
        </is>
      </c>
      <c r="J116" s="18" t="n">
        <v>1</v>
      </c>
      <c r="K116" s="4" t="n">
        <v>81.95999999999999</v>
      </c>
      <c r="L116" t="inlineStr">
        <is>
          <t>documents</t>
        </is>
      </c>
      <c r="M116" s="19" t="inlineStr">
        <is>
          <t>4426925-AS-104749</t>
        </is>
      </c>
      <c r="N116" t="inlineStr">
        <is>
          <t>https://drive.google.com/file/d/10QuD2vUpYefpRPxZRe7klt_UKHD5wktJ/view?usp=drivesdk</t>
        </is>
      </c>
    </row>
    <row r="117" ht="12" customHeight="1">
      <c r="A117" t="inlineStr">
        <is>
          <t>202604</t>
        </is>
      </c>
      <c r="B117" t="inlineStr">
        <is>
          <t>INC</t>
        </is>
      </c>
      <c r="C117" t="inlineStr">
        <is>
          <t>cogs</t>
        </is>
      </c>
      <c r="D117" t="inlineStr">
        <is>
          <t>manufacturing</t>
        </is>
      </c>
      <c r="E117" t="inlineStr">
        <is>
          <t>JONDO</t>
        </is>
      </c>
      <c r="F117" t="inlineStr">
        <is>
          <t>invoice</t>
        </is>
      </c>
      <c r="G117" s="4" t="n">
        <v>32.12</v>
      </c>
      <c r="H117" t="inlineStr">
        <is>
          <t>USD</t>
        </is>
      </c>
      <c r="I117" t="inlineStr">
        <is>
          <t>USD</t>
        </is>
      </c>
      <c r="J117" s="18" t="n">
        <v>1</v>
      </c>
      <c r="K117" s="4" t="n">
        <v>32.12</v>
      </c>
      <c r="L117" t="inlineStr">
        <is>
          <t>documents</t>
        </is>
      </c>
      <c r="M117" s="19" t="inlineStr">
        <is>
          <t>4426926-AS-104768</t>
        </is>
      </c>
      <c r="N117" t="inlineStr">
        <is>
          <t>https://drive.google.com/file/d/1tfuXCU5azBrZ7ndqz7gLnFoZaXNvnU5m/view?usp=drivesdk</t>
        </is>
      </c>
    </row>
    <row r="118" ht="12" customHeight="1">
      <c r="A118" t="inlineStr">
        <is>
          <t>202604</t>
        </is>
      </c>
      <c r="B118" t="inlineStr">
        <is>
          <t>INC</t>
        </is>
      </c>
      <c r="C118" t="inlineStr">
        <is>
          <t>cogs</t>
        </is>
      </c>
      <c r="D118" t="inlineStr">
        <is>
          <t>manufacturing</t>
        </is>
      </c>
      <c r="E118" t="inlineStr">
        <is>
          <t>JONDO</t>
        </is>
      </c>
      <c r="F118" t="inlineStr">
        <is>
          <t>invoice</t>
        </is>
      </c>
      <c r="G118" s="4" t="n">
        <v>32.57</v>
      </c>
      <c r="H118" t="inlineStr">
        <is>
          <t>USD</t>
        </is>
      </c>
      <c r="I118" t="inlineStr">
        <is>
          <t>USD</t>
        </is>
      </c>
      <c r="J118" s="18" t="n">
        <v>1</v>
      </c>
      <c r="K118" s="4" t="n">
        <v>32.57</v>
      </c>
      <c r="L118" t="inlineStr">
        <is>
          <t>documents</t>
        </is>
      </c>
      <c r="M118" s="19" t="inlineStr">
        <is>
          <t>4428117-AS-104525</t>
        </is>
      </c>
      <c r="N118" t="inlineStr">
        <is>
          <t>https://drive.google.com/file/d/1OBCFslG-p8k9N2FPNUB0f-gWkszv48Rq/view?usp=drivesdk</t>
        </is>
      </c>
    </row>
    <row r="119" ht="12" customHeight="1">
      <c r="A119" t="inlineStr">
        <is>
          <t>202604</t>
        </is>
      </c>
      <c r="B119" t="inlineStr">
        <is>
          <t>INC</t>
        </is>
      </c>
      <c r="C119" t="inlineStr">
        <is>
          <t>cogs</t>
        </is>
      </c>
      <c r="D119" t="inlineStr">
        <is>
          <t>manufacturing</t>
        </is>
      </c>
      <c r="E119" t="inlineStr">
        <is>
          <t>JONDO</t>
        </is>
      </c>
      <c r="F119" t="inlineStr">
        <is>
          <t>invoice</t>
        </is>
      </c>
      <c r="G119" s="4" t="n">
        <v>45.53</v>
      </c>
      <c r="H119" t="inlineStr">
        <is>
          <t>USD</t>
        </is>
      </c>
      <c r="I119" t="inlineStr">
        <is>
          <t>USD</t>
        </is>
      </c>
      <c r="J119" s="18" t="n">
        <v>1</v>
      </c>
      <c r="K119" s="4" t="n">
        <v>45.53</v>
      </c>
      <c r="L119" t="inlineStr">
        <is>
          <t>documents</t>
        </is>
      </c>
      <c r="M119" s="19" t="inlineStr">
        <is>
          <t>4428118-AS-104577</t>
        </is>
      </c>
      <c r="N119" t="inlineStr">
        <is>
          <t>https://drive.google.com/file/d/1dwUPo72sQ9l2-SWtuMQSGPzt5xbk_Cdc/view?usp=drivesdk</t>
        </is>
      </c>
    </row>
    <row r="120" ht="12" customHeight="1">
      <c r="A120" t="inlineStr">
        <is>
          <t>202604</t>
        </is>
      </c>
      <c r="B120" t="inlineStr">
        <is>
          <t>INC</t>
        </is>
      </c>
      <c r="C120" t="inlineStr">
        <is>
          <t>cogs</t>
        </is>
      </c>
      <c r="D120" t="inlineStr">
        <is>
          <t>manufacturing</t>
        </is>
      </c>
      <c r="E120" t="inlineStr">
        <is>
          <t>JONDO</t>
        </is>
      </c>
      <c r="F120" t="inlineStr">
        <is>
          <t>invoice</t>
        </is>
      </c>
      <c r="G120" s="4" t="n">
        <v>68.91</v>
      </c>
      <c r="H120" t="inlineStr">
        <is>
          <t>USD</t>
        </is>
      </c>
      <c r="I120" t="inlineStr">
        <is>
          <t>USD</t>
        </is>
      </c>
      <c r="J120" s="18" t="n">
        <v>1</v>
      </c>
      <c r="K120" s="4" t="n">
        <v>68.91</v>
      </c>
      <c r="L120" t="inlineStr">
        <is>
          <t>documents</t>
        </is>
      </c>
      <c r="M120" s="19" t="inlineStr">
        <is>
          <t>4428119-AS-104835</t>
        </is>
      </c>
      <c r="N120" t="inlineStr">
        <is>
          <t>https://drive.google.com/file/d/154e-btvxE-3t50PSJNejD6xc1uR_7YXG/view?usp=drivesdk</t>
        </is>
      </c>
    </row>
    <row r="121" ht="12" customHeight="1">
      <c r="A121" t="inlineStr">
        <is>
          <t>202604</t>
        </is>
      </c>
      <c r="B121" t="inlineStr">
        <is>
          <t>INC</t>
        </is>
      </c>
      <c r="C121" t="inlineStr">
        <is>
          <t>cogs</t>
        </is>
      </c>
      <c r="D121" t="inlineStr">
        <is>
          <t>manufacturing</t>
        </is>
      </c>
      <c r="E121" t="inlineStr">
        <is>
          <t>JONDO</t>
        </is>
      </c>
      <c r="F121" t="inlineStr">
        <is>
          <t>invoice</t>
        </is>
      </c>
      <c r="G121" s="4" t="n">
        <v>80.81</v>
      </c>
      <c r="H121" t="inlineStr">
        <is>
          <t>USD</t>
        </is>
      </c>
      <c r="I121" t="inlineStr">
        <is>
          <t>USD</t>
        </is>
      </c>
      <c r="J121" s="18" t="n">
        <v>1</v>
      </c>
      <c r="K121" s="4" t="n">
        <v>80.81</v>
      </c>
      <c r="L121" t="inlineStr">
        <is>
          <t>documents</t>
        </is>
      </c>
      <c r="M121" s="19" t="inlineStr">
        <is>
          <t>4428120-AS-104643</t>
        </is>
      </c>
      <c r="N121" t="inlineStr">
        <is>
          <t>https://drive.google.com/file/d/1cr4hBdcfltS3GKUWeUYHEXSuDC4NkH_y/view?usp=drivesdk</t>
        </is>
      </c>
    </row>
    <row r="122" ht="12" customHeight="1">
      <c r="A122" t="inlineStr">
        <is>
          <t>202604</t>
        </is>
      </c>
      <c r="B122" t="inlineStr">
        <is>
          <t>INC</t>
        </is>
      </c>
      <c r="C122" t="inlineStr">
        <is>
          <t>cogs</t>
        </is>
      </c>
      <c r="D122" t="inlineStr">
        <is>
          <t>manufacturing</t>
        </is>
      </c>
      <c r="E122" t="inlineStr">
        <is>
          <t>JONDO</t>
        </is>
      </c>
      <c r="F122" t="inlineStr">
        <is>
          <t>invoice</t>
        </is>
      </c>
      <c r="G122" s="4" t="n">
        <v>41.82</v>
      </c>
      <c r="H122" t="inlineStr">
        <is>
          <t>USD</t>
        </is>
      </c>
      <c r="I122" t="inlineStr">
        <is>
          <t>USD</t>
        </is>
      </c>
      <c r="J122" s="18" t="n">
        <v>1</v>
      </c>
      <c r="K122" s="4" t="n">
        <v>41.82</v>
      </c>
      <c r="L122" t="inlineStr">
        <is>
          <t>documents</t>
        </is>
      </c>
      <c r="M122" s="19" t="inlineStr">
        <is>
          <t>4428121-AS-104694</t>
        </is>
      </c>
      <c r="N122" t="inlineStr">
        <is>
          <t>https://drive.google.com/file/d/17EebwUm28b0ArBmC4spA-YWwFmK0Fbef/view?usp=drivesdk</t>
        </is>
      </c>
    </row>
    <row r="123" ht="12" customHeight="1">
      <c r="A123" t="inlineStr">
        <is>
          <t>202604</t>
        </is>
      </c>
      <c r="B123" t="inlineStr">
        <is>
          <t>INC</t>
        </is>
      </c>
      <c r="C123" t="inlineStr">
        <is>
          <t>cogs</t>
        </is>
      </c>
      <c r="D123" t="inlineStr">
        <is>
          <t>manufacturing</t>
        </is>
      </c>
      <c r="E123" t="inlineStr">
        <is>
          <t>JONDO</t>
        </is>
      </c>
      <c r="F123" t="inlineStr">
        <is>
          <t>invoice</t>
        </is>
      </c>
      <c r="G123" s="4" t="n">
        <v>52.05</v>
      </c>
      <c r="H123" t="inlineStr">
        <is>
          <t>USD</t>
        </is>
      </c>
      <c r="I123" t="inlineStr">
        <is>
          <t>USD</t>
        </is>
      </c>
      <c r="J123" s="18" t="n">
        <v>1</v>
      </c>
      <c r="K123" s="4" t="n">
        <v>52.05</v>
      </c>
      <c r="L123" t="inlineStr">
        <is>
          <t>documents</t>
        </is>
      </c>
      <c r="M123" s="19" t="inlineStr">
        <is>
          <t>4428965-AS-104863</t>
        </is>
      </c>
      <c r="N123" t="inlineStr">
        <is>
          <t>https://drive.google.com/file/d/16gmnBEEeBXW_qBiCT7Ri1j7xQ3ucbiRQ/view?usp=drivesdk</t>
        </is>
      </c>
    </row>
    <row r="124" ht="12" customHeight="1">
      <c r="A124" t="inlineStr">
        <is>
          <t>202604</t>
        </is>
      </c>
      <c r="B124" t="inlineStr">
        <is>
          <t>INC</t>
        </is>
      </c>
      <c r="C124" t="inlineStr">
        <is>
          <t>cogs</t>
        </is>
      </c>
      <c r="D124" t="inlineStr">
        <is>
          <t>manufacturing</t>
        </is>
      </c>
      <c r="E124" t="inlineStr">
        <is>
          <t>JONDO</t>
        </is>
      </c>
      <c r="F124" t="inlineStr">
        <is>
          <t>invoice</t>
        </is>
      </c>
      <c r="G124" s="4" t="n">
        <v>27.74</v>
      </c>
      <c r="H124" t="inlineStr">
        <is>
          <t>USD</t>
        </is>
      </c>
      <c r="I124" t="inlineStr">
        <is>
          <t>USD</t>
        </is>
      </c>
      <c r="J124" s="18" t="n">
        <v>1</v>
      </c>
      <c r="K124" s="4" t="n">
        <v>27.74</v>
      </c>
      <c r="L124" t="inlineStr">
        <is>
          <t>documents</t>
        </is>
      </c>
      <c r="M124" s="19" t="inlineStr">
        <is>
          <t>4431846-AS-105060</t>
        </is>
      </c>
      <c r="N124" t="inlineStr">
        <is>
          <t>https://drive.google.com/file/d/1p6YTOtsyuA1rDKOTBwgfilqKdiQ-WLt9/view?usp=drivesdk</t>
        </is>
      </c>
    </row>
    <row r="125" ht="12" customHeight="1">
      <c r="A125" t="inlineStr">
        <is>
          <t>202604</t>
        </is>
      </c>
      <c r="B125" t="inlineStr">
        <is>
          <t>INC</t>
        </is>
      </c>
      <c r="C125" t="inlineStr">
        <is>
          <t>cogs</t>
        </is>
      </c>
      <c r="D125" t="inlineStr">
        <is>
          <t>manufacturing</t>
        </is>
      </c>
      <c r="E125" t="inlineStr">
        <is>
          <t>JONDO</t>
        </is>
      </c>
      <c r="F125" t="inlineStr">
        <is>
          <t>invoice</t>
        </is>
      </c>
      <c r="G125" s="4" t="n">
        <v>45.55</v>
      </c>
      <c r="H125" t="inlineStr">
        <is>
          <t>USD</t>
        </is>
      </c>
      <c r="I125" t="inlineStr">
        <is>
          <t>USD</t>
        </is>
      </c>
      <c r="J125" s="18" t="n">
        <v>1</v>
      </c>
      <c r="K125" s="4" t="n">
        <v>45.55</v>
      </c>
      <c r="L125" t="inlineStr">
        <is>
          <t>documents</t>
        </is>
      </c>
      <c r="M125" s="19" t="inlineStr">
        <is>
          <t>4433113-AS-105219</t>
        </is>
      </c>
      <c r="N125" t="inlineStr">
        <is>
          <t>https://drive.google.com/file/d/1d5Bw0js6L-9utZ0FngwFz9rNkgBi7YKn/view?usp=drivesdk</t>
        </is>
      </c>
    </row>
    <row r="126" ht="12" customHeight="1">
      <c r="A126" t="inlineStr">
        <is>
          <t>202604</t>
        </is>
      </c>
      <c r="B126" t="inlineStr">
        <is>
          <t>INC</t>
        </is>
      </c>
      <c r="C126" t="inlineStr">
        <is>
          <t>cogs</t>
        </is>
      </c>
      <c r="D126" t="inlineStr">
        <is>
          <t>manufacturing</t>
        </is>
      </c>
      <c r="E126" t="inlineStr">
        <is>
          <t>JONDO</t>
        </is>
      </c>
      <c r="F126" t="inlineStr">
        <is>
          <t>invoice</t>
        </is>
      </c>
      <c r="G126" s="4" t="n">
        <v>67.19</v>
      </c>
      <c r="H126" t="inlineStr">
        <is>
          <t>USD</t>
        </is>
      </c>
      <c r="I126" t="inlineStr">
        <is>
          <t>USD</t>
        </is>
      </c>
      <c r="J126" s="18" t="n">
        <v>1</v>
      </c>
      <c r="K126" s="4" t="n">
        <v>67.19</v>
      </c>
      <c r="L126" t="inlineStr">
        <is>
          <t>documents</t>
        </is>
      </c>
      <c r="M126" s="19" t="inlineStr">
        <is>
          <t>4433114-AS-105230</t>
        </is>
      </c>
      <c r="N126" t="inlineStr">
        <is>
          <t>https://drive.google.com/file/d/1rcZloBQol8hPQIaUkr2VDiOa51W2wvjA/view?usp=drivesdk</t>
        </is>
      </c>
    </row>
    <row r="127" ht="12" customHeight="1">
      <c r="A127" t="inlineStr">
        <is>
          <t>202604</t>
        </is>
      </c>
      <c r="B127" t="inlineStr">
        <is>
          <t>INC</t>
        </is>
      </c>
      <c r="C127" t="inlineStr">
        <is>
          <t>cogs</t>
        </is>
      </c>
      <c r="D127" t="inlineStr">
        <is>
          <t>manufacturing</t>
        </is>
      </c>
      <c r="E127" t="inlineStr">
        <is>
          <t>JONDO</t>
        </is>
      </c>
      <c r="F127" t="inlineStr">
        <is>
          <t>invoice</t>
        </is>
      </c>
      <c r="G127" s="4" t="n">
        <v>84.06999999999999</v>
      </c>
      <c r="H127" t="inlineStr">
        <is>
          <t>USD</t>
        </is>
      </c>
      <c r="I127" t="inlineStr">
        <is>
          <t>USD</t>
        </is>
      </c>
      <c r="J127" s="18" t="n">
        <v>1</v>
      </c>
      <c r="K127" s="4" t="n">
        <v>84.06999999999999</v>
      </c>
      <c r="L127" t="inlineStr">
        <is>
          <t>documents</t>
        </is>
      </c>
      <c r="M127" s="19" t="inlineStr">
        <is>
          <t>4434438-AS-105257</t>
        </is>
      </c>
      <c r="N127" t="inlineStr">
        <is>
          <t>https://drive.google.com/file/d/1mJ9SCyaQT_oXnM8Zd_g1as5ReVBs9hsn/view?usp=drivesdk</t>
        </is>
      </c>
    </row>
    <row r="128" ht="12" customHeight="1">
      <c r="A128" t="inlineStr">
        <is>
          <t>202604</t>
        </is>
      </c>
      <c r="B128" t="inlineStr">
        <is>
          <t>INC</t>
        </is>
      </c>
      <c r="C128" t="inlineStr">
        <is>
          <t>cogs</t>
        </is>
      </c>
      <c r="D128" t="inlineStr">
        <is>
          <t>manufacturing</t>
        </is>
      </c>
      <c r="E128" t="inlineStr">
        <is>
          <t>JONDO</t>
        </is>
      </c>
      <c r="F128" t="inlineStr">
        <is>
          <t>invoice</t>
        </is>
      </c>
      <c r="G128" s="4" t="n">
        <v>53.48</v>
      </c>
      <c r="H128" t="inlineStr">
        <is>
          <t>USD</t>
        </is>
      </c>
      <c r="I128" t="inlineStr">
        <is>
          <t>USD</t>
        </is>
      </c>
      <c r="J128" s="18" t="n">
        <v>1</v>
      </c>
      <c r="K128" s="4" t="n">
        <v>53.48</v>
      </c>
      <c r="L128" t="inlineStr">
        <is>
          <t>documents</t>
        </is>
      </c>
      <c r="M128" s="19" t="inlineStr">
        <is>
          <t>4434439-AS-105289</t>
        </is>
      </c>
      <c r="N128" t="inlineStr">
        <is>
          <t>https://drive.google.com/file/d/1Y6W36XRUwoNnfx-VuEx3OiTwepETR5f3/view?usp=drivesdk</t>
        </is>
      </c>
    </row>
    <row r="129" ht="12" customHeight="1">
      <c r="A129" t="inlineStr">
        <is>
          <t>202604</t>
        </is>
      </c>
      <c r="B129" t="inlineStr">
        <is>
          <t>INC</t>
        </is>
      </c>
      <c r="C129" t="inlineStr">
        <is>
          <t>cogs</t>
        </is>
      </c>
      <c r="D129" t="inlineStr">
        <is>
          <t>manufacturing</t>
        </is>
      </c>
      <c r="E129" t="inlineStr">
        <is>
          <t>JONDO</t>
        </is>
      </c>
      <c r="F129" t="inlineStr">
        <is>
          <t>invoice</t>
        </is>
      </c>
      <c r="G129" s="4" t="n">
        <v>64.45999999999999</v>
      </c>
      <c r="H129" t="inlineStr">
        <is>
          <t>USD</t>
        </is>
      </c>
      <c r="I129" t="inlineStr">
        <is>
          <t>USD</t>
        </is>
      </c>
      <c r="J129" s="18" t="n">
        <v>1</v>
      </c>
      <c r="K129" s="4" t="n">
        <v>64.45999999999999</v>
      </c>
      <c r="L129" t="inlineStr">
        <is>
          <t>documents</t>
        </is>
      </c>
      <c r="M129" s="19" t="inlineStr">
        <is>
          <t>4436056-AS-105418</t>
        </is>
      </c>
      <c r="N129" t="inlineStr">
        <is>
          <t>https://drive.google.com/file/d/14oDQPyYamGYQx6ufojsP4JJBdxo3N_7w/view?usp=drivesdk</t>
        </is>
      </c>
    </row>
    <row r="130" ht="12" customHeight="1">
      <c r="A130" t="inlineStr">
        <is>
          <t>202604</t>
        </is>
      </c>
      <c r="B130" t="inlineStr">
        <is>
          <t>INC</t>
        </is>
      </c>
      <c r="C130" t="inlineStr">
        <is>
          <t>opex</t>
        </is>
      </c>
      <c r="D130" t="inlineStr">
        <is>
          <t>administration</t>
        </is>
      </c>
      <c r="E130" t="inlineStr">
        <is>
          <t>QUICKBOOKS</t>
        </is>
      </c>
      <c r="F130" t="inlineStr">
        <is>
          <t>invoice</t>
        </is>
      </c>
      <c r="G130" s="4" t="n">
        <v>121.9</v>
      </c>
      <c r="H130" t="inlineStr">
        <is>
          <t>USD</t>
        </is>
      </c>
      <c r="I130" t="inlineStr">
        <is>
          <t>USD</t>
        </is>
      </c>
      <c r="J130" s="18" t="n">
        <v>1</v>
      </c>
      <c r="K130" s="4" t="n">
        <v>121.9</v>
      </c>
      <c r="L130" t="inlineStr">
        <is>
          <t>documents</t>
        </is>
      </c>
      <c r="M130" s="19" t="inlineStr">
        <is>
          <t>10001483675456</t>
        </is>
      </c>
      <c r="N130" t="inlineStr">
        <is>
          <t>https://drive.google.com/file/d/10GMS8QOG0JEzU9zCkW6W7L8sRqY2w6oo/view?usp=drivesdk</t>
        </is>
      </c>
    </row>
    <row r="131" ht="12" customHeight="1">
      <c r="A131" t="inlineStr">
        <is>
          <t>202604</t>
        </is>
      </c>
      <c r="B131" t="inlineStr">
        <is>
          <t>INC</t>
        </is>
      </c>
      <c r="C131" t="inlineStr">
        <is>
          <t>opex</t>
        </is>
      </c>
      <c r="D131" t="inlineStr">
        <is>
          <t>shared_services</t>
        </is>
      </c>
      <c r="E131" t="inlineStr">
        <is>
          <t>SHAREDSERVICESSL</t>
        </is>
      </c>
      <c r="F131" t="inlineStr">
        <is>
          <t>invoice</t>
        </is>
      </c>
      <c r="G131" s="4" t="n">
        <v>6102.34</v>
      </c>
      <c r="H131" t="inlineStr">
        <is>
          <t>EUR</t>
        </is>
      </c>
      <c r="I131" t="inlineStr">
        <is>
          <t>USD</t>
        </is>
      </c>
      <c r="J131" s="18" t="n">
        <v>1.1702</v>
      </c>
      <c r="K131" s="4" t="n">
        <v>7140.96</v>
      </c>
      <c r="L131" t="inlineStr">
        <is>
          <t>documents</t>
        </is>
      </c>
      <c r="M131" s="19" t="inlineStr">
        <is>
          <t>2026-0024</t>
        </is>
      </c>
      <c r="N131" t="inlineStr">
        <is>
          <t>https://drive.google.com/file/d/1nA8pTTvpT0O76zFAg7QOq9o2784L7_T5/view?usp=drivesdk</t>
        </is>
      </c>
    </row>
    <row r="132" ht="12" customHeight="1">
      <c r="A132" t="inlineStr">
        <is>
          <t>202604</t>
        </is>
      </c>
      <c r="B132" t="inlineStr">
        <is>
          <t>INC</t>
        </is>
      </c>
      <c r="C132" t="inlineStr">
        <is>
          <t>cogs</t>
        </is>
      </c>
      <c r="D132" t="inlineStr">
        <is>
          <t>manufacturing</t>
        </is>
      </c>
      <c r="E132" t="inlineStr">
        <is>
          <t>TGI</t>
        </is>
      </c>
      <c r="F132" t="inlineStr">
        <is>
          <t>manufacturing</t>
        </is>
      </c>
      <c r="G132" s="4" t="n">
        <v>1620.64</v>
      </c>
      <c r="H132" t="inlineStr">
        <is>
          <t>USD</t>
        </is>
      </c>
      <c r="I132" t="inlineStr">
        <is>
          <t>USD</t>
        </is>
      </c>
      <c r="J132" s="18" t="n">
        <v>1</v>
      </c>
      <c r="K132" s="4" t="n">
        <v>1620.64</v>
      </c>
      <c r="L132" t="inlineStr">
        <is>
          <t>documents</t>
        </is>
      </c>
      <c r="M132" s="19" t="inlineStr">
        <is>
          <t>171902</t>
        </is>
      </c>
      <c r="N132" t="inlineStr">
        <is>
          <t>https://drive.google.com/file/d/1IIuwXzxain1ekEBSznzKVAfF3nKqdIkH/view?usp=drivesdk</t>
        </is>
      </c>
    </row>
    <row r="133" ht="12" customHeight="1">
      <c r="A133" t="inlineStr">
        <is>
          <t>202604</t>
        </is>
      </c>
      <c r="B133" t="inlineStr">
        <is>
          <t>INC</t>
        </is>
      </c>
      <c r="C133" t="inlineStr">
        <is>
          <t>cogs</t>
        </is>
      </c>
      <c r="D133" t="inlineStr">
        <is>
          <t>logistics</t>
        </is>
      </c>
      <c r="E133" t="inlineStr">
        <is>
          <t>TGI</t>
        </is>
      </c>
      <c r="F133" t="inlineStr">
        <is>
          <t>logistics</t>
        </is>
      </c>
      <c r="G133" s="4" t="n">
        <v>2945.34</v>
      </c>
      <c r="H133" t="inlineStr">
        <is>
          <t>USD</t>
        </is>
      </c>
      <c r="I133" t="inlineStr">
        <is>
          <t>USD</t>
        </is>
      </c>
      <c r="J133" s="18" t="n">
        <v>1</v>
      </c>
      <c r="K133" s="4" t="n">
        <v>2945.34</v>
      </c>
      <c r="L133" t="inlineStr">
        <is>
          <t>documents</t>
        </is>
      </c>
      <c r="M133" s="19" t="inlineStr">
        <is>
          <t>171903</t>
        </is>
      </c>
      <c r="N133" t="inlineStr">
        <is>
          <t>https://drive.google.com/file/d/1x9DKQm2r5Bqa1HKdVtNxxzDN1_WRbLr1/view?usp=drivesdk</t>
        </is>
      </c>
    </row>
    <row r="134" ht="12" customHeight="1">
      <c r="A134" t="inlineStr">
        <is>
          <t>202605</t>
        </is>
      </c>
      <c r="B134" t="inlineStr">
        <is>
          <t>INC</t>
        </is>
      </c>
      <c r="C134" t="inlineStr">
        <is>
          <t>opex</t>
        </is>
      </c>
      <c r="D134" t="inlineStr">
        <is>
          <t>administration</t>
        </is>
      </c>
      <c r="E134" t="inlineStr">
        <is>
          <t>CONTINUUM</t>
        </is>
      </c>
      <c r="F134" t="inlineStr">
        <is>
          <t>invoice</t>
        </is>
      </c>
      <c r="G134" s="4" t="n">
        <v>1150</v>
      </c>
      <c r="H134" t="inlineStr">
        <is>
          <t>USD</t>
        </is>
      </c>
      <c r="I134" t="inlineStr">
        <is>
          <t>USD</t>
        </is>
      </c>
      <c r="J134" s="18" t="n">
        <v>1</v>
      </c>
      <c r="K134" s="4" t="n">
        <v>1150</v>
      </c>
      <c r="L134" t="inlineStr">
        <is>
          <t>documents</t>
        </is>
      </c>
      <c r="M134" s="19" t="inlineStr">
        <is>
          <t>1285</t>
        </is>
      </c>
      <c r="N134" t="inlineStr">
        <is>
          <t>https://drive.google.com/file/d/14RebM9T6okZWl1_QjsKBrKfH_moYj-bx/view?usp=drivesdk</t>
        </is>
      </c>
    </row>
    <row r="135" ht="12" customHeight="1">
      <c r="A135" t="inlineStr">
        <is>
          <t>202605</t>
        </is>
      </c>
      <c r="B135" t="inlineStr">
        <is>
          <t>INC</t>
        </is>
      </c>
      <c r="C135" t="inlineStr">
        <is>
          <t>opex</t>
        </is>
      </c>
      <c r="D135" t="inlineStr">
        <is>
          <t>administration</t>
        </is>
      </c>
      <c r="E135" t="inlineStr">
        <is>
          <t>HUSHED</t>
        </is>
      </c>
      <c r="F135" t="inlineStr">
        <is>
          <t>invoice</t>
        </is>
      </c>
      <c r="G135" s="4" t="n">
        <v>4.99</v>
      </c>
      <c r="H135" t="inlineStr">
        <is>
          <t>USD</t>
        </is>
      </c>
      <c r="I135" t="inlineStr">
        <is>
          <t>USD</t>
        </is>
      </c>
      <c r="J135" s="18" t="n">
        <v>1</v>
      </c>
      <c r="K135" s="4" t="n">
        <v>4.99</v>
      </c>
      <c r="L135" t="inlineStr">
        <is>
          <t>documents</t>
        </is>
      </c>
      <c r="M135" s="19" t="inlineStr">
        <is>
          <t>2264-3993</t>
        </is>
      </c>
      <c r="N135" t="inlineStr">
        <is>
          <t>https://drive.google.com/file/d/1lTXgoeRa-ffxxjQ80n2qLM806BQ5JtD_/view?usp=drivesdk</t>
        </is>
      </c>
    </row>
    <row r="136" ht="12" customHeight="1">
      <c r="A136" t="inlineStr">
        <is>
          <t>202605</t>
        </is>
      </c>
      <c r="B136" t="inlineStr">
        <is>
          <t>INC</t>
        </is>
      </c>
      <c r="C136" t="inlineStr">
        <is>
          <t>opex</t>
        </is>
      </c>
      <c r="D136" t="inlineStr">
        <is>
          <t>administration</t>
        </is>
      </c>
      <c r="E136" t="inlineStr">
        <is>
          <t>IPOSTAL</t>
        </is>
      </c>
      <c r="F136" t="inlineStr">
        <is>
          <t>invoice</t>
        </is>
      </c>
      <c r="G136" s="4" t="n">
        <v>1.1</v>
      </c>
      <c r="H136" t="inlineStr">
        <is>
          <t>USD</t>
        </is>
      </c>
      <c r="I136" t="inlineStr">
        <is>
          <t>USD</t>
        </is>
      </c>
      <c r="J136" s="18" t="n">
        <v>1</v>
      </c>
      <c r="K136" s="4" t="n">
        <v>1.1</v>
      </c>
      <c r="L136" t="inlineStr">
        <is>
          <t>documents</t>
        </is>
      </c>
      <c r="M136" s="19" t="inlineStr">
        <is>
          <t>37443283</t>
        </is>
      </c>
      <c r="N136" t="inlineStr">
        <is>
          <t>https://drive.google.com/file/d/1g2EiF6nXUu4sshH4QYpojPrqD4h4E2sT/view?usp=drivesdk</t>
        </is>
      </c>
    </row>
    <row r="137" ht="12" customHeight="1">
      <c r="A137" t="inlineStr">
        <is>
          <t>202605</t>
        </is>
      </c>
      <c r="B137" t="inlineStr">
        <is>
          <t>INC</t>
        </is>
      </c>
      <c r="C137" t="inlineStr">
        <is>
          <t>opex</t>
        </is>
      </c>
      <c r="D137" t="inlineStr">
        <is>
          <t>administration</t>
        </is>
      </c>
      <c r="E137" t="inlineStr">
        <is>
          <t>IPOSTAL</t>
        </is>
      </c>
      <c r="F137" t="inlineStr">
        <is>
          <t>invoice</t>
        </is>
      </c>
      <c r="G137" s="4" t="n">
        <v>1.1</v>
      </c>
      <c r="H137" t="inlineStr">
        <is>
          <t>USD</t>
        </is>
      </c>
      <c r="I137" t="inlineStr">
        <is>
          <t>USD</t>
        </is>
      </c>
      <c r="J137" s="18" t="n">
        <v>1</v>
      </c>
      <c r="K137" s="4" t="n">
        <v>1.1</v>
      </c>
      <c r="L137" t="inlineStr">
        <is>
          <t>documents</t>
        </is>
      </c>
      <c r="M137" s="19" t="inlineStr">
        <is>
          <t>37611360</t>
        </is>
      </c>
      <c r="N137" t="inlineStr">
        <is>
          <t>https://drive.google.com/file/d/1g2EiF6nXUu4sshH4QYpojPrqD4h4E2sT/view?usp=drivesdk</t>
        </is>
      </c>
    </row>
    <row r="138" ht="12" customHeight="1">
      <c r="A138" t="inlineStr">
        <is>
          <t>202605</t>
        </is>
      </c>
      <c r="B138" t="inlineStr">
        <is>
          <t>INC</t>
        </is>
      </c>
      <c r="C138" t="inlineStr">
        <is>
          <t>opex</t>
        </is>
      </c>
      <c r="D138" t="inlineStr">
        <is>
          <t>administration</t>
        </is>
      </c>
      <c r="E138" t="inlineStr">
        <is>
          <t>IPOSTAL</t>
        </is>
      </c>
      <c r="F138" t="inlineStr">
        <is>
          <t>invoice</t>
        </is>
      </c>
      <c r="G138" s="4" t="n">
        <v>4.4</v>
      </c>
      <c r="H138" t="inlineStr">
        <is>
          <t>USD</t>
        </is>
      </c>
      <c r="I138" t="inlineStr">
        <is>
          <t>USD</t>
        </is>
      </c>
      <c r="J138" s="18" t="n">
        <v>1</v>
      </c>
      <c r="K138" s="4" t="n">
        <v>4.4</v>
      </c>
      <c r="L138" t="inlineStr">
        <is>
          <t>documents</t>
        </is>
      </c>
      <c r="M138" s="19" t="inlineStr">
        <is>
          <t>37772455</t>
        </is>
      </c>
      <c r="N138" t="inlineStr">
        <is>
          <t>https://drive.google.com/file/d/1g2EiF6nXUu4sshH4QYpojPrqD4h4E2sT/view?usp=drivesdk</t>
        </is>
      </c>
    </row>
    <row r="139" ht="12" customHeight="1">
      <c r="A139" t="inlineStr">
        <is>
          <t>202605</t>
        </is>
      </c>
      <c r="B139" t="inlineStr">
        <is>
          <t>INC</t>
        </is>
      </c>
      <c r="C139" t="inlineStr">
        <is>
          <t>opex</t>
        </is>
      </c>
      <c r="D139" t="inlineStr">
        <is>
          <t>administration</t>
        </is>
      </c>
      <c r="E139" t="inlineStr">
        <is>
          <t>IPOSTAL</t>
        </is>
      </c>
      <c r="F139" t="inlineStr">
        <is>
          <t>invoice</t>
        </is>
      </c>
      <c r="G139" s="4" t="n">
        <v>2.2</v>
      </c>
      <c r="H139" t="inlineStr">
        <is>
          <t>USD</t>
        </is>
      </c>
      <c r="I139" t="inlineStr">
        <is>
          <t>USD</t>
        </is>
      </c>
      <c r="J139" s="18" t="n">
        <v>1</v>
      </c>
      <c r="K139" s="4" t="n">
        <v>2.2</v>
      </c>
      <c r="L139" t="inlineStr">
        <is>
          <t>documents</t>
        </is>
      </c>
      <c r="M139" s="19" t="inlineStr">
        <is>
          <t>37933367</t>
        </is>
      </c>
      <c r="N139" t="inlineStr">
        <is>
          <t>https://drive.google.com/file/d/1g2EiF6nXUu4sshH4QYpojPrqD4h4E2sT/view?usp=drivesdk</t>
        </is>
      </c>
    </row>
    <row r="140" ht="12" customHeight="1">
      <c r="A140" t="inlineStr">
        <is>
          <t>202605</t>
        </is>
      </c>
      <c r="B140" t="inlineStr">
        <is>
          <t>INC</t>
        </is>
      </c>
      <c r="C140" t="inlineStr">
        <is>
          <t>opex</t>
        </is>
      </c>
      <c r="D140" t="inlineStr">
        <is>
          <t>administration</t>
        </is>
      </c>
      <c r="E140" t="inlineStr">
        <is>
          <t>IPOSTAL</t>
        </is>
      </c>
      <c r="F140" t="inlineStr">
        <is>
          <t>invoice</t>
        </is>
      </c>
      <c r="G140" s="4" t="n">
        <v>14.99</v>
      </c>
      <c r="H140" t="inlineStr">
        <is>
          <t>USD</t>
        </is>
      </c>
      <c r="I140" t="inlineStr">
        <is>
          <t>USD</t>
        </is>
      </c>
      <c r="J140" s="18" t="n">
        <v>1</v>
      </c>
      <c r="K140" s="4" t="n">
        <v>14.99</v>
      </c>
      <c r="L140" t="inlineStr">
        <is>
          <t>documents</t>
        </is>
      </c>
      <c r="M140" s="19" t="inlineStr">
        <is>
          <t>38027880</t>
        </is>
      </c>
      <c r="N140" t="inlineStr">
        <is>
          <t>https://drive.google.com/file/d/1g2EiF6nXUu4sshH4QYpojPrqD4h4E2sT/view?usp=drivesdk</t>
        </is>
      </c>
    </row>
    <row r="141" ht="12" customHeight="1">
      <c r="A141" t="inlineStr">
        <is>
          <t>202605</t>
        </is>
      </c>
      <c r="B141" t="inlineStr">
        <is>
          <t>INC</t>
        </is>
      </c>
      <c r="C141" t="inlineStr">
        <is>
          <t>opex</t>
        </is>
      </c>
      <c r="D141" t="inlineStr">
        <is>
          <t>administration</t>
        </is>
      </c>
      <c r="E141" t="inlineStr">
        <is>
          <t>IPOSTAL</t>
        </is>
      </c>
      <c r="F141" t="inlineStr">
        <is>
          <t>invoice</t>
        </is>
      </c>
      <c r="G141" s="4" t="n">
        <v>2.2</v>
      </c>
      <c r="H141" t="inlineStr">
        <is>
          <t>USD</t>
        </is>
      </c>
      <c r="I141" t="inlineStr">
        <is>
          <t>USD</t>
        </is>
      </c>
      <c r="J141" s="18" t="n">
        <v>1</v>
      </c>
      <c r="K141" s="4" t="n">
        <v>2.2</v>
      </c>
      <c r="L141" t="inlineStr">
        <is>
          <t>documents</t>
        </is>
      </c>
      <c r="M141" s="19" t="inlineStr">
        <is>
          <t>38088985</t>
        </is>
      </c>
      <c r="N141" t="inlineStr">
        <is>
          <t>https://drive.google.com/file/d/1g2EiF6nXUu4sshH4QYpojPrqD4h4E2sT/view?usp=drivesdk</t>
        </is>
      </c>
    </row>
    <row r="142" ht="12" customHeight="1">
      <c r="A142" t="inlineStr">
        <is>
          <t>202605</t>
        </is>
      </c>
      <c r="B142" t="inlineStr">
        <is>
          <t>INC</t>
        </is>
      </c>
      <c r="C142" t="inlineStr">
        <is>
          <t>cogs</t>
        </is>
      </c>
      <c r="D142" t="inlineStr">
        <is>
          <t>manufacturing</t>
        </is>
      </c>
      <c r="E142" t="inlineStr">
        <is>
          <t>JONDO</t>
        </is>
      </c>
      <c r="F142" t="inlineStr">
        <is>
          <t>invoice</t>
        </is>
      </c>
      <c r="G142" s="4" t="n">
        <v>53.38</v>
      </c>
      <c r="H142" t="inlineStr">
        <is>
          <t>USD</t>
        </is>
      </c>
      <c r="I142" t="inlineStr">
        <is>
          <t>USD</t>
        </is>
      </c>
      <c r="J142" s="18" t="n">
        <v>1</v>
      </c>
      <c r="K142" s="4" t="n">
        <v>53.38</v>
      </c>
      <c r="L142" t="inlineStr">
        <is>
          <t>documents</t>
        </is>
      </c>
      <c r="M142" s="19" t="inlineStr">
        <is>
          <t>4440069-AS-105667</t>
        </is>
      </c>
      <c r="N142" t="inlineStr">
        <is>
          <t>https://drive.google.com/file/d/18ytOGToIkXy-rzjApFltun5Y-yDDg-xX/view?usp=drivesdk</t>
        </is>
      </c>
    </row>
    <row r="143" ht="12" customHeight="1">
      <c r="A143" t="inlineStr">
        <is>
          <t>202605</t>
        </is>
      </c>
      <c r="B143" t="inlineStr">
        <is>
          <t>INC</t>
        </is>
      </c>
      <c r="C143" t="inlineStr">
        <is>
          <t>cogs</t>
        </is>
      </c>
      <c r="D143" t="inlineStr">
        <is>
          <t>manufacturing</t>
        </is>
      </c>
      <c r="E143" t="inlineStr">
        <is>
          <t>JONDO</t>
        </is>
      </c>
      <c r="F143" t="inlineStr">
        <is>
          <t>invoice</t>
        </is>
      </c>
      <c r="G143" s="4" t="n">
        <v>45.78</v>
      </c>
      <c r="H143" t="inlineStr">
        <is>
          <t>USD</t>
        </is>
      </c>
      <c r="I143" t="inlineStr">
        <is>
          <t>USD</t>
        </is>
      </c>
      <c r="J143" s="18" t="n">
        <v>1</v>
      </c>
      <c r="K143" s="4" t="n">
        <v>45.78</v>
      </c>
      <c r="L143" t="inlineStr">
        <is>
          <t>documents</t>
        </is>
      </c>
      <c r="M143" s="19" t="inlineStr">
        <is>
          <t>4440070-AS-105581</t>
        </is>
      </c>
      <c r="N143" t="inlineStr">
        <is>
          <t>https://drive.google.com/file/d/19xkE4EKEDrW6VhIr2PHTTjwZNo4nmknC/view?usp=drivesdk</t>
        </is>
      </c>
    </row>
    <row r="144" ht="12" customHeight="1">
      <c r="A144" t="inlineStr">
        <is>
          <t>202605</t>
        </is>
      </c>
      <c r="B144" t="inlineStr">
        <is>
          <t>INC</t>
        </is>
      </c>
      <c r="C144" t="inlineStr">
        <is>
          <t>cogs</t>
        </is>
      </c>
      <c r="D144" t="inlineStr">
        <is>
          <t>manufacturing</t>
        </is>
      </c>
      <c r="E144" t="inlineStr">
        <is>
          <t>JONDO</t>
        </is>
      </c>
      <c r="F144" t="inlineStr">
        <is>
          <t>invoice</t>
        </is>
      </c>
      <c r="G144" s="4" t="n">
        <v>65.51000000000001</v>
      </c>
      <c r="H144" t="inlineStr">
        <is>
          <t>USD</t>
        </is>
      </c>
      <c r="I144" t="inlineStr">
        <is>
          <t>USD</t>
        </is>
      </c>
      <c r="J144" s="18" t="n">
        <v>1</v>
      </c>
      <c r="K144" s="4" t="n">
        <v>65.51000000000001</v>
      </c>
      <c r="L144" t="inlineStr">
        <is>
          <t>documents</t>
        </is>
      </c>
      <c r="M144" s="19" t="inlineStr">
        <is>
          <t>4441419-AS-105876</t>
        </is>
      </c>
      <c r="N144" t="inlineStr">
        <is>
          <t>https://drive.google.com/file/d/17KMdk_KQoPW4qcuYLIv-W5NpLcne46Vn/view?usp=drivesdk</t>
        </is>
      </c>
    </row>
    <row r="145" ht="12" customHeight="1">
      <c r="A145" t="inlineStr">
        <is>
          <t>202605</t>
        </is>
      </c>
      <c r="B145" t="inlineStr">
        <is>
          <t>INC</t>
        </is>
      </c>
      <c r="C145" t="inlineStr">
        <is>
          <t>cogs</t>
        </is>
      </c>
      <c r="D145" t="inlineStr">
        <is>
          <t>manufacturing</t>
        </is>
      </c>
      <c r="E145" t="inlineStr">
        <is>
          <t>JONDO</t>
        </is>
      </c>
      <c r="F145" t="inlineStr">
        <is>
          <t>invoice</t>
        </is>
      </c>
      <c r="G145" s="4" t="n">
        <v>105.23</v>
      </c>
      <c r="H145" t="inlineStr">
        <is>
          <t>USD</t>
        </is>
      </c>
      <c r="I145" t="inlineStr">
        <is>
          <t>USD</t>
        </is>
      </c>
      <c r="J145" s="18" t="n">
        <v>1</v>
      </c>
      <c r="K145" s="4" t="n">
        <v>105.23</v>
      </c>
      <c r="L145" t="inlineStr">
        <is>
          <t>documents</t>
        </is>
      </c>
      <c r="M145" s="19" t="inlineStr">
        <is>
          <t>4441420-AS-105890</t>
        </is>
      </c>
      <c r="N145" t="inlineStr">
        <is>
          <t>https://drive.google.com/file/d/1JvQz5kd2zSXcECkVsBiH2y6EP_8GLqp8/view?usp=drivesdk</t>
        </is>
      </c>
    </row>
    <row r="146" ht="12" customHeight="1">
      <c r="A146" t="inlineStr">
        <is>
          <t>202605</t>
        </is>
      </c>
      <c r="B146" t="inlineStr">
        <is>
          <t>INC</t>
        </is>
      </c>
      <c r="C146" t="inlineStr">
        <is>
          <t>cogs</t>
        </is>
      </c>
      <c r="D146" t="inlineStr">
        <is>
          <t>manufacturing</t>
        </is>
      </c>
      <c r="E146" t="inlineStr">
        <is>
          <t>JONDO</t>
        </is>
      </c>
      <c r="F146" t="inlineStr">
        <is>
          <t>invoice</t>
        </is>
      </c>
      <c r="G146" s="4" t="n">
        <v>61.22</v>
      </c>
      <c r="H146" t="inlineStr">
        <is>
          <t>USD</t>
        </is>
      </c>
      <c r="I146" t="inlineStr">
        <is>
          <t>USD</t>
        </is>
      </c>
      <c r="J146" s="18" t="n">
        <v>1</v>
      </c>
      <c r="K146" s="4" t="n">
        <v>61.22</v>
      </c>
      <c r="L146" t="inlineStr">
        <is>
          <t>documents</t>
        </is>
      </c>
      <c r="M146" s="19" t="inlineStr">
        <is>
          <t>4449620-AS-106379</t>
        </is>
      </c>
      <c r="N146" t="inlineStr">
        <is>
          <t>https://drive.google.com/file/d/1HJ8QjOhaLLh82RoqUU3DWka0odw6tSIj/view?usp=drivesdk</t>
        </is>
      </c>
    </row>
    <row r="147" ht="12" customHeight="1">
      <c r="A147" t="inlineStr">
        <is>
          <t>202605</t>
        </is>
      </c>
      <c r="B147" t="inlineStr">
        <is>
          <t>INC</t>
        </is>
      </c>
      <c r="C147" t="inlineStr">
        <is>
          <t>cogs</t>
        </is>
      </c>
      <c r="D147" t="inlineStr">
        <is>
          <t>manufacturing</t>
        </is>
      </c>
      <c r="E147" t="inlineStr">
        <is>
          <t>JONDO</t>
        </is>
      </c>
      <c r="F147" t="inlineStr">
        <is>
          <t>invoice</t>
        </is>
      </c>
      <c r="G147" s="4" t="n">
        <v>81.95999999999999</v>
      </c>
      <c r="H147" t="inlineStr">
        <is>
          <t>USD</t>
        </is>
      </c>
      <c r="I147" t="inlineStr">
        <is>
          <t>USD</t>
        </is>
      </c>
      <c r="J147" s="18" t="n">
        <v>1</v>
      </c>
      <c r="K147" s="4" t="n">
        <v>81.95999999999999</v>
      </c>
      <c r="L147" t="inlineStr">
        <is>
          <t>documents</t>
        </is>
      </c>
      <c r="M147" s="19" t="inlineStr">
        <is>
          <t>4454774-AS-106751</t>
        </is>
      </c>
      <c r="N147" t="inlineStr">
        <is>
          <t>https://drive.google.com/file/d/1E2t3d44nZ0rcRZQJYHuM2lSkSoeOjrGt/view?usp=drivesdk</t>
        </is>
      </c>
    </row>
    <row r="148" ht="12" customHeight="1">
      <c r="A148" t="inlineStr">
        <is>
          <t>202605</t>
        </is>
      </c>
      <c r="B148" t="inlineStr">
        <is>
          <t>INC</t>
        </is>
      </c>
      <c r="C148" t="inlineStr">
        <is>
          <t>cogs</t>
        </is>
      </c>
      <c r="D148" t="inlineStr">
        <is>
          <t>manufacturing</t>
        </is>
      </c>
      <c r="E148" t="inlineStr">
        <is>
          <t>JONDO</t>
        </is>
      </c>
      <c r="F148" t="inlineStr">
        <is>
          <t>invoice</t>
        </is>
      </c>
      <c r="G148" s="4" t="n">
        <v>82.54000000000001</v>
      </c>
      <c r="H148" t="inlineStr">
        <is>
          <t>USD</t>
        </is>
      </c>
      <c r="I148" t="inlineStr">
        <is>
          <t>USD</t>
        </is>
      </c>
      <c r="J148" s="18" t="n">
        <v>1</v>
      </c>
      <c r="K148" s="4" t="n">
        <v>82.54000000000001</v>
      </c>
      <c r="L148" t="inlineStr">
        <is>
          <t>documents</t>
        </is>
      </c>
      <c r="M148" s="19" t="inlineStr">
        <is>
          <t>4456204-AS-106912</t>
        </is>
      </c>
      <c r="N148" t="inlineStr">
        <is>
          <t>https://drive.google.com/file/d/1-M3UeiZ-lBUr2eTUu9ZAQR7lNZFWGxu5/view?usp=drivesdk</t>
        </is>
      </c>
    </row>
    <row r="149" ht="12" customHeight="1">
      <c r="A149" t="inlineStr">
        <is>
          <t>202605</t>
        </is>
      </c>
      <c r="B149" t="inlineStr">
        <is>
          <t>INC</t>
        </is>
      </c>
      <c r="C149" t="inlineStr">
        <is>
          <t>cogs</t>
        </is>
      </c>
      <c r="D149" t="inlineStr">
        <is>
          <t>manufacturing</t>
        </is>
      </c>
      <c r="E149" t="inlineStr">
        <is>
          <t>JONDO</t>
        </is>
      </c>
      <c r="F149" t="inlineStr">
        <is>
          <t>invoice</t>
        </is>
      </c>
      <c r="G149" s="4" t="n">
        <v>31.61</v>
      </c>
      <c r="H149" t="inlineStr">
        <is>
          <t>USD</t>
        </is>
      </c>
      <c r="I149" t="inlineStr">
        <is>
          <t>USD</t>
        </is>
      </c>
      <c r="J149" s="18" t="n">
        <v>1</v>
      </c>
      <c r="K149" s="4" t="n">
        <v>31.61</v>
      </c>
      <c r="L149" t="inlineStr">
        <is>
          <t>documents</t>
        </is>
      </c>
      <c r="M149" s="19" t="inlineStr">
        <is>
          <t>4456205-AS-106971</t>
        </is>
      </c>
      <c r="N149" t="inlineStr">
        <is>
          <t>https://drive.google.com/file/d/1fzIL6_Ck9TmFnHmfABlrljqJSn9umQZL/view?usp=drivesdk</t>
        </is>
      </c>
    </row>
    <row r="150" ht="12" customHeight="1">
      <c r="A150" t="inlineStr">
        <is>
          <t>202605</t>
        </is>
      </c>
      <c r="B150" t="inlineStr">
        <is>
          <t>INC</t>
        </is>
      </c>
      <c r="C150" t="inlineStr">
        <is>
          <t>cogs</t>
        </is>
      </c>
      <c r="D150" t="inlineStr">
        <is>
          <t>manufacturing</t>
        </is>
      </c>
      <c r="E150" t="inlineStr">
        <is>
          <t>JONDO</t>
        </is>
      </c>
      <c r="F150" t="inlineStr">
        <is>
          <t>invoice</t>
        </is>
      </c>
      <c r="G150" s="4" t="n">
        <v>27.76</v>
      </c>
      <c r="H150" t="inlineStr">
        <is>
          <t>USD</t>
        </is>
      </c>
      <c r="I150" t="inlineStr">
        <is>
          <t>USD</t>
        </is>
      </c>
      <c r="J150" s="18" t="n">
        <v>1</v>
      </c>
      <c r="K150" s="4" t="n">
        <v>27.76</v>
      </c>
      <c r="L150" t="inlineStr">
        <is>
          <t>documents</t>
        </is>
      </c>
      <c r="M150" s="19" t="inlineStr">
        <is>
          <t>4456326-AS-106477</t>
        </is>
      </c>
      <c r="N150" t="inlineStr">
        <is>
          <t>https://drive.google.com/file/d/1lY2TLOZwSa50IcGd1mCLZcyFMPOOPGaj/view?usp=drivesdk</t>
        </is>
      </c>
    </row>
    <row r="151" ht="12" customHeight="1">
      <c r="A151" t="inlineStr">
        <is>
          <t>202605</t>
        </is>
      </c>
      <c r="B151" t="inlineStr">
        <is>
          <t>INC</t>
        </is>
      </c>
      <c r="C151" t="inlineStr">
        <is>
          <t>cogs</t>
        </is>
      </c>
      <c r="D151" t="inlineStr">
        <is>
          <t>manufacturing</t>
        </is>
      </c>
      <c r="E151" t="inlineStr">
        <is>
          <t>JONDO</t>
        </is>
      </c>
      <c r="F151" t="inlineStr">
        <is>
          <t>invoice</t>
        </is>
      </c>
      <c r="G151" s="4" t="n">
        <v>106.13</v>
      </c>
      <c r="H151" t="inlineStr">
        <is>
          <t>USD</t>
        </is>
      </c>
      <c r="I151" t="inlineStr">
        <is>
          <t>USD</t>
        </is>
      </c>
      <c r="J151" s="18" t="n">
        <v>1</v>
      </c>
      <c r="K151" s="4" t="n">
        <v>106.13</v>
      </c>
      <c r="L151" t="inlineStr">
        <is>
          <t>documents</t>
        </is>
      </c>
      <c r="M151" s="19" t="inlineStr">
        <is>
          <t>4460094-AS-107180</t>
        </is>
      </c>
      <c r="N151" t="inlineStr">
        <is>
          <t>https://drive.google.com/file/d/14apJ2TElnvKrdgfkXbtk8Ih75xMX0lBn/view?usp=drivesdk</t>
        </is>
      </c>
    </row>
    <row r="152" ht="12" customHeight="1">
      <c r="A152" t="inlineStr">
        <is>
          <t>202605</t>
        </is>
      </c>
      <c r="B152" t="inlineStr">
        <is>
          <t>INC</t>
        </is>
      </c>
      <c r="C152" t="inlineStr">
        <is>
          <t>cogs</t>
        </is>
      </c>
      <c r="D152" t="inlineStr">
        <is>
          <t>manufacturing</t>
        </is>
      </c>
      <c r="E152" t="inlineStr">
        <is>
          <t>JONDO</t>
        </is>
      </c>
      <c r="F152" t="inlineStr">
        <is>
          <t>invoice</t>
        </is>
      </c>
      <c r="G152" s="4" t="n">
        <v>51.24</v>
      </c>
      <c r="H152" t="inlineStr">
        <is>
          <t>USD</t>
        </is>
      </c>
      <c r="I152" t="inlineStr">
        <is>
          <t>USD</t>
        </is>
      </c>
      <c r="J152" s="18" t="n">
        <v>1</v>
      </c>
      <c r="K152" s="4" t="n">
        <v>51.24</v>
      </c>
      <c r="L152" t="inlineStr">
        <is>
          <t>documents</t>
        </is>
      </c>
      <c r="M152" s="19" t="inlineStr">
        <is>
          <t>4469149-AS-107648</t>
        </is>
      </c>
      <c r="N152" t="inlineStr">
        <is>
          <t>https://drive.google.com/file/d/1qcV3CaZbFZBXAH7Xw1ekKOFK-1ZajK-I/view?usp=drivesdk</t>
        </is>
      </c>
    </row>
    <row r="153" ht="12" customHeight="1">
      <c r="A153" t="inlineStr">
        <is>
          <t>202605</t>
        </is>
      </c>
      <c r="B153" t="inlineStr">
        <is>
          <t>INC</t>
        </is>
      </c>
      <c r="C153" t="inlineStr">
        <is>
          <t>cogs</t>
        </is>
      </c>
      <c r="D153" t="inlineStr">
        <is>
          <t>manufacturing</t>
        </is>
      </c>
      <c r="E153" t="inlineStr">
        <is>
          <t>JONDO</t>
        </is>
      </c>
      <c r="F153" t="inlineStr">
        <is>
          <t>invoice</t>
        </is>
      </c>
      <c r="G153" s="4" t="n">
        <v>50</v>
      </c>
      <c r="H153" t="inlineStr">
        <is>
          <t>USD</t>
        </is>
      </c>
      <c r="I153" t="inlineStr">
        <is>
          <t>USD</t>
        </is>
      </c>
      <c r="J153" s="18" t="n">
        <v>1</v>
      </c>
      <c r="K153" s="4" t="n">
        <v>50</v>
      </c>
      <c r="L153" t="inlineStr">
        <is>
          <t>documents</t>
        </is>
      </c>
      <c r="M153" s="19" t="inlineStr">
        <is>
          <t>4469150-AS-107705</t>
        </is>
      </c>
      <c r="N153" t="inlineStr">
        <is>
          <t>https://drive.google.com/file/d/127G6UiRiwC5wo6L3vJZ1PQlZZDOrXbzk/view?usp=drivesdk</t>
        </is>
      </c>
    </row>
    <row r="154" ht="12" customHeight="1">
      <c r="A154" t="inlineStr">
        <is>
          <t>202605</t>
        </is>
      </c>
      <c r="B154" t="inlineStr">
        <is>
          <t>INC</t>
        </is>
      </c>
      <c r="C154" t="inlineStr">
        <is>
          <t>cogs</t>
        </is>
      </c>
      <c r="D154" t="inlineStr">
        <is>
          <t>manufacturing</t>
        </is>
      </c>
      <c r="E154" t="inlineStr">
        <is>
          <t>JONDO</t>
        </is>
      </c>
      <c r="F154" t="inlineStr">
        <is>
          <t>invoice</t>
        </is>
      </c>
      <c r="G154" s="4" t="n">
        <v>50.47</v>
      </c>
      <c r="H154" t="inlineStr">
        <is>
          <t>USD</t>
        </is>
      </c>
      <c r="I154" t="inlineStr">
        <is>
          <t>USD</t>
        </is>
      </c>
      <c r="J154" s="18" t="n">
        <v>1</v>
      </c>
      <c r="K154" s="4" t="n">
        <v>50.47</v>
      </c>
      <c r="L154" t="inlineStr">
        <is>
          <t>documents</t>
        </is>
      </c>
      <c r="M154" s="19" t="inlineStr">
        <is>
          <t>4469151-AS-107615</t>
        </is>
      </c>
      <c r="N154" t="inlineStr">
        <is>
          <t>https://drive.google.com/file/d/17_S1U0moA_aoJvpm9JkajhW65yuDGt02/view?usp=drivesdk</t>
        </is>
      </c>
    </row>
    <row r="155" ht="12" customHeight="1">
      <c r="A155" t="inlineStr">
        <is>
          <t>202605</t>
        </is>
      </c>
      <c r="B155" t="inlineStr">
        <is>
          <t>INC</t>
        </is>
      </c>
      <c r="C155" t="inlineStr">
        <is>
          <t>opex</t>
        </is>
      </c>
      <c r="D155" t="inlineStr">
        <is>
          <t>administration</t>
        </is>
      </c>
      <c r="E155" t="inlineStr">
        <is>
          <t>QUICKBOOKS</t>
        </is>
      </c>
      <c r="F155" t="inlineStr">
        <is>
          <t>invoice</t>
        </is>
      </c>
      <c r="G155" s="4" t="n">
        <v>121.9</v>
      </c>
      <c r="H155" t="inlineStr">
        <is>
          <t>USD</t>
        </is>
      </c>
      <c r="I155" t="inlineStr">
        <is>
          <t>USD</t>
        </is>
      </c>
      <c r="J155" s="18" t="n">
        <v>1</v>
      </c>
      <c r="K155" s="4" t="n">
        <v>121.9</v>
      </c>
      <c r="L155" t="inlineStr">
        <is>
          <t>documents</t>
        </is>
      </c>
      <c r="M155" s="19" t="inlineStr">
        <is>
          <t>10001492157742</t>
        </is>
      </c>
      <c r="N155" t="inlineStr">
        <is>
          <t>https://drive.google.com/file/d/1LMooejyToaDm4lXdjBAu5jHazJdu-AFF/view?usp=drivesdk</t>
        </is>
      </c>
    </row>
    <row r="156" ht="12" customHeight="1">
      <c r="A156" t="inlineStr">
        <is>
          <t>202605</t>
        </is>
      </c>
      <c r="B156" t="inlineStr">
        <is>
          <t>INC</t>
        </is>
      </c>
      <c r="C156" t="inlineStr">
        <is>
          <t>opex</t>
        </is>
      </c>
      <c r="D156" t="inlineStr">
        <is>
          <t>shared_services</t>
        </is>
      </c>
      <c r="E156" t="inlineStr">
        <is>
          <t>SHAREDSERVICESSL</t>
        </is>
      </c>
      <c r="F156" t="inlineStr">
        <is>
          <t>invoice</t>
        </is>
      </c>
      <c r="G156" s="4" t="n">
        <v>5381.74</v>
      </c>
      <c r="H156" t="inlineStr">
        <is>
          <t>EUR</t>
        </is>
      </c>
      <c r="I156" t="inlineStr">
        <is>
          <t>USD</t>
        </is>
      </c>
      <c r="J156" s="18" t="n">
        <v>1.1644</v>
      </c>
      <c r="K156" s="4" t="n">
        <v>6266.5</v>
      </c>
      <c r="L156" t="inlineStr">
        <is>
          <t>documents</t>
        </is>
      </c>
      <c r="M156" s="19" t="inlineStr">
        <is>
          <t>2026-0028</t>
        </is>
      </c>
      <c r="N156" t="inlineStr">
        <is>
          <t>https://drive.google.com/file/d/1ndoIxnRCHpafl83Lsyq-PVVCI1_lzXKu/view?usp=drivesdk</t>
        </is>
      </c>
    </row>
    <row r="157" ht="12" customHeight="1">
      <c r="A157" t="inlineStr">
        <is>
          <t>202605</t>
        </is>
      </c>
      <c r="B157" t="inlineStr">
        <is>
          <t>INC</t>
        </is>
      </c>
      <c r="C157" t="inlineStr">
        <is>
          <t>cogs</t>
        </is>
      </c>
      <c r="D157" t="inlineStr">
        <is>
          <t>manufacturing</t>
        </is>
      </c>
      <c r="E157" t="inlineStr">
        <is>
          <t>TGI</t>
        </is>
      </c>
      <c r="F157" t="inlineStr">
        <is>
          <t>manufacturing</t>
        </is>
      </c>
      <c r="G157" s="4" t="n">
        <v>1118.02</v>
      </c>
      <c r="H157" t="inlineStr">
        <is>
          <t>USD</t>
        </is>
      </c>
      <c r="I157" t="inlineStr">
        <is>
          <t>USD</t>
        </is>
      </c>
      <c r="J157" s="18" t="n">
        <v>1</v>
      </c>
      <c r="K157" s="4" t="n">
        <v>1118.02</v>
      </c>
      <c r="L157" t="inlineStr">
        <is>
          <t>documents</t>
        </is>
      </c>
      <c r="M157" s="19" t="inlineStr">
        <is>
          <t>172168</t>
        </is>
      </c>
      <c r="N157" t="inlineStr">
        <is>
          <t>https://drive.google.com/file/d/1KgZpq5GTcSkNG0Z8yhHdmceFrnVtmJB4/view?usp=drivesdk</t>
        </is>
      </c>
    </row>
    <row r="158" ht="12" customHeight="1">
      <c r="A158" t="inlineStr">
        <is>
          <t>202605</t>
        </is>
      </c>
      <c r="B158" t="inlineStr">
        <is>
          <t>INC</t>
        </is>
      </c>
      <c r="C158" t="inlineStr">
        <is>
          <t>cogs</t>
        </is>
      </c>
      <c r="D158" t="inlineStr">
        <is>
          <t>logistics</t>
        </is>
      </c>
      <c r="E158" t="inlineStr">
        <is>
          <t>TGI</t>
        </is>
      </c>
      <c r="F158" t="inlineStr">
        <is>
          <t>logistics</t>
        </is>
      </c>
      <c r="G158" s="4" t="n">
        <v>2254.01</v>
      </c>
      <c r="H158" t="inlineStr">
        <is>
          <t>USD</t>
        </is>
      </c>
      <c r="I158" t="inlineStr">
        <is>
          <t>USD</t>
        </is>
      </c>
      <c r="J158" s="18" t="n">
        <v>1</v>
      </c>
      <c r="K158" s="4" t="n">
        <v>2254.01</v>
      </c>
      <c r="L158" t="inlineStr">
        <is>
          <t>documents</t>
        </is>
      </c>
      <c r="M158" s="19" t="inlineStr">
        <is>
          <t>172169</t>
        </is>
      </c>
      <c r="N158" t="inlineStr">
        <is>
          <t>https://drive.google.com/file/d/14slKePE5MrbI5HvPO9RR5jqgyaSQ6ha3/view?usp=drivesdk</t>
        </is>
      </c>
    </row>
    <row r="159" ht="12" customHeight="1">
      <c r="A159" t="inlineStr">
        <is>
          <t>202606</t>
        </is>
      </c>
      <c r="B159" t="inlineStr">
        <is>
          <t>INC</t>
        </is>
      </c>
      <c r="C159" t="inlineStr">
        <is>
          <t>opex</t>
        </is>
      </c>
      <c r="D159" t="inlineStr">
        <is>
          <t>administration</t>
        </is>
      </c>
      <c r="E159" t="inlineStr">
        <is>
          <t>CONTINUUM</t>
        </is>
      </c>
      <c r="F159" t="inlineStr">
        <is>
          <t>invoice</t>
        </is>
      </c>
      <c r="G159" s="4" t="n">
        <v>1150</v>
      </c>
      <c r="H159" t="inlineStr">
        <is>
          <t>USD</t>
        </is>
      </c>
      <c r="I159" t="inlineStr">
        <is>
          <t>USD</t>
        </is>
      </c>
      <c r="J159" s="18" t="n">
        <v>1</v>
      </c>
      <c r="K159" s="4" t="n">
        <v>1150</v>
      </c>
      <c r="L159" t="inlineStr">
        <is>
          <t>documents</t>
        </is>
      </c>
      <c r="M159" s="19" t="inlineStr">
        <is>
          <t>1303</t>
        </is>
      </c>
      <c r="N159" t="inlineStr">
        <is>
          <t>https://drive.google.com/file/d/1dlT0oaH49H6SzXdPc93LiGqgpg1InGRH/view?usp=drivesdk</t>
        </is>
      </c>
    </row>
    <row r="160" ht="12" customHeight="1">
      <c r="A160" t="inlineStr">
        <is>
          <t>202606</t>
        </is>
      </c>
      <c r="B160" t="inlineStr">
        <is>
          <t>INC</t>
        </is>
      </c>
      <c r="C160" t="inlineStr">
        <is>
          <t>opex</t>
        </is>
      </c>
      <c r="D160" t="inlineStr">
        <is>
          <t>administration</t>
        </is>
      </c>
      <c r="E160" t="inlineStr">
        <is>
          <t>HUSHED</t>
        </is>
      </c>
      <c r="F160" t="inlineStr">
        <is>
          <t>invoice</t>
        </is>
      </c>
      <c r="G160" s="4" t="n">
        <v>4.99</v>
      </c>
      <c r="H160" t="inlineStr">
        <is>
          <t>USD</t>
        </is>
      </c>
      <c r="I160" t="inlineStr">
        <is>
          <t>USD</t>
        </is>
      </c>
      <c r="J160" s="18" t="n">
        <v>1</v>
      </c>
      <c r="K160" s="4" t="n">
        <v>4.99</v>
      </c>
      <c r="L160" t="inlineStr">
        <is>
          <t>documents</t>
        </is>
      </c>
      <c r="M160" s="19" t="inlineStr">
        <is>
          <t>2329-7934</t>
        </is>
      </c>
      <c r="N160" t="inlineStr">
        <is>
          <t>https://drive.google.com/file/d/12xteUNS_Og9n0_pSo2XUdraP4aCiWdaH/view?usp=drivesdk</t>
        </is>
      </c>
    </row>
    <row r="161" ht="12" customHeight="1">
      <c r="A161" t="inlineStr">
        <is>
          <t>202606</t>
        </is>
      </c>
      <c r="B161" t="inlineStr">
        <is>
          <t>INC</t>
        </is>
      </c>
      <c r="C161" t="inlineStr">
        <is>
          <t>opex</t>
        </is>
      </c>
      <c r="D161" t="inlineStr">
        <is>
          <t>administration</t>
        </is>
      </c>
      <c r="E161" t="inlineStr">
        <is>
          <t>IPOSTAL</t>
        </is>
      </c>
      <c r="F161" t="inlineStr">
        <is>
          <t>invoice</t>
        </is>
      </c>
      <c r="G161" s="4" t="n">
        <v>1.1</v>
      </c>
      <c r="H161" t="inlineStr">
        <is>
          <t>USD</t>
        </is>
      </c>
      <c r="I161" t="inlineStr">
        <is>
          <t>USD</t>
        </is>
      </c>
      <c r="J161" s="18" t="n">
        <v>1</v>
      </c>
      <c r="K161" s="4" t="n">
        <v>1.1</v>
      </c>
      <c r="L161" t="inlineStr">
        <is>
          <t>documents</t>
        </is>
      </c>
      <c r="M161" s="19" t="inlineStr">
        <is>
          <t>38249783</t>
        </is>
      </c>
      <c r="N161" t="inlineStr">
        <is>
          <t>https://drive.google.com/file/d/17m8kSIeiAdYSWAqbHFRlME7QimAZLgpF/view?usp=drivesdk</t>
        </is>
      </c>
    </row>
    <row r="162" ht="12" customHeight="1">
      <c r="A162" t="inlineStr">
        <is>
          <t>202606</t>
        </is>
      </c>
      <c r="B162" t="inlineStr">
        <is>
          <t>INC</t>
        </is>
      </c>
      <c r="C162" t="inlineStr">
        <is>
          <t>opex</t>
        </is>
      </c>
      <c r="D162" t="inlineStr">
        <is>
          <t>administration</t>
        </is>
      </c>
      <c r="E162" t="inlineStr">
        <is>
          <t>IPOSTAL</t>
        </is>
      </c>
      <c r="F162" t="inlineStr">
        <is>
          <t>invoice</t>
        </is>
      </c>
      <c r="G162" s="4" t="n">
        <v>3.3</v>
      </c>
      <c r="H162" t="inlineStr">
        <is>
          <t>USD</t>
        </is>
      </c>
      <c r="I162" t="inlineStr">
        <is>
          <t>USD</t>
        </is>
      </c>
      <c r="J162" s="18" t="n">
        <v>1</v>
      </c>
      <c r="K162" s="4" t="n">
        <v>3.3</v>
      </c>
      <c r="L162" t="inlineStr">
        <is>
          <t>documents</t>
        </is>
      </c>
      <c r="M162" s="19" t="inlineStr">
        <is>
          <t>38415356</t>
        </is>
      </c>
      <c r="N162" t="inlineStr">
        <is>
          <t>https://drive.google.com/file/d/17m8kSIeiAdYSWAqbHFRlME7QimAZLgpF/view?usp=drivesdk</t>
        </is>
      </c>
    </row>
    <row r="163" ht="12" customHeight="1">
      <c r="A163" t="inlineStr">
        <is>
          <t>202606</t>
        </is>
      </c>
      <c r="B163" t="inlineStr">
        <is>
          <t>INC</t>
        </is>
      </c>
      <c r="C163" t="inlineStr">
        <is>
          <t>cogs</t>
        </is>
      </c>
      <c r="D163" t="inlineStr">
        <is>
          <t>manufacturing</t>
        </is>
      </c>
      <c r="E163" t="inlineStr">
        <is>
          <t>JONDO</t>
        </is>
      </c>
      <c r="F163" t="inlineStr">
        <is>
          <t>invoice</t>
        </is>
      </c>
      <c r="G163" s="4" t="n">
        <v>27.6</v>
      </c>
      <c r="H163" t="inlineStr">
        <is>
          <t>USD</t>
        </is>
      </c>
      <c r="I163" t="inlineStr">
        <is>
          <t>USD</t>
        </is>
      </c>
      <c r="J163" s="18" t="n">
        <v>1</v>
      </c>
      <c r="K163" s="4" t="n">
        <v>27.6</v>
      </c>
      <c r="L163" t="inlineStr">
        <is>
          <t>documents</t>
        </is>
      </c>
      <c r="M163" s="19" t="inlineStr">
        <is>
          <t>4473263-AS-108173</t>
        </is>
      </c>
      <c r="N163" t="inlineStr">
        <is>
          <t>https://drive.google.com/file/d/1jZrrBG-rlRIRRt7poZwUx2oDCk202lX9/view?usp=drivesdk</t>
        </is>
      </c>
    </row>
    <row r="164" ht="12" customHeight="1">
      <c r="A164" t="inlineStr">
        <is>
          <t>202606</t>
        </is>
      </c>
      <c r="B164" t="inlineStr">
        <is>
          <t>INC</t>
        </is>
      </c>
      <c r="C164" t="inlineStr">
        <is>
          <t>cogs</t>
        </is>
      </c>
      <c r="D164" t="inlineStr">
        <is>
          <t>manufacturing</t>
        </is>
      </c>
      <c r="E164" t="inlineStr">
        <is>
          <t>JONDO</t>
        </is>
      </c>
      <c r="F164" t="inlineStr">
        <is>
          <t>invoice</t>
        </is>
      </c>
      <c r="G164" s="4" t="n">
        <v>151.43</v>
      </c>
      <c r="H164" t="inlineStr">
        <is>
          <t>USD</t>
        </is>
      </c>
      <c r="I164" t="inlineStr">
        <is>
          <t>USD</t>
        </is>
      </c>
      <c r="J164" s="18" t="n">
        <v>1</v>
      </c>
      <c r="K164" s="4" t="n">
        <v>151.43</v>
      </c>
      <c r="L164" t="inlineStr">
        <is>
          <t>documents</t>
        </is>
      </c>
      <c r="M164" s="19" t="inlineStr">
        <is>
          <t>4473264-AS-108192</t>
        </is>
      </c>
      <c r="N164" t="inlineStr">
        <is>
          <t>https://drive.google.com/file/d/1oUkZPf09DxdP6K_FrOYUTaRt0GcHY0jA/view?usp=drivesdk</t>
        </is>
      </c>
    </row>
    <row r="165" ht="12" customHeight="1">
      <c r="A165" t="inlineStr">
        <is>
          <t>202606</t>
        </is>
      </c>
      <c r="B165" t="inlineStr">
        <is>
          <t>INC</t>
        </is>
      </c>
      <c r="C165" t="inlineStr">
        <is>
          <t>cogs</t>
        </is>
      </c>
      <c r="D165" t="inlineStr">
        <is>
          <t>manufacturing</t>
        </is>
      </c>
      <c r="E165" t="inlineStr">
        <is>
          <t>JONDO</t>
        </is>
      </c>
      <c r="F165" t="inlineStr">
        <is>
          <t>invoice</t>
        </is>
      </c>
      <c r="G165" s="4" t="n">
        <v>235.68</v>
      </c>
      <c r="H165" t="inlineStr">
        <is>
          <t>USD</t>
        </is>
      </c>
      <c r="I165" t="inlineStr">
        <is>
          <t>USD</t>
        </is>
      </c>
      <c r="J165" s="18" t="n">
        <v>1</v>
      </c>
      <c r="K165" s="4" t="n">
        <v>235.68</v>
      </c>
      <c r="L165" t="inlineStr">
        <is>
          <t>documents</t>
        </is>
      </c>
      <c r="M165" s="19" t="inlineStr">
        <is>
          <t>4473265-AS-108268</t>
        </is>
      </c>
      <c r="N165" t="inlineStr">
        <is>
          <t>https://drive.google.com/file/d/1H5JO5VKG-PHCqPtkiwTxIB_r2_8zwlAX/view?usp=drivesdk</t>
        </is>
      </c>
    </row>
    <row r="166" ht="12" customHeight="1">
      <c r="A166" t="inlineStr">
        <is>
          <t>202606</t>
        </is>
      </c>
      <c r="B166" t="inlineStr">
        <is>
          <t>INC</t>
        </is>
      </c>
      <c r="C166" t="inlineStr">
        <is>
          <t>cogs</t>
        </is>
      </c>
      <c r="D166" t="inlineStr">
        <is>
          <t>manufacturing</t>
        </is>
      </c>
      <c r="E166" t="inlineStr">
        <is>
          <t>JONDO</t>
        </is>
      </c>
      <c r="F166" t="inlineStr">
        <is>
          <t>invoice</t>
        </is>
      </c>
      <c r="G166" s="4" t="n">
        <v>27.03</v>
      </c>
      <c r="H166" t="inlineStr">
        <is>
          <t>USD</t>
        </is>
      </c>
      <c r="I166" t="inlineStr">
        <is>
          <t>USD</t>
        </is>
      </c>
      <c r="J166" s="18" t="n">
        <v>1</v>
      </c>
      <c r="K166" s="4" t="n">
        <v>27.03</v>
      </c>
      <c r="L166" t="inlineStr">
        <is>
          <t>documents</t>
        </is>
      </c>
      <c r="M166" s="19" t="inlineStr">
        <is>
          <t>4473266-AS-108012</t>
        </is>
      </c>
      <c r="N166" t="inlineStr">
        <is>
          <t>https://drive.google.com/file/d/1ceYda0HLmh5TOzo35GFxiM7nGCUXSE4e/view?usp=drivesdk</t>
        </is>
      </c>
    </row>
    <row r="167" ht="12" customHeight="1">
      <c r="A167" t="inlineStr">
        <is>
          <t>202606</t>
        </is>
      </c>
      <c r="B167" t="inlineStr">
        <is>
          <t>INC</t>
        </is>
      </c>
      <c r="C167" t="inlineStr">
        <is>
          <t>cogs</t>
        </is>
      </c>
      <c r="D167" t="inlineStr">
        <is>
          <t>manufacturing</t>
        </is>
      </c>
      <c r="E167" t="inlineStr">
        <is>
          <t>JONDO</t>
        </is>
      </c>
      <c r="F167" t="inlineStr">
        <is>
          <t>invoice</t>
        </is>
      </c>
      <c r="G167" s="4" t="n">
        <v>50.35</v>
      </c>
      <c r="H167" t="inlineStr">
        <is>
          <t>USD</t>
        </is>
      </c>
      <c r="I167" t="inlineStr">
        <is>
          <t>USD</t>
        </is>
      </c>
      <c r="J167" s="18" t="n">
        <v>1</v>
      </c>
      <c r="K167" s="4" t="n">
        <v>50.35</v>
      </c>
      <c r="L167" t="inlineStr">
        <is>
          <t>documents</t>
        </is>
      </c>
      <c r="M167" s="19" t="inlineStr">
        <is>
          <t>4476206-AS-108439</t>
        </is>
      </c>
      <c r="N167" t="inlineStr">
        <is>
          <t>https://drive.google.com/file/d/1z_0Lvkv-nnNxOERVANmmKFakIieqGvhV/view?usp=drivesdk</t>
        </is>
      </c>
    </row>
    <row r="168" ht="12" customHeight="1">
      <c r="A168" t="inlineStr">
        <is>
          <t>202606</t>
        </is>
      </c>
      <c r="B168" t="inlineStr">
        <is>
          <t>INC</t>
        </is>
      </c>
      <c r="C168" t="inlineStr">
        <is>
          <t>cogs</t>
        </is>
      </c>
      <c r="D168" t="inlineStr">
        <is>
          <t>manufacturing</t>
        </is>
      </c>
      <c r="E168" t="inlineStr">
        <is>
          <t>JONDO</t>
        </is>
      </c>
      <c r="F168" t="inlineStr">
        <is>
          <t>invoice</t>
        </is>
      </c>
      <c r="G168" s="4" t="n">
        <v>106.13</v>
      </c>
      <c r="H168" t="inlineStr">
        <is>
          <t>USD</t>
        </is>
      </c>
      <c r="I168" t="inlineStr">
        <is>
          <t>USD</t>
        </is>
      </c>
      <c r="J168" s="18" t="n">
        <v>1</v>
      </c>
      <c r="K168" s="4" t="n">
        <v>106.13</v>
      </c>
      <c r="L168" t="inlineStr">
        <is>
          <t>documents</t>
        </is>
      </c>
      <c r="M168" s="19" t="inlineStr">
        <is>
          <t>4478432-AS-108770</t>
        </is>
      </c>
      <c r="N168" t="inlineStr">
        <is>
          <t>https://drive.google.com/file/d/1qnQm1l4mtJBBDGH6o3dm_I-CnVL_inlX/view?usp=drivesdk</t>
        </is>
      </c>
    </row>
    <row r="169" ht="12" customHeight="1">
      <c r="A169" t="inlineStr">
        <is>
          <t>202606</t>
        </is>
      </c>
      <c r="B169" t="inlineStr">
        <is>
          <t>INC</t>
        </is>
      </c>
      <c r="C169" t="inlineStr">
        <is>
          <t>cogs</t>
        </is>
      </c>
      <c r="D169" t="inlineStr">
        <is>
          <t>manufacturing</t>
        </is>
      </c>
      <c r="E169" t="inlineStr">
        <is>
          <t>JONDO</t>
        </is>
      </c>
      <c r="F169" t="inlineStr">
        <is>
          <t>invoice</t>
        </is>
      </c>
      <c r="G169" s="4" t="n">
        <v>65.66</v>
      </c>
      <c r="H169" t="inlineStr">
        <is>
          <t>USD</t>
        </is>
      </c>
      <c r="I169" t="inlineStr">
        <is>
          <t>USD</t>
        </is>
      </c>
      <c r="J169" s="18" t="n">
        <v>1</v>
      </c>
      <c r="K169" s="4" t="n">
        <v>65.66</v>
      </c>
      <c r="L169" t="inlineStr">
        <is>
          <t>documents</t>
        </is>
      </c>
      <c r="M169" s="19" t="inlineStr">
        <is>
          <t>4478433-AS-108794</t>
        </is>
      </c>
      <c r="N169" t="inlineStr">
        <is>
          <t>https://drive.google.com/file/d/1Q7OyD3ACFmNuYyC56I4Yi7WfzkxtxeOi/view?usp=drivesdk</t>
        </is>
      </c>
    </row>
    <row r="170" ht="12" customHeight="1">
      <c r="A170" t="inlineStr">
        <is>
          <t>202606</t>
        </is>
      </c>
      <c r="B170" t="inlineStr">
        <is>
          <t>INC</t>
        </is>
      </c>
      <c r="C170" t="inlineStr">
        <is>
          <t>cogs</t>
        </is>
      </c>
      <c r="D170" t="inlineStr">
        <is>
          <t>manufacturing</t>
        </is>
      </c>
      <c r="E170" t="inlineStr">
        <is>
          <t>JONDO</t>
        </is>
      </c>
      <c r="F170" t="inlineStr">
        <is>
          <t>invoice</t>
        </is>
      </c>
      <c r="G170" s="4" t="n">
        <v>245.89</v>
      </c>
      <c r="H170" t="inlineStr">
        <is>
          <t>USD</t>
        </is>
      </c>
      <c r="I170" t="inlineStr">
        <is>
          <t>USD</t>
        </is>
      </c>
      <c r="J170" s="18" t="n">
        <v>1</v>
      </c>
      <c r="K170" s="4" t="n">
        <v>245.89</v>
      </c>
      <c r="L170" t="inlineStr">
        <is>
          <t>documents</t>
        </is>
      </c>
      <c r="M170" s="19" t="inlineStr">
        <is>
          <t>4478436-AS-108633</t>
        </is>
      </c>
      <c r="N170" t="inlineStr">
        <is>
          <t>https://drive.google.com/file/d/1J9TrKraaGJx5L1OFAmQVNRWX52fY9v7T/view?usp=drivesdk</t>
        </is>
      </c>
    </row>
    <row r="171" ht="12" customHeight="1">
      <c r="A171" t="inlineStr">
        <is>
          <t>202606</t>
        </is>
      </c>
      <c r="B171" t="inlineStr">
        <is>
          <t>INC</t>
        </is>
      </c>
      <c r="C171" t="inlineStr">
        <is>
          <t>cogs</t>
        </is>
      </c>
      <c r="D171" t="inlineStr">
        <is>
          <t>manufacturing</t>
        </is>
      </c>
      <c r="E171" t="inlineStr">
        <is>
          <t>JONDO</t>
        </is>
      </c>
      <c r="F171" t="inlineStr">
        <is>
          <t>invoice</t>
        </is>
      </c>
      <c r="G171" s="4" t="n">
        <v>81.95999999999999</v>
      </c>
      <c r="H171" t="inlineStr">
        <is>
          <t>USD</t>
        </is>
      </c>
      <c r="I171" t="inlineStr">
        <is>
          <t>USD</t>
        </is>
      </c>
      <c r="J171" s="18" t="n">
        <v>1</v>
      </c>
      <c r="K171" s="4" t="n">
        <v>81.95999999999999</v>
      </c>
      <c r="L171" t="inlineStr">
        <is>
          <t>documents</t>
        </is>
      </c>
      <c r="M171" s="19" t="inlineStr">
        <is>
          <t>4478438-AS-108725</t>
        </is>
      </c>
      <c r="N171" t="inlineStr">
        <is>
          <t>https://drive.google.com/file/d/19u0mhg2M_DQA4RfLfUm_1SVHBd_r5UHr/view?usp=drivesdk</t>
        </is>
      </c>
    </row>
    <row r="172" ht="12" customHeight="1">
      <c r="A172" t="inlineStr">
        <is>
          <t>202606</t>
        </is>
      </c>
      <c r="B172" t="inlineStr">
        <is>
          <t>INC</t>
        </is>
      </c>
      <c r="C172" t="inlineStr">
        <is>
          <t>cogs</t>
        </is>
      </c>
      <c r="D172" t="inlineStr">
        <is>
          <t>manufacturing</t>
        </is>
      </c>
      <c r="E172" t="inlineStr">
        <is>
          <t>JONDO</t>
        </is>
      </c>
      <c r="F172" t="inlineStr">
        <is>
          <t>invoice</t>
        </is>
      </c>
      <c r="G172" s="4" t="n">
        <v>612.9</v>
      </c>
      <c r="H172" t="inlineStr">
        <is>
          <t>USD</t>
        </is>
      </c>
      <c r="I172" t="inlineStr">
        <is>
          <t>USD</t>
        </is>
      </c>
      <c r="J172" s="18" t="n">
        <v>1</v>
      </c>
      <c r="K172" s="4" t="n">
        <v>612.9</v>
      </c>
      <c r="L172" t="inlineStr">
        <is>
          <t>documents</t>
        </is>
      </c>
      <c r="M172" s="19" t="inlineStr">
        <is>
          <t>4478674-AS-108419</t>
        </is>
      </c>
      <c r="N172" t="inlineStr">
        <is>
          <t>https://drive.google.com/file/d/1ZHMUVacc68SwkPfNg4i7zITrVMRZwEev/view?usp=drivesdk</t>
        </is>
      </c>
    </row>
    <row r="173" ht="12" customHeight="1">
      <c r="A173" t="inlineStr">
        <is>
          <t>202606</t>
        </is>
      </c>
      <c r="B173" t="inlineStr">
        <is>
          <t>INC</t>
        </is>
      </c>
      <c r="C173" t="inlineStr">
        <is>
          <t>cogs</t>
        </is>
      </c>
      <c r="D173" t="inlineStr">
        <is>
          <t>manufacturing</t>
        </is>
      </c>
      <c r="E173" t="inlineStr">
        <is>
          <t>JONDO</t>
        </is>
      </c>
      <c r="F173" t="inlineStr">
        <is>
          <t>invoice</t>
        </is>
      </c>
      <c r="G173" s="4" t="n">
        <v>31.9</v>
      </c>
      <c r="H173" t="inlineStr">
        <is>
          <t>USD</t>
        </is>
      </c>
      <c r="I173" t="inlineStr">
        <is>
          <t>USD</t>
        </is>
      </c>
      <c r="J173" s="18" t="n">
        <v>1</v>
      </c>
      <c r="K173" s="4" t="n">
        <v>31.9</v>
      </c>
      <c r="L173" t="inlineStr">
        <is>
          <t>documents</t>
        </is>
      </c>
      <c r="M173" s="19" t="inlineStr">
        <is>
          <t>4479450-AS-108886</t>
        </is>
      </c>
      <c r="N173" t="inlineStr">
        <is>
          <t>https://drive.google.com/file/d/1uKuOxw3fOCW3HDpVqiEdH4qXsNrnvwUC/view?usp=drivesdk</t>
        </is>
      </c>
    </row>
    <row r="174" ht="12" customHeight="1">
      <c r="A174" t="inlineStr">
        <is>
          <t>202606</t>
        </is>
      </c>
      <c r="B174" t="inlineStr">
        <is>
          <t>INC</t>
        </is>
      </c>
      <c r="C174" t="inlineStr">
        <is>
          <t>cogs</t>
        </is>
      </c>
      <c r="D174" t="inlineStr">
        <is>
          <t>manufacturing</t>
        </is>
      </c>
      <c r="E174" t="inlineStr">
        <is>
          <t>JONDO</t>
        </is>
      </c>
      <c r="F174" t="inlineStr">
        <is>
          <t>invoice</t>
        </is>
      </c>
      <c r="G174" s="4" t="n">
        <v>137.82</v>
      </c>
      <c r="H174" t="inlineStr">
        <is>
          <t>USD</t>
        </is>
      </c>
      <c r="I174" t="inlineStr">
        <is>
          <t>USD</t>
        </is>
      </c>
      <c r="J174" s="18" t="n">
        <v>1</v>
      </c>
      <c r="K174" s="4" t="n">
        <v>137.82</v>
      </c>
      <c r="L174" t="inlineStr">
        <is>
          <t>documents</t>
        </is>
      </c>
      <c r="M174" s="19" t="inlineStr">
        <is>
          <t>4480313-AS-108991</t>
        </is>
      </c>
      <c r="N174" t="inlineStr">
        <is>
          <t>https://drive.google.com/file/d/1EPDx0aAQZZBGvXOr-tsVZagvlQehDY1Y/view?usp=drivesdk</t>
        </is>
      </c>
    </row>
    <row r="175" ht="12" customHeight="1">
      <c r="A175" t="inlineStr">
        <is>
          <t>202606</t>
        </is>
      </c>
      <c r="B175" t="inlineStr">
        <is>
          <t>INC</t>
        </is>
      </c>
      <c r="C175" t="inlineStr">
        <is>
          <t>cogs</t>
        </is>
      </c>
      <c r="D175" t="inlineStr">
        <is>
          <t>manufacturing</t>
        </is>
      </c>
      <c r="E175" t="inlineStr">
        <is>
          <t>JONDO</t>
        </is>
      </c>
      <c r="F175" t="inlineStr">
        <is>
          <t>invoice</t>
        </is>
      </c>
      <c r="G175" s="4" t="n">
        <v>73.04000000000001</v>
      </c>
      <c r="H175" t="inlineStr">
        <is>
          <t>USD</t>
        </is>
      </c>
      <c r="I175" t="inlineStr">
        <is>
          <t>USD</t>
        </is>
      </c>
      <c r="J175" s="18" t="n">
        <v>1</v>
      </c>
      <c r="K175" s="4" t="n">
        <v>73.04000000000001</v>
      </c>
      <c r="L175" t="inlineStr">
        <is>
          <t>documents</t>
        </is>
      </c>
      <c r="M175" s="19" t="inlineStr">
        <is>
          <t>4481152-AS-109059</t>
        </is>
      </c>
      <c r="N175" t="inlineStr">
        <is>
          <t>https://drive.google.com/file/d/1tdRduclMEKBCmzucqzPxFdO5d3Abt0p3/view?usp=drivesdk</t>
        </is>
      </c>
    </row>
    <row r="176" ht="12" customHeight="1">
      <c r="A176" t="inlineStr">
        <is>
          <t>202606</t>
        </is>
      </c>
      <c r="B176" t="inlineStr">
        <is>
          <t>INC</t>
        </is>
      </c>
      <c r="C176" t="inlineStr">
        <is>
          <t>cogs</t>
        </is>
      </c>
      <c r="D176" t="inlineStr">
        <is>
          <t>manufacturing</t>
        </is>
      </c>
      <c r="E176" t="inlineStr">
        <is>
          <t>JONDO</t>
        </is>
      </c>
      <c r="F176" t="inlineStr">
        <is>
          <t>invoice</t>
        </is>
      </c>
      <c r="G176" s="4" t="n">
        <v>50.71</v>
      </c>
      <c r="H176" t="inlineStr">
        <is>
          <t>USD</t>
        </is>
      </c>
      <c r="I176" t="inlineStr">
        <is>
          <t>USD</t>
        </is>
      </c>
      <c r="J176" s="18" t="n">
        <v>1</v>
      </c>
      <c r="K176" s="4" t="n">
        <v>50.71</v>
      </c>
      <c r="L176" t="inlineStr">
        <is>
          <t>documents</t>
        </is>
      </c>
      <c r="M176" s="19" t="inlineStr">
        <is>
          <t>4484741-AS-109219</t>
        </is>
      </c>
      <c r="N176" t="inlineStr">
        <is>
          <t>https://drive.google.com/file/d/1-BDdxjNx5o6lHfhx-4gXIFtUiLzauJfA/view?usp=drivesdk</t>
        </is>
      </c>
    </row>
    <row r="177" ht="12" customHeight="1">
      <c r="A177" t="inlineStr">
        <is>
          <t>202606</t>
        </is>
      </c>
      <c r="B177" t="inlineStr">
        <is>
          <t>INC</t>
        </is>
      </c>
      <c r="C177" t="inlineStr">
        <is>
          <t>cogs</t>
        </is>
      </c>
      <c r="D177" t="inlineStr">
        <is>
          <t>manufacturing</t>
        </is>
      </c>
      <c r="E177" t="inlineStr">
        <is>
          <t>JONDO</t>
        </is>
      </c>
      <c r="F177" t="inlineStr">
        <is>
          <t>invoice</t>
        </is>
      </c>
      <c r="G177" s="4" t="n">
        <v>187.02</v>
      </c>
      <c r="H177" t="inlineStr">
        <is>
          <t>USD</t>
        </is>
      </c>
      <c r="I177" t="inlineStr">
        <is>
          <t>USD</t>
        </is>
      </c>
      <c r="J177" s="18" t="n">
        <v>1</v>
      </c>
      <c r="K177" s="4" t="n">
        <v>187.02</v>
      </c>
      <c r="L177" t="inlineStr">
        <is>
          <t>documents</t>
        </is>
      </c>
      <c r="M177" s="19" t="inlineStr">
        <is>
          <t>4484745-AS-109054</t>
        </is>
      </c>
      <c r="N177" t="inlineStr">
        <is>
          <t>https://drive.google.com/file/d/1-TzEIRusUlMzfqcTAJZMNI07sOnoRkSV/view?usp=drivesdk</t>
        </is>
      </c>
    </row>
    <row r="178" ht="12" customHeight="1">
      <c r="A178" t="inlineStr">
        <is>
          <t>202606</t>
        </is>
      </c>
      <c r="B178" t="inlineStr">
        <is>
          <t>INC</t>
        </is>
      </c>
      <c r="C178" t="inlineStr">
        <is>
          <t>cogs</t>
        </is>
      </c>
      <c r="D178" t="inlineStr">
        <is>
          <t>manufacturing</t>
        </is>
      </c>
      <c r="E178" t="inlineStr">
        <is>
          <t>JONDO</t>
        </is>
      </c>
      <c r="F178" t="inlineStr">
        <is>
          <t>invoice</t>
        </is>
      </c>
      <c r="G178" s="4" t="n">
        <v>98.04000000000001</v>
      </c>
      <c r="H178" t="inlineStr">
        <is>
          <t>USD</t>
        </is>
      </c>
      <c r="I178" t="inlineStr">
        <is>
          <t>USD</t>
        </is>
      </c>
      <c r="J178" s="18" t="n">
        <v>1</v>
      </c>
      <c r="K178" s="4" t="n">
        <v>98.04000000000001</v>
      </c>
      <c r="L178" t="inlineStr">
        <is>
          <t>documents</t>
        </is>
      </c>
      <c r="M178" s="19" t="inlineStr">
        <is>
          <t>4487374-AS-108398</t>
        </is>
      </c>
      <c r="N178" t="inlineStr">
        <is>
          <t>https://drive.google.com/file/d/14RU9qe4qCsbjqSEjh0PA9X6dbLWP8zqp/view?usp=drivesdk</t>
        </is>
      </c>
    </row>
    <row r="179" ht="12" customHeight="1">
      <c r="A179" t="inlineStr">
        <is>
          <t>202606</t>
        </is>
      </c>
      <c r="B179" t="inlineStr">
        <is>
          <t>INC</t>
        </is>
      </c>
      <c r="C179" t="inlineStr">
        <is>
          <t>cogs</t>
        </is>
      </c>
      <c r="D179" t="inlineStr">
        <is>
          <t>manufacturing</t>
        </is>
      </c>
      <c r="E179" t="inlineStr">
        <is>
          <t>JONDO</t>
        </is>
      </c>
      <c r="F179" t="inlineStr">
        <is>
          <t>invoice</t>
        </is>
      </c>
      <c r="G179" s="4" t="n">
        <v>65.11</v>
      </c>
      <c r="H179" t="inlineStr">
        <is>
          <t>USD</t>
        </is>
      </c>
      <c r="I179" t="inlineStr">
        <is>
          <t>USD</t>
        </is>
      </c>
      <c r="J179" s="18" t="n">
        <v>1</v>
      </c>
      <c r="K179" s="4" t="n">
        <v>65.11</v>
      </c>
      <c r="L179" t="inlineStr">
        <is>
          <t>documents</t>
        </is>
      </c>
      <c r="M179" s="19" t="inlineStr">
        <is>
          <t>4489467-AS-109600</t>
        </is>
      </c>
      <c r="N179" t="inlineStr">
        <is>
          <t>https://drive.google.com/file/d/1-Ayz50h4xJFn4kQpcu5-40az6D-zd3QP/view?usp=drivesdk</t>
        </is>
      </c>
    </row>
    <row r="180" ht="12" customHeight="1">
      <c r="A180" t="inlineStr">
        <is>
          <t>202606</t>
        </is>
      </c>
      <c r="B180" t="inlineStr">
        <is>
          <t>INC</t>
        </is>
      </c>
      <c r="C180" t="inlineStr">
        <is>
          <t>cogs</t>
        </is>
      </c>
      <c r="D180" t="inlineStr">
        <is>
          <t>manufacturing</t>
        </is>
      </c>
      <c r="E180" t="inlineStr">
        <is>
          <t>JONDO</t>
        </is>
      </c>
      <c r="F180" t="inlineStr">
        <is>
          <t>invoice</t>
        </is>
      </c>
      <c r="G180" s="4" t="n">
        <v>45.27</v>
      </c>
      <c r="H180" t="inlineStr">
        <is>
          <t>USD</t>
        </is>
      </c>
      <c r="I180" t="inlineStr">
        <is>
          <t>USD</t>
        </is>
      </c>
      <c r="J180" s="18" t="n">
        <v>1</v>
      </c>
      <c r="K180" s="4" t="n">
        <v>45.27</v>
      </c>
      <c r="L180" t="inlineStr">
        <is>
          <t>documents</t>
        </is>
      </c>
      <c r="M180" s="19" t="inlineStr">
        <is>
          <t>4489492-AS-109897</t>
        </is>
      </c>
      <c r="N180" t="inlineStr">
        <is>
          <t>https://drive.google.com/file/d/1oxSSo3c3w9Dfu_viitzb6uhhl7JKE55S/view?usp=drivesdk</t>
        </is>
      </c>
    </row>
    <row r="181" ht="12" customHeight="1">
      <c r="A181" t="inlineStr">
        <is>
          <t>202606</t>
        </is>
      </c>
      <c r="B181" t="inlineStr">
        <is>
          <t>INC</t>
        </is>
      </c>
      <c r="C181" t="inlineStr">
        <is>
          <t>cogs</t>
        </is>
      </c>
      <c r="D181" t="inlineStr">
        <is>
          <t>manufacturing</t>
        </is>
      </c>
      <c r="E181" t="inlineStr">
        <is>
          <t>JONDO</t>
        </is>
      </c>
      <c r="F181" t="inlineStr">
        <is>
          <t>invoice</t>
        </is>
      </c>
      <c r="G181" s="4" t="n">
        <v>84.06999999999999</v>
      </c>
      <c r="H181" t="inlineStr">
        <is>
          <t>USD</t>
        </is>
      </c>
      <c r="I181" t="inlineStr">
        <is>
          <t>USD</t>
        </is>
      </c>
      <c r="J181" s="18" t="n">
        <v>1</v>
      </c>
      <c r="K181" s="4" t="n">
        <v>84.06999999999999</v>
      </c>
      <c r="L181" t="inlineStr">
        <is>
          <t>documents</t>
        </is>
      </c>
      <c r="M181" s="19" t="inlineStr">
        <is>
          <t>4489493-AS-109730</t>
        </is>
      </c>
      <c r="N181" t="inlineStr">
        <is>
          <t>https://drive.google.com/file/d/1EizwuN5-bmoWi9Xs0ACO0tqNxzSJEB78/view?usp=drivesdk</t>
        </is>
      </c>
    </row>
    <row r="182" ht="12" customHeight="1">
      <c r="A182" t="inlineStr">
        <is>
          <t>202606</t>
        </is>
      </c>
      <c r="B182" t="inlineStr">
        <is>
          <t>INC</t>
        </is>
      </c>
      <c r="C182" t="inlineStr">
        <is>
          <t>cogs</t>
        </is>
      </c>
      <c r="D182" t="inlineStr">
        <is>
          <t>manufacturing</t>
        </is>
      </c>
      <c r="E182" t="inlineStr">
        <is>
          <t>JONDO</t>
        </is>
      </c>
      <c r="F182" t="inlineStr">
        <is>
          <t>invoice</t>
        </is>
      </c>
      <c r="G182" s="4" t="n">
        <v>50</v>
      </c>
      <c r="H182" t="inlineStr">
        <is>
          <t>USD</t>
        </is>
      </c>
      <c r="I182" t="inlineStr">
        <is>
          <t>USD</t>
        </is>
      </c>
      <c r="J182" s="18" t="n">
        <v>1</v>
      </c>
      <c r="K182" s="4" t="n">
        <v>50</v>
      </c>
      <c r="L182" t="inlineStr">
        <is>
          <t>documents</t>
        </is>
      </c>
      <c r="M182" s="19" t="inlineStr">
        <is>
          <t>4490302-AS-109750</t>
        </is>
      </c>
      <c r="N182" t="inlineStr">
        <is>
          <t>https://drive.google.com/file/d/1gNleHwFopbvNbvlE1fgJ-UmyvOWE6SGi/view?usp=drivesdk</t>
        </is>
      </c>
    </row>
    <row r="183" ht="12" customHeight="1">
      <c r="A183" t="inlineStr">
        <is>
          <t>202606</t>
        </is>
      </c>
      <c r="B183" t="inlineStr">
        <is>
          <t>INC</t>
        </is>
      </c>
      <c r="C183" t="inlineStr">
        <is>
          <t>cogs</t>
        </is>
      </c>
      <c r="D183" t="inlineStr">
        <is>
          <t>manufacturing</t>
        </is>
      </c>
      <c r="E183" t="inlineStr">
        <is>
          <t>JONDO</t>
        </is>
      </c>
      <c r="F183" t="inlineStr">
        <is>
          <t>invoice</t>
        </is>
      </c>
      <c r="G183" s="4" t="n">
        <v>104.62</v>
      </c>
      <c r="H183" t="inlineStr">
        <is>
          <t>USD</t>
        </is>
      </c>
      <c r="I183" t="inlineStr">
        <is>
          <t>USD</t>
        </is>
      </c>
      <c r="J183" s="18" t="n">
        <v>1</v>
      </c>
      <c r="K183" s="4" t="n">
        <v>104.62</v>
      </c>
      <c r="L183" t="inlineStr">
        <is>
          <t>documents</t>
        </is>
      </c>
      <c r="M183" s="19" t="inlineStr">
        <is>
          <t>4492194-AS-109976</t>
        </is>
      </c>
      <c r="N183" t="inlineStr">
        <is>
          <t>https://drive.google.com/file/d/1V2FYDYVo-2OhYmdYSQW3bMD3El8E20MR/view?usp=drivesdk</t>
        </is>
      </c>
    </row>
    <row r="184" ht="12" customHeight="1">
      <c r="A184" t="inlineStr">
        <is>
          <t>202606</t>
        </is>
      </c>
      <c r="B184" t="inlineStr">
        <is>
          <t>INC</t>
        </is>
      </c>
      <c r="C184" t="inlineStr">
        <is>
          <t>cogs</t>
        </is>
      </c>
      <c r="D184" t="inlineStr">
        <is>
          <t>manufacturing</t>
        </is>
      </c>
      <c r="E184" t="inlineStr">
        <is>
          <t>JONDO</t>
        </is>
      </c>
      <c r="F184" t="inlineStr">
        <is>
          <t>invoice</t>
        </is>
      </c>
      <c r="G184" s="4" t="n">
        <v>36.16</v>
      </c>
      <c r="H184" t="inlineStr">
        <is>
          <t>USD</t>
        </is>
      </c>
      <c r="I184" t="inlineStr">
        <is>
          <t>USD</t>
        </is>
      </c>
      <c r="J184" s="18" t="n">
        <v>1</v>
      </c>
      <c r="K184" s="4" t="n">
        <v>36.16</v>
      </c>
      <c r="L184" t="inlineStr">
        <is>
          <t>documents</t>
        </is>
      </c>
      <c r="M184" s="19" t="inlineStr">
        <is>
          <t>4492195-AS-110005</t>
        </is>
      </c>
      <c r="N184" t="inlineStr">
        <is>
          <t>https://drive.google.com/file/d/1y3L_9mKgGCW65bvuH1MatF39lrjKFifi/view?usp=drivesdk</t>
        </is>
      </c>
    </row>
    <row r="185" ht="12" customHeight="1">
      <c r="A185" t="inlineStr">
        <is>
          <t>202606</t>
        </is>
      </c>
      <c r="B185" t="inlineStr">
        <is>
          <t>INC</t>
        </is>
      </c>
      <c r="C185" t="inlineStr">
        <is>
          <t>cogs</t>
        </is>
      </c>
      <c r="D185" t="inlineStr">
        <is>
          <t>manufacturing</t>
        </is>
      </c>
      <c r="E185" t="inlineStr">
        <is>
          <t>JONDO</t>
        </is>
      </c>
      <c r="F185" t="inlineStr">
        <is>
          <t>invoice</t>
        </is>
      </c>
      <c r="G185" s="4" t="n">
        <v>27.6</v>
      </c>
      <c r="H185" t="inlineStr">
        <is>
          <t>USD</t>
        </is>
      </c>
      <c r="I185" t="inlineStr">
        <is>
          <t>USD</t>
        </is>
      </c>
      <c r="J185" s="18" t="n">
        <v>1</v>
      </c>
      <c r="K185" s="4" t="n">
        <v>27.6</v>
      </c>
      <c r="L185" t="inlineStr">
        <is>
          <t>documents</t>
        </is>
      </c>
      <c r="M185" s="19" t="inlineStr">
        <is>
          <t>4493889-AS-110166</t>
        </is>
      </c>
      <c r="N185" t="inlineStr">
        <is>
          <t>https://drive.google.com/file/d/1f3vOXV99xTZLrBaWGOdO6ZNaf_xHUxKb/view?usp=drivesdk</t>
        </is>
      </c>
    </row>
    <row r="186" ht="12" customHeight="1">
      <c r="A186" t="inlineStr">
        <is>
          <t>202606</t>
        </is>
      </c>
      <c r="B186" t="inlineStr">
        <is>
          <t>INC</t>
        </is>
      </c>
      <c r="C186" t="inlineStr">
        <is>
          <t>cogs</t>
        </is>
      </c>
      <c r="D186" t="inlineStr">
        <is>
          <t>manufacturing</t>
        </is>
      </c>
      <c r="E186" t="inlineStr">
        <is>
          <t>JONDO</t>
        </is>
      </c>
      <c r="F186" t="inlineStr">
        <is>
          <t>invoice</t>
        </is>
      </c>
      <c r="G186" s="4" t="n">
        <v>50.47</v>
      </c>
      <c r="H186" t="inlineStr">
        <is>
          <t>USD</t>
        </is>
      </c>
      <c r="I186" t="inlineStr">
        <is>
          <t>USD</t>
        </is>
      </c>
      <c r="J186" s="18" t="n">
        <v>1</v>
      </c>
      <c r="K186" s="4" t="n">
        <v>50.47</v>
      </c>
      <c r="L186" t="inlineStr">
        <is>
          <t>documents</t>
        </is>
      </c>
      <c r="M186" s="19" t="inlineStr">
        <is>
          <t>4493890-AS-110181</t>
        </is>
      </c>
      <c r="N186" t="inlineStr">
        <is>
          <t>https://drive.google.com/file/d/1nS9eN-g06nXbQ_AJLuOhCGaJH0FkLlqy/view?usp=drivesdk</t>
        </is>
      </c>
    </row>
    <row r="187" ht="12" customHeight="1">
      <c r="A187" t="inlineStr">
        <is>
          <t>202606</t>
        </is>
      </c>
      <c r="B187" t="inlineStr">
        <is>
          <t>INC</t>
        </is>
      </c>
      <c r="C187" t="inlineStr">
        <is>
          <t>cogs</t>
        </is>
      </c>
      <c r="D187" t="inlineStr">
        <is>
          <t>manufacturing</t>
        </is>
      </c>
      <c r="E187" t="inlineStr">
        <is>
          <t>JONDO</t>
        </is>
      </c>
      <c r="F187" t="inlineStr">
        <is>
          <t>invoice</t>
        </is>
      </c>
      <c r="G187" s="4" t="n">
        <v>203.62</v>
      </c>
      <c r="H187" t="inlineStr">
        <is>
          <t>USD</t>
        </is>
      </c>
      <c r="I187" t="inlineStr">
        <is>
          <t>USD</t>
        </is>
      </c>
      <c r="J187" s="18" t="n">
        <v>1</v>
      </c>
      <c r="K187" s="4" t="n">
        <v>203.62</v>
      </c>
      <c r="L187" t="inlineStr">
        <is>
          <t>documents</t>
        </is>
      </c>
      <c r="M187" s="19" t="inlineStr">
        <is>
          <t>4494780-AS-110429</t>
        </is>
      </c>
      <c r="N187" t="inlineStr">
        <is>
          <t>https://drive.google.com/file/d/1gDlXSOBmNi1XBMv1CaZs-JRodZrH-Gfy/view?usp=drivesdk</t>
        </is>
      </c>
    </row>
    <row r="188" ht="12" customHeight="1">
      <c r="A188" t="inlineStr">
        <is>
          <t>202606</t>
        </is>
      </c>
      <c r="B188" t="inlineStr">
        <is>
          <t>INC</t>
        </is>
      </c>
      <c r="C188" t="inlineStr">
        <is>
          <t>opex</t>
        </is>
      </c>
      <c r="D188" t="inlineStr">
        <is>
          <t>administration</t>
        </is>
      </c>
      <c r="E188" t="inlineStr">
        <is>
          <t>QUICKBOOKS</t>
        </is>
      </c>
      <c r="F188" t="inlineStr">
        <is>
          <t>invoice</t>
        </is>
      </c>
      <c r="G188" s="4" t="n">
        <v>121.9</v>
      </c>
      <c r="H188" t="inlineStr">
        <is>
          <t>USD</t>
        </is>
      </c>
      <c r="I188" t="inlineStr">
        <is>
          <t>USD</t>
        </is>
      </c>
      <c r="J188" s="18" t="n">
        <v>1</v>
      </c>
      <c r="K188" s="4" t="n">
        <v>121.9</v>
      </c>
      <c r="L188" t="inlineStr">
        <is>
          <t>documents</t>
        </is>
      </c>
      <c r="M188" s="19" t="inlineStr">
        <is>
          <t>10001500801887</t>
        </is>
      </c>
      <c r="N188" t="inlineStr">
        <is>
          <t>https://drive.google.com/file/d/1ktcUt_dmZ3EGuVsSemWSXxpTV7osW_Xt/view?usp=drivesdk</t>
        </is>
      </c>
    </row>
    <row r="189" ht="12" customHeight="1">
      <c r="A189" t="inlineStr">
        <is>
          <t>202606</t>
        </is>
      </c>
      <c r="B189" t="inlineStr">
        <is>
          <t>INC</t>
        </is>
      </c>
      <c r="C189" t="inlineStr">
        <is>
          <t>opex</t>
        </is>
      </c>
      <c r="D189" t="inlineStr">
        <is>
          <t>shared_services</t>
        </is>
      </c>
      <c r="E189" t="inlineStr">
        <is>
          <t>SHAREDSERVICESSL</t>
        </is>
      </c>
      <c r="F189" t="inlineStr">
        <is>
          <t>invoice</t>
        </is>
      </c>
      <c r="G189" s="4" t="n">
        <v>4876.31</v>
      </c>
      <c r="H189" t="inlineStr">
        <is>
          <t>EUR</t>
        </is>
      </c>
      <c r="I189" t="inlineStr">
        <is>
          <t>USD</t>
        </is>
      </c>
      <c r="J189" s="18" t="n">
        <v>1.1394</v>
      </c>
      <c r="K189" s="4" t="n">
        <v>5556.07</v>
      </c>
      <c r="L189" t="inlineStr">
        <is>
          <t>documents</t>
        </is>
      </c>
      <c r="M189" s="19" t="inlineStr">
        <is>
          <t>2026-0030</t>
        </is>
      </c>
      <c r="N189" t="inlineStr">
        <is>
          <t>https://drive.google.com/file/d/12EthxatXwUiNej1AC0mO-nrxJnB0sWHC/view?usp=drivesdk</t>
        </is>
      </c>
    </row>
    <row r="190" ht="12" customHeight="1">
      <c r="A190" t="inlineStr">
        <is>
          <t>202606</t>
        </is>
      </c>
      <c r="B190" t="inlineStr">
        <is>
          <t>INC</t>
        </is>
      </c>
      <c r="C190" t="inlineStr">
        <is>
          <t>cogs</t>
        </is>
      </c>
      <c r="D190" t="inlineStr">
        <is>
          <t>logistics</t>
        </is>
      </c>
      <c r="E190" t="inlineStr">
        <is>
          <t>TGI</t>
        </is>
      </c>
      <c r="F190" t="inlineStr">
        <is>
          <t>logistics</t>
        </is>
      </c>
      <c r="G190" s="4" t="n">
        <v>2614.92</v>
      </c>
      <c r="H190" t="inlineStr">
        <is>
          <t>USD</t>
        </is>
      </c>
      <c r="I190" t="inlineStr">
        <is>
          <t>USD</t>
        </is>
      </c>
      <c r="J190" s="18" t="n">
        <v>1</v>
      </c>
      <c r="K190" s="4" t="n">
        <v>2614.92</v>
      </c>
      <c r="L190" t="inlineStr">
        <is>
          <t>documents</t>
        </is>
      </c>
      <c r="M190" s="19" t="inlineStr">
        <is>
          <t>172285</t>
        </is>
      </c>
      <c r="N190" t="inlineStr">
        <is>
          <t>https://drive.google.com/file/d/1W57xoWWg1bALUWDmBPUhZIRPN6MXmlBh/view?usp=drivesdk</t>
        </is>
      </c>
    </row>
    <row r="191" ht="12" customHeight="1">
      <c r="A191" t="inlineStr">
        <is>
          <t>202606</t>
        </is>
      </c>
      <c r="B191" t="inlineStr">
        <is>
          <t>INC</t>
        </is>
      </c>
      <c r="C191" t="inlineStr">
        <is>
          <t>cogs</t>
        </is>
      </c>
      <c r="D191" t="inlineStr">
        <is>
          <t>manufacturing</t>
        </is>
      </c>
      <c r="E191" t="inlineStr">
        <is>
          <t>TGI</t>
        </is>
      </c>
      <c r="F191" t="inlineStr">
        <is>
          <t>manufacturing</t>
        </is>
      </c>
      <c r="G191" s="4" t="n">
        <v>1506.6</v>
      </c>
      <c r="H191" t="inlineStr">
        <is>
          <t>USD</t>
        </is>
      </c>
      <c r="I191" t="inlineStr">
        <is>
          <t>USD</t>
        </is>
      </c>
      <c r="J191" s="18" t="n">
        <v>1</v>
      </c>
      <c r="K191" s="4" t="n">
        <v>1506.6</v>
      </c>
      <c r="L191" t="inlineStr">
        <is>
          <t>documents</t>
        </is>
      </c>
      <c r="M191" s="19" t="inlineStr">
        <is>
          <t>172285</t>
        </is>
      </c>
      <c r="N191" t="inlineStr">
        <is>
          <t>https://drive.google.com/file/d/1W57xoWWg1bALUWDmBPUhZIRPN6MXmlBh/view?usp=drivesdk</t>
        </is>
      </c>
    </row>
    <row r="192" ht="12" customHeight="1">
      <c r="A192" t="inlineStr">
        <is>
          <t>202607</t>
        </is>
      </c>
      <c r="B192" t="inlineStr">
        <is>
          <t>INC</t>
        </is>
      </c>
      <c r="C192" t="inlineStr">
        <is>
          <t>opex</t>
        </is>
      </c>
      <c r="D192" t="inlineStr">
        <is>
          <t>administration</t>
        </is>
      </c>
      <c r="E192" t="inlineStr">
        <is>
          <t>CONTINUUM</t>
        </is>
      </c>
      <c r="F192" t="inlineStr">
        <is>
          <t>invoice</t>
        </is>
      </c>
      <c r="G192" s="4" t="n">
        <v>1150</v>
      </c>
      <c r="H192" t="inlineStr">
        <is>
          <t>USD</t>
        </is>
      </c>
      <c r="I192" t="inlineStr">
        <is>
          <t>USD</t>
        </is>
      </c>
      <c r="J192" s="18" t="n">
        <v>1</v>
      </c>
      <c r="K192" s="4" t="n">
        <v>1150</v>
      </c>
      <c r="L192" t="inlineStr">
        <is>
          <t>documents</t>
        </is>
      </c>
      <c r="M192" s="19" t="inlineStr">
        <is>
          <t>1323</t>
        </is>
      </c>
      <c r="N192" t="inlineStr">
        <is>
          <t>https://drive.google.com/file/d/1Ryi7Zwj4y4RO16Nj-b3j6D60nZ68M6wK/view?usp=drivesdk</t>
        </is>
      </c>
    </row>
  </sheetData>
  <hyperlinks>
    <hyperlink ref="A1" location="'P&amp;G-INC'!A1" display="&lt;- Volver a P&amp;G-INC"/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  <hyperlink xmlns:r="http://schemas.openxmlformats.org/officeDocument/2006/relationships" ref="M21" r:id="rId19"/>
    <hyperlink xmlns:r="http://schemas.openxmlformats.org/officeDocument/2006/relationships" ref="M22" r:id="rId20"/>
    <hyperlink xmlns:r="http://schemas.openxmlformats.org/officeDocument/2006/relationships" ref="M23" r:id="rId21"/>
    <hyperlink xmlns:r="http://schemas.openxmlformats.org/officeDocument/2006/relationships" ref="M24" r:id="rId22"/>
    <hyperlink xmlns:r="http://schemas.openxmlformats.org/officeDocument/2006/relationships" ref="M25" r:id="rId23"/>
    <hyperlink xmlns:r="http://schemas.openxmlformats.org/officeDocument/2006/relationships" ref="M26" r:id="rId24"/>
    <hyperlink xmlns:r="http://schemas.openxmlformats.org/officeDocument/2006/relationships" ref="M27" r:id="rId25"/>
    <hyperlink xmlns:r="http://schemas.openxmlformats.org/officeDocument/2006/relationships" ref="M28" r:id="rId26"/>
    <hyperlink xmlns:r="http://schemas.openxmlformats.org/officeDocument/2006/relationships" ref="M29" r:id="rId27"/>
    <hyperlink xmlns:r="http://schemas.openxmlformats.org/officeDocument/2006/relationships" ref="M30" r:id="rId28"/>
    <hyperlink xmlns:r="http://schemas.openxmlformats.org/officeDocument/2006/relationships" ref="M31" r:id="rId29"/>
    <hyperlink xmlns:r="http://schemas.openxmlformats.org/officeDocument/2006/relationships" ref="M32" r:id="rId30"/>
    <hyperlink xmlns:r="http://schemas.openxmlformats.org/officeDocument/2006/relationships" ref="M33" r:id="rId31"/>
    <hyperlink xmlns:r="http://schemas.openxmlformats.org/officeDocument/2006/relationships" ref="M34" r:id="rId32"/>
    <hyperlink xmlns:r="http://schemas.openxmlformats.org/officeDocument/2006/relationships" ref="M35" r:id="rId33"/>
    <hyperlink xmlns:r="http://schemas.openxmlformats.org/officeDocument/2006/relationships" ref="M36" r:id="rId34"/>
    <hyperlink xmlns:r="http://schemas.openxmlformats.org/officeDocument/2006/relationships" ref="M37" r:id="rId35"/>
    <hyperlink xmlns:r="http://schemas.openxmlformats.org/officeDocument/2006/relationships" ref="M38" r:id="rId36"/>
    <hyperlink xmlns:r="http://schemas.openxmlformats.org/officeDocument/2006/relationships" ref="M39" r:id="rId37"/>
    <hyperlink xmlns:r="http://schemas.openxmlformats.org/officeDocument/2006/relationships" ref="M40" r:id="rId38"/>
    <hyperlink xmlns:r="http://schemas.openxmlformats.org/officeDocument/2006/relationships" ref="M41" r:id="rId39"/>
    <hyperlink xmlns:r="http://schemas.openxmlformats.org/officeDocument/2006/relationships" ref="M42" r:id="rId40"/>
    <hyperlink xmlns:r="http://schemas.openxmlformats.org/officeDocument/2006/relationships" ref="M43" r:id="rId41"/>
    <hyperlink xmlns:r="http://schemas.openxmlformats.org/officeDocument/2006/relationships" ref="M44" r:id="rId42"/>
    <hyperlink xmlns:r="http://schemas.openxmlformats.org/officeDocument/2006/relationships" ref="M45" r:id="rId43"/>
    <hyperlink xmlns:r="http://schemas.openxmlformats.org/officeDocument/2006/relationships" ref="M46" r:id="rId44"/>
    <hyperlink xmlns:r="http://schemas.openxmlformats.org/officeDocument/2006/relationships" ref="M47" r:id="rId45"/>
    <hyperlink xmlns:r="http://schemas.openxmlformats.org/officeDocument/2006/relationships" ref="M48" r:id="rId46"/>
    <hyperlink xmlns:r="http://schemas.openxmlformats.org/officeDocument/2006/relationships" ref="M49" r:id="rId47"/>
    <hyperlink xmlns:r="http://schemas.openxmlformats.org/officeDocument/2006/relationships" ref="M50" r:id="rId48"/>
    <hyperlink xmlns:r="http://schemas.openxmlformats.org/officeDocument/2006/relationships" ref="M51" r:id="rId49"/>
    <hyperlink xmlns:r="http://schemas.openxmlformats.org/officeDocument/2006/relationships" ref="M52" r:id="rId50"/>
    <hyperlink xmlns:r="http://schemas.openxmlformats.org/officeDocument/2006/relationships" ref="M53" r:id="rId51"/>
    <hyperlink xmlns:r="http://schemas.openxmlformats.org/officeDocument/2006/relationships" ref="M54" r:id="rId52"/>
    <hyperlink xmlns:r="http://schemas.openxmlformats.org/officeDocument/2006/relationships" ref="M55" r:id="rId53"/>
    <hyperlink xmlns:r="http://schemas.openxmlformats.org/officeDocument/2006/relationships" ref="M56" r:id="rId54"/>
    <hyperlink xmlns:r="http://schemas.openxmlformats.org/officeDocument/2006/relationships" ref="M57" r:id="rId55"/>
    <hyperlink xmlns:r="http://schemas.openxmlformats.org/officeDocument/2006/relationships" ref="M58" r:id="rId56"/>
    <hyperlink xmlns:r="http://schemas.openxmlformats.org/officeDocument/2006/relationships" ref="M59" r:id="rId57"/>
    <hyperlink xmlns:r="http://schemas.openxmlformats.org/officeDocument/2006/relationships" ref="M60" r:id="rId58"/>
    <hyperlink xmlns:r="http://schemas.openxmlformats.org/officeDocument/2006/relationships" ref="M61" r:id="rId59"/>
    <hyperlink xmlns:r="http://schemas.openxmlformats.org/officeDocument/2006/relationships" ref="M62" r:id="rId60"/>
    <hyperlink xmlns:r="http://schemas.openxmlformats.org/officeDocument/2006/relationships" ref="M63" r:id="rId61"/>
    <hyperlink xmlns:r="http://schemas.openxmlformats.org/officeDocument/2006/relationships" ref="M64" r:id="rId62"/>
    <hyperlink xmlns:r="http://schemas.openxmlformats.org/officeDocument/2006/relationships" ref="M65" r:id="rId63"/>
    <hyperlink xmlns:r="http://schemas.openxmlformats.org/officeDocument/2006/relationships" ref="M66" r:id="rId64"/>
    <hyperlink xmlns:r="http://schemas.openxmlformats.org/officeDocument/2006/relationships" ref="M67" r:id="rId65"/>
    <hyperlink xmlns:r="http://schemas.openxmlformats.org/officeDocument/2006/relationships" ref="M68" r:id="rId66"/>
    <hyperlink xmlns:r="http://schemas.openxmlformats.org/officeDocument/2006/relationships" ref="M69" r:id="rId67"/>
    <hyperlink xmlns:r="http://schemas.openxmlformats.org/officeDocument/2006/relationships" ref="M70" r:id="rId68"/>
    <hyperlink xmlns:r="http://schemas.openxmlformats.org/officeDocument/2006/relationships" ref="M71" r:id="rId69"/>
    <hyperlink xmlns:r="http://schemas.openxmlformats.org/officeDocument/2006/relationships" ref="M72" r:id="rId70"/>
    <hyperlink xmlns:r="http://schemas.openxmlformats.org/officeDocument/2006/relationships" ref="M73" r:id="rId71"/>
    <hyperlink xmlns:r="http://schemas.openxmlformats.org/officeDocument/2006/relationships" ref="M74" r:id="rId72"/>
    <hyperlink xmlns:r="http://schemas.openxmlformats.org/officeDocument/2006/relationships" ref="M75" r:id="rId73"/>
    <hyperlink xmlns:r="http://schemas.openxmlformats.org/officeDocument/2006/relationships" ref="M76" r:id="rId74"/>
    <hyperlink xmlns:r="http://schemas.openxmlformats.org/officeDocument/2006/relationships" ref="M77" r:id="rId75"/>
    <hyperlink xmlns:r="http://schemas.openxmlformats.org/officeDocument/2006/relationships" ref="M78" r:id="rId76"/>
    <hyperlink xmlns:r="http://schemas.openxmlformats.org/officeDocument/2006/relationships" ref="M79" r:id="rId77"/>
    <hyperlink xmlns:r="http://schemas.openxmlformats.org/officeDocument/2006/relationships" ref="M80" r:id="rId78"/>
    <hyperlink xmlns:r="http://schemas.openxmlformats.org/officeDocument/2006/relationships" ref="M81" r:id="rId79"/>
    <hyperlink xmlns:r="http://schemas.openxmlformats.org/officeDocument/2006/relationships" ref="M82" r:id="rId80"/>
    <hyperlink xmlns:r="http://schemas.openxmlformats.org/officeDocument/2006/relationships" ref="M83" r:id="rId81"/>
    <hyperlink xmlns:r="http://schemas.openxmlformats.org/officeDocument/2006/relationships" ref="M84" r:id="rId82"/>
    <hyperlink xmlns:r="http://schemas.openxmlformats.org/officeDocument/2006/relationships" ref="M85" r:id="rId83"/>
    <hyperlink xmlns:r="http://schemas.openxmlformats.org/officeDocument/2006/relationships" ref="M86" r:id="rId84"/>
    <hyperlink xmlns:r="http://schemas.openxmlformats.org/officeDocument/2006/relationships" ref="M87" r:id="rId85"/>
    <hyperlink xmlns:r="http://schemas.openxmlformats.org/officeDocument/2006/relationships" ref="M88" r:id="rId86"/>
    <hyperlink xmlns:r="http://schemas.openxmlformats.org/officeDocument/2006/relationships" ref="M89" r:id="rId87"/>
    <hyperlink xmlns:r="http://schemas.openxmlformats.org/officeDocument/2006/relationships" ref="M90" r:id="rId88"/>
    <hyperlink xmlns:r="http://schemas.openxmlformats.org/officeDocument/2006/relationships" ref="M91" r:id="rId89"/>
    <hyperlink xmlns:r="http://schemas.openxmlformats.org/officeDocument/2006/relationships" ref="M92" r:id="rId90"/>
    <hyperlink xmlns:r="http://schemas.openxmlformats.org/officeDocument/2006/relationships" ref="M93" r:id="rId91"/>
    <hyperlink xmlns:r="http://schemas.openxmlformats.org/officeDocument/2006/relationships" ref="M94" r:id="rId92"/>
    <hyperlink xmlns:r="http://schemas.openxmlformats.org/officeDocument/2006/relationships" ref="M95" r:id="rId93"/>
    <hyperlink xmlns:r="http://schemas.openxmlformats.org/officeDocument/2006/relationships" ref="M96" r:id="rId94"/>
    <hyperlink xmlns:r="http://schemas.openxmlformats.org/officeDocument/2006/relationships" ref="M97" r:id="rId95"/>
    <hyperlink xmlns:r="http://schemas.openxmlformats.org/officeDocument/2006/relationships" ref="M98" r:id="rId96"/>
    <hyperlink xmlns:r="http://schemas.openxmlformats.org/officeDocument/2006/relationships" ref="M99" r:id="rId97"/>
    <hyperlink xmlns:r="http://schemas.openxmlformats.org/officeDocument/2006/relationships" ref="M100" r:id="rId98"/>
    <hyperlink xmlns:r="http://schemas.openxmlformats.org/officeDocument/2006/relationships" ref="M101" r:id="rId99"/>
    <hyperlink xmlns:r="http://schemas.openxmlformats.org/officeDocument/2006/relationships" ref="M102" r:id="rId100"/>
    <hyperlink xmlns:r="http://schemas.openxmlformats.org/officeDocument/2006/relationships" ref="M103" r:id="rId101"/>
    <hyperlink xmlns:r="http://schemas.openxmlformats.org/officeDocument/2006/relationships" ref="M104" r:id="rId102"/>
    <hyperlink xmlns:r="http://schemas.openxmlformats.org/officeDocument/2006/relationships" ref="M105" r:id="rId103"/>
    <hyperlink xmlns:r="http://schemas.openxmlformats.org/officeDocument/2006/relationships" ref="M106" r:id="rId104"/>
    <hyperlink xmlns:r="http://schemas.openxmlformats.org/officeDocument/2006/relationships" ref="M107" r:id="rId105"/>
    <hyperlink xmlns:r="http://schemas.openxmlformats.org/officeDocument/2006/relationships" ref="M108" r:id="rId106"/>
    <hyperlink xmlns:r="http://schemas.openxmlformats.org/officeDocument/2006/relationships" ref="M109" r:id="rId107"/>
    <hyperlink xmlns:r="http://schemas.openxmlformats.org/officeDocument/2006/relationships" ref="M110" r:id="rId108"/>
    <hyperlink xmlns:r="http://schemas.openxmlformats.org/officeDocument/2006/relationships" ref="M111" r:id="rId109"/>
    <hyperlink xmlns:r="http://schemas.openxmlformats.org/officeDocument/2006/relationships" ref="M112" r:id="rId110"/>
    <hyperlink xmlns:r="http://schemas.openxmlformats.org/officeDocument/2006/relationships" ref="M113" r:id="rId111"/>
    <hyperlink xmlns:r="http://schemas.openxmlformats.org/officeDocument/2006/relationships" ref="M114" r:id="rId112"/>
    <hyperlink xmlns:r="http://schemas.openxmlformats.org/officeDocument/2006/relationships" ref="M115" r:id="rId113"/>
    <hyperlink xmlns:r="http://schemas.openxmlformats.org/officeDocument/2006/relationships" ref="M116" r:id="rId114"/>
    <hyperlink xmlns:r="http://schemas.openxmlformats.org/officeDocument/2006/relationships" ref="M117" r:id="rId115"/>
    <hyperlink xmlns:r="http://schemas.openxmlformats.org/officeDocument/2006/relationships" ref="M118" r:id="rId116"/>
    <hyperlink xmlns:r="http://schemas.openxmlformats.org/officeDocument/2006/relationships" ref="M119" r:id="rId117"/>
    <hyperlink xmlns:r="http://schemas.openxmlformats.org/officeDocument/2006/relationships" ref="M120" r:id="rId118"/>
    <hyperlink xmlns:r="http://schemas.openxmlformats.org/officeDocument/2006/relationships" ref="M121" r:id="rId119"/>
    <hyperlink xmlns:r="http://schemas.openxmlformats.org/officeDocument/2006/relationships" ref="M122" r:id="rId120"/>
    <hyperlink xmlns:r="http://schemas.openxmlformats.org/officeDocument/2006/relationships" ref="M123" r:id="rId121"/>
    <hyperlink xmlns:r="http://schemas.openxmlformats.org/officeDocument/2006/relationships" ref="M124" r:id="rId122"/>
    <hyperlink xmlns:r="http://schemas.openxmlformats.org/officeDocument/2006/relationships" ref="M125" r:id="rId123"/>
    <hyperlink xmlns:r="http://schemas.openxmlformats.org/officeDocument/2006/relationships" ref="M126" r:id="rId124"/>
    <hyperlink xmlns:r="http://schemas.openxmlformats.org/officeDocument/2006/relationships" ref="M127" r:id="rId125"/>
    <hyperlink xmlns:r="http://schemas.openxmlformats.org/officeDocument/2006/relationships" ref="M128" r:id="rId126"/>
    <hyperlink xmlns:r="http://schemas.openxmlformats.org/officeDocument/2006/relationships" ref="M129" r:id="rId127"/>
    <hyperlink xmlns:r="http://schemas.openxmlformats.org/officeDocument/2006/relationships" ref="M130" r:id="rId128"/>
    <hyperlink xmlns:r="http://schemas.openxmlformats.org/officeDocument/2006/relationships" ref="M131" r:id="rId129"/>
    <hyperlink xmlns:r="http://schemas.openxmlformats.org/officeDocument/2006/relationships" ref="M132" r:id="rId130"/>
    <hyperlink xmlns:r="http://schemas.openxmlformats.org/officeDocument/2006/relationships" ref="M133" r:id="rId131"/>
    <hyperlink xmlns:r="http://schemas.openxmlformats.org/officeDocument/2006/relationships" ref="M134" r:id="rId132"/>
    <hyperlink xmlns:r="http://schemas.openxmlformats.org/officeDocument/2006/relationships" ref="M135" r:id="rId133"/>
    <hyperlink xmlns:r="http://schemas.openxmlformats.org/officeDocument/2006/relationships" ref="M136" r:id="rId134"/>
    <hyperlink xmlns:r="http://schemas.openxmlformats.org/officeDocument/2006/relationships" ref="M137" r:id="rId135"/>
    <hyperlink xmlns:r="http://schemas.openxmlformats.org/officeDocument/2006/relationships" ref="M138" r:id="rId136"/>
    <hyperlink xmlns:r="http://schemas.openxmlformats.org/officeDocument/2006/relationships" ref="M139" r:id="rId137"/>
    <hyperlink xmlns:r="http://schemas.openxmlformats.org/officeDocument/2006/relationships" ref="M140" r:id="rId138"/>
    <hyperlink xmlns:r="http://schemas.openxmlformats.org/officeDocument/2006/relationships" ref="M141" r:id="rId139"/>
    <hyperlink xmlns:r="http://schemas.openxmlformats.org/officeDocument/2006/relationships" ref="M142" r:id="rId140"/>
    <hyperlink xmlns:r="http://schemas.openxmlformats.org/officeDocument/2006/relationships" ref="M143" r:id="rId141"/>
    <hyperlink xmlns:r="http://schemas.openxmlformats.org/officeDocument/2006/relationships" ref="M144" r:id="rId142"/>
    <hyperlink xmlns:r="http://schemas.openxmlformats.org/officeDocument/2006/relationships" ref="M145" r:id="rId143"/>
    <hyperlink xmlns:r="http://schemas.openxmlformats.org/officeDocument/2006/relationships" ref="M146" r:id="rId144"/>
    <hyperlink xmlns:r="http://schemas.openxmlformats.org/officeDocument/2006/relationships" ref="M147" r:id="rId145"/>
    <hyperlink xmlns:r="http://schemas.openxmlformats.org/officeDocument/2006/relationships" ref="M148" r:id="rId146"/>
    <hyperlink xmlns:r="http://schemas.openxmlformats.org/officeDocument/2006/relationships" ref="M149" r:id="rId147"/>
    <hyperlink xmlns:r="http://schemas.openxmlformats.org/officeDocument/2006/relationships" ref="M150" r:id="rId148"/>
    <hyperlink xmlns:r="http://schemas.openxmlformats.org/officeDocument/2006/relationships" ref="M151" r:id="rId149"/>
    <hyperlink xmlns:r="http://schemas.openxmlformats.org/officeDocument/2006/relationships" ref="M152" r:id="rId150"/>
    <hyperlink xmlns:r="http://schemas.openxmlformats.org/officeDocument/2006/relationships" ref="M153" r:id="rId151"/>
    <hyperlink xmlns:r="http://schemas.openxmlformats.org/officeDocument/2006/relationships" ref="M154" r:id="rId152"/>
    <hyperlink xmlns:r="http://schemas.openxmlformats.org/officeDocument/2006/relationships" ref="M155" r:id="rId153"/>
    <hyperlink xmlns:r="http://schemas.openxmlformats.org/officeDocument/2006/relationships" ref="M156" r:id="rId154"/>
    <hyperlink xmlns:r="http://schemas.openxmlformats.org/officeDocument/2006/relationships" ref="M157" r:id="rId155"/>
    <hyperlink xmlns:r="http://schemas.openxmlformats.org/officeDocument/2006/relationships" ref="M158" r:id="rId156"/>
    <hyperlink xmlns:r="http://schemas.openxmlformats.org/officeDocument/2006/relationships" ref="M159" r:id="rId157"/>
    <hyperlink xmlns:r="http://schemas.openxmlformats.org/officeDocument/2006/relationships" ref="M160" r:id="rId158"/>
    <hyperlink xmlns:r="http://schemas.openxmlformats.org/officeDocument/2006/relationships" ref="M161" r:id="rId159"/>
    <hyperlink xmlns:r="http://schemas.openxmlformats.org/officeDocument/2006/relationships" ref="M162" r:id="rId160"/>
    <hyperlink xmlns:r="http://schemas.openxmlformats.org/officeDocument/2006/relationships" ref="M163" r:id="rId161"/>
    <hyperlink xmlns:r="http://schemas.openxmlformats.org/officeDocument/2006/relationships" ref="M164" r:id="rId162"/>
    <hyperlink xmlns:r="http://schemas.openxmlformats.org/officeDocument/2006/relationships" ref="M165" r:id="rId163"/>
    <hyperlink xmlns:r="http://schemas.openxmlformats.org/officeDocument/2006/relationships" ref="M166" r:id="rId164"/>
    <hyperlink xmlns:r="http://schemas.openxmlformats.org/officeDocument/2006/relationships" ref="M167" r:id="rId165"/>
    <hyperlink xmlns:r="http://schemas.openxmlformats.org/officeDocument/2006/relationships" ref="M168" r:id="rId166"/>
    <hyperlink xmlns:r="http://schemas.openxmlformats.org/officeDocument/2006/relationships" ref="M169" r:id="rId167"/>
    <hyperlink xmlns:r="http://schemas.openxmlformats.org/officeDocument/2006/relationships" ref="M170" r:id="rId168"/>
    <hyperlink xmlns:r="http://schemas.openxmlformats.org/officeDocument/2006/relationships" ref="M171" r:id="rId169"/>
    <hyperlink xmlns:r="http://schemas.openxmlformats.org/officeDocument/2006/relationships" ref="M172" r:id="rId170"/>
    <hyperlink xmlns:r="http://schemas.openxmlformats.org/officeDocument/2006/relationships" ref="M173" r:id="rId171"/>
    <hyperlink xmlns:r="http://schemas.openxmlformats.org/officeDocument/2006/relationships" ref="M174" r:id="rId172"/>
    <hyperlink xmlns:r="http://schemas.openxmlformats.org/officeDocument/2006/relationships" ref="M175" r:id="rId173"/>
    <hyperlink xmlns:r="http://schemas.openxmlformats.org/officeDocument/2006/relationships" ref="M176" r:id="rId174"/>
    <hyperlink xmlns:r="http://schemas.openxmlformats.org/officeDocument/2006/relationships" ref="M177" r:id="rId175"/>
    <hyperlink xmlns:r="http://schemas.openxmlformats.org/officeDocument/2006/relationships" ref="M178" r:id="rId176"/>
    <hyperlink xmlns:r="http://schemas.openxmlformats.org/officeDocument/2006/relationships" ref="M179" r:id="rId177"/>
    <hyperlink xmlns:r="http://schemas.openxmlformats.org/officeDocument/2006/relationships" ref="M180" r:id="rId178"/>
    <hyperlink xmlns:r="http://schemas.openxmlformats.org/officeDocument/2006/relationships" ref="M181" r:id="rId179"/>
    <hyperlink xmlns:r="http://schemas.openxmlformats.org/officeDocument/2006/relationships" ref="M182" r:id="rId180"/>
    <hyperlink xmlns:r="http://schemas.openxmlformats.org/officeDocument/2006/relationships" ref="M183" r:id="rId181"/>
    <hyperlink xmlns:r="http://schemas.openxmlformats.org/officeDocument/2006/relationships" ref="M184" r:id="rId182"/>
    <hyperlink xmlns:r="http://schemas.openxmlformats.org/officeDocument/2006/relationships" ref="M185" r:id="rId183"/>
    <hyperlink xmlns:r="http://schemas.openxmlformats.org/officeDocument/2006/relationships" ref="M186" r:id="rId184"/>
    <hyperlink xmlns:r="http://schemas.openxmlformats.org/officeDocument/2006/relationships" ref="M187" r:id="rId185"/>
    <hyperlink xmlns:r="http://schemas.openxmlformats.org/officeDocument/2006/relationships" ref="M188" r:id="rId186"/>
    <hyperlink xmlns:r="http://schemas.openxmlformats.org/officeDocument/2006/relationships" ref="M189" r:id="rId187"/>
    <hyperlink xmlns:r="http://schemas.openxmlformats.org/officeDocument/2006/relationships" ref="M190" r:id="rId188"/>
    <hyperlink xmlns:r="http://schemas.openxmlformats.org/officeDocument/2006/relationships" ref="M191" r:id="rId189"/>
    <hyperlink xmlns:r="http://schemas.openxmlformats.org/officeDocument/2006/relationships" ref="M192" r:id="rId19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19" customWidth="1" min="5" max="5"/>
    <col width="20" customWidth="1" min="6" max="6"/>
    <col width="14" customWidth="1" min="7" max="7"/>
    <col width="18" customWidth="1" min="8" max="8"/>
    <col width="14" customWidth="1" min="9" max="9"/>
  </cols>
  <sheetData>
    <row r="1" ht="12" customHeight="1">
      <c r="A1" s="16" t="inlineStr">
        <is>
          <t>&lt;- Volver a P&amp;G-INC</t>
        </is>
      </c>
    </row>
    <row r="2" ht="12" customHeight="1">
      <c r="A2" s="17" t="inlineStr">
        <is>
          <t>yyyymm</t>
        </is>
      </c>
      <c r="B2" s="17" t="inlineStr">
        <is>
          <t>entity</t>
        </is>
      </c>
      <c r="C2" s="17" t="inlineStr">
        <is>
          <t>supplier_code</t>
        </is>
      </c>
      <c r="D2" s="17" t="inlineStr">
        <is>
          <t>amount_original</t>
        </is>
      </c>
      <c r="E2" s="17" t="inlineStr">
        <is>
          <t>currency_original</t>
        </is>
      </c>
      <c r="F2" s="17" t="inlineStr">
        <is>
          <t>reporting_currency</t>
        </is>
      </c>
      <c r="G2" s="17" t="inlineStr">
        <is>
          <t>fx_rate</t>
        </is>
      </c>
      <c r="H2" s="17" t="inlineStr">
        <is>
          <t>amount_reporting</t>
        </is>
      </c>
      <c r="I2" s="17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INC</t>
        </is>
      </c>
      <c r="C3" t="inlineStr">
        <is>
          <t>SHOPIFY</t>
        </is>
      </c>
      <c r="D3" s="4" t="n">
        <v>293.05</v>
      </c>
      <c r="E3" t="inlineStr">
        <is>
          <t>USD</t>
        </is>
      </c>
      <c r="F3" t="inlineStr">
        <is>
          <t>USD</t>
        </is>
      </c>
      <c r="G3" s="18" t="n">
        <v>1</v>
      </c>
      <c r="H3" s="4" t="n">
        <v>293.05</v>
      </c>
      <c r="I3" t="inlineStr">
        <is>
          <t>payment_fee_monthly_summary</t>
        </is>
      </c>
    </row>
    <row r="4" ht="12" customHeight="1">
      <c r="A4" t="inlineStr">
        <is>
          <t>202602</t>
        </is>
      </c>
      <c r="B4" t="inlineStr">
        <is>
          <t>INC</t>
        </is>
      </c>
      <c r="C4" t="inlineStr">
        <is>
          <t>SHOPIFY</t>
        </is>
      </c>
      <c r="D4" s="4" t="n">
        <v>470.09</v>
      </c>
      <c r="E4" t="inlineStr">
        <is>
          <t>USD</t>
        </is>
      </c>
      <c r="F4" t="inlineStr">
        <is>
          <t>USD</t>
        </is>
      </c>
      <c r="G4" s="18" t="n">
        <v>1</v>
      </c>
      <c r="H4" s="4" t="n">
        <v>470.09</v>
      </c>
      <c r="I4" t="inlineStr">
        <is>
          <t>payment_fee_monthly_summary</t>
        </is>
      </c>
    </row>
    <row r="5" ht="12" customHeight="1">
      <c r="A5" t="inlineStr">
        <is>
          <t>202603</t>
        </is>
      </c>
      <c r="B5" t="inlineStr">
        <is>
          <t>INC</t>
        </is>
      </c>
      <c r="C5" t="inlineStr">
        <is>
          <t>SHOPIFY</t>
        </is>
      </c>
      <c r="D5" s="4" t="n">
        <v>520.41</v>
      </c>
      <c r="E5" t="inlineStr">
        <is>
          <t>USD</t>
        </is>
      </c>
      <c r="F5" t="inlineStr">
        <is>
          <t>USD</t>
        </is>
      </c>
      <c r="G5" s="18" t="n">
        <v>1</v>
      </c>
      <c r="H5" s="4" t="n">
        <v>520.41</v>
      </c>
      <c r="I5" t="inlineStr">
        <is>
          <t>payment_fee_monthly_summary</t>
        </is>
      </c>
    </row>
    <row r="6" ht="12" customHeight="1">
      <c r="A6" t="inlineStr">
        <is>
          <t>202604</t>
        </is>
      </c>
      <c r="B6" t="inlineStr">
        <is>
          <t>INC</t>
        </is>
      </c>
      <c r="C6" t="inlineStr">
        <is>
          <t>SHOPIFY</t>
        </is>
      </c>
      <c r="D6" s="4" t="n">
        <v>466.64</v>
      </c>
      <c r="E6" t="inlineStr">
        <is>
          <t>USD</t>
        </is>
      </c>
      <c r="F6" t="inlineStr">
        <is>
          <t>USD</t>
        </is>
      </c>
      <c r="G6" s="18" t="n">
        <v>1</v>
      </c>
      <c r="H6" s="4" t="n">
        <v>466.64</v>
      </c>
      <c r="I6" t="inlineStr">
        <is>
          <t>payment_fee_monthly_summary</t>
        </is>
      </c>
    </row>
    <row r="7" ht="12" customHeight="1">
      <c r="A7" t="inlineStr">
        <is>
          <t>202605</t>
        </is>
      </c>
      <c r="B7" t="inlineStr">
        <is>
          <t>INC</t>
        </is>
      </c>
      <c r="C7" t="inlineStr">
        <is>
          <t>SHOPIFY</t>
        </is>
      </c>
      <c r="D7" s="4" t="n">
        <v>362.95</v>
      </c>
      <c r="E7" t="inlineStr">
        <is>
          <t>USD</t>
        </is>
      </c>
      <c r="F7" t="inlineStr">
        <is>
          <t>USD</t>
        </is>
      </c>
      <c r="G7" s="18" t="n">
        <v>1</v>
      </c>
      <c r="H7" s="4" t="n">
        <v>362.95</v>
      </c>
      <c r="I7" t="inlineStr">
        <is>
          <t>payment_fee_monthly_summary</t>
        </is>
      </c>
    </row>
    <row r="8" ht="12" customHeight="1">
      <c r="A8" t="inlineStr">
        <is>
          <t>202606</t>
        </is>
      </c>
      <c r="B8" t="inlineStr">
        <is>
          <t>INC</t>
        </is>
      </c>
      <c r="C8" t="inlineStr">
        <is>
          <t>SHOPIFY</t>
        </is>
      </c>
      <c r="D8" s="4" t="n">
        <v>474.77</v>
      </c>
      <c r="E8" t="inlineStr">
        <is>
          <t>USD</t>
        </is>
      </c>
      <c r="F8" t="inlineStr">
        <is>
          <t>USD</t>
        </is>
      </c>
      <c r="G8" s="18" t="n">
        <v>1</v>
      </c>
      <c r="H8" s="4" t="n">
        <v>474.77</v>
      </c>
      <c r="I8" t="inlineStr">
        <is>
          <t>payment_fee_monthly_summary</t>
        </is>
      </c>
    </row>
    <row r="9" ht="12" customHeight="1">
      <c r="A9" t="inlineStr">
        <is>
          <t>202607</t>
        </is>
      </c>
      <c r="B9" t="inlineStr">
        <is>
          <t>INC</t>
        </is>
      </c>
      <c r="C9" t="inlineStr">
        <is>
          <t>SHOPIFY</t>
        </is>
      </c>
      <c r="D9" s="4" t="n">
        <v>76.05</v>
      </c>
      <c r="E9" t="inlineStr">
        <is>
          <t>USD</t>
        </is>
      </c>
      <c r="F9" t="inlineStr">
        <is>
          <t>USD</t>
        </is>
      </c>
      <c r="G9" s="18" t="n">
        <v>1</v>
      </c>
      <c r="H9" s="4" t="n">
        <v>76.05</v>
      </c>
      <c r="I9" t="inlineStr">
        <is>
          <t>payment_fee_monthly_summary</t>
        </is>
      </c>
    </row>
  </sheetData>
  <hyperlinks>
    <hyperlink ref="A1" location="'P&amp;G-INC'!A1" display="&lt;- Volver a P&amp;G-INC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16" customWidth="1" min="5" max="5"/>
    <col width="14" customWidth="1" min="6" max="6"/>
    <col width="14" customWidth="1" min="7" max="7"/>
  </cols>
  <sheetData>
    <row r="1" ht="12" customHeight="1">
      <c r="A1" s="16" t="inlineStr">
        <is>
          <t>&lt;- Volver a P&amp;G-INC</t>
        </is>
      </c>
    </row>
    <row r="2" ht="12" customHeight="1">
      <c r="A2" s="17" t="inlineStr">
        <is>
          <t>yyyymm</t>
        </is>
      </c>
      <c r="B2" s="17" t="inlineStr">
        <is>
          <t>rate_date</t>
        </is>
      </c>
      <c r="C2" s="17" t="inlineStr">
        <is>
          <t>currency_original</t>
        </is>
      </c>
      <c r="D2" s="17" t="inlineStr">
        <is>
          <t>reporting_currency</t>
        </is>
      </c>
      <c r="E2" s="17" t="inlineStr">
        <is>
          <t>reference_rate</t>
        </is>
      </c>
      <c r="F2" s="17" t="inlineStr">
        <is>
          <t>fx_rate</t>
        </is>
      </c>
      <c r="G2" s="17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2026-01-01</t>
        </is>
      </c>
      <c r="C3" t="inlineStr">
        <is>
          <t>EUR</t>
        </is>
      </c>
      <c r="D3" t="inlineStr">
        <is>
          <t>USD</t>
        </is>
      </c>
      <c r="E3" s="18" t="n">
        <v>1</v>
      </c>
      <c r="F3" s="18" t="n">
        <v>1.1919</v>
      </c>
      <c r="G3" t="inlineStr">
        <is>
          <t>identity -&gt; https://www.ecb.europa.eu/stats/eurofxref/eurofxref-hist.xml</t>
        </is>
      </c>
    </row>
    <row r="4" ht="12" customHeight="1">
      <c r="A4" t="inlineStr">
        <is>
          <t>202601</t>
        </is>
      </c>
      <c r="B4" t="inlineStr">
        <is>
          <t>2026-01-01</t>
        </is>
      </c>
      <c r="C4" t="inlineStr">
        <is>
          <t>USD</t>
        </is>
      </c>
      <c r="D4" t="inlineStr">
        <is>
          <t>USD</t>
        </is>
      </c>
      <c r="E4" s="18" t="n">
        <v>1</v>
      </c>
      <c r="F4" s="18" t="n">
        <v>1</v>
      </c>
      <c r="G4" t="inlineStr">
        <is>
          <t>identity</t>
        </is>
      </c>
    </row>
    <row r="5" ht="12" customHeight="1">
      <c r="A5" t="inlineStr">
        <is>
          <t>202602</t>
        </is>
      </c>
      <c r="B5" t="inlineStr">
        <is>
          <t>2026-02-01</t>
        </is>
      </c>
      <c r="C5" t="inlineStr">
        <is>
          <t>EUR</t>
        </is>
      </c>
      <c r="D5" t="inlineStr">
        <is>
          <t>USD</t>
        </is>
      </c>
      <c r="E5" s="18" t="n">
        <v>1</v>
      </c>
      <c r="F5" s="18" t="n">
        <v>1.1805</v>
      </c>
      <c r="G5" t="inlineStr">
        <is>
          <t>identity -&gt; https://www.ecb.europa.eu/stats/eurofxref/eurofxref-hist.xml</t>
        </is>
      </c>
    </row>
    <row r="6" ht="12" customHeight="1">
      <c r="A6" t="inlineStr">
        <is>
          <t>202602</t>
        </is>
      </c>
      <c r="B6" t="inlineStr">
        <is>
          <t>2026-02-01</t>
        </is>
      </c>
      <c r="C6" t="inlineStr">
        <is>
          <t>USD</t>
        </is>
      </c>
      <c r="D6" t="inlineStr">
        <is>
          <t>USD</t>
        </is>
      </c>
      <c r="E6" s="18" t="n">
        <v>1</v>
      </c>
      <c r="F6" s="18" t="n">
        <v>1</v>
      </c>
      <c r="G6" t="inlineStr">
        <is>
          <t>identity</t>
        </is>
      </c>
    </row>
    <row r="7" ht="12" customHeight="1">
      <c r="A7" t="inlineStr">
        <is>
          <t>202603</t>
        </is>
      </c>
      <c r="B7" t="inlineStr">
        <is>
          <t>2026-03-01</t>
        </is>
      </c>
      <c r="C7" t="inlineStr">
        <is>
          <t>EUR</t>
        </is>
      </c>
      <c r="D7" t="inlineStr">
        <is>
          <t>USD</t>
        </is>
      </c>
      <c r="E7" s="18" t="n">
        <v>1</v>
      </c>
      <c r="F7" s="18" t="n">
        <v>1.1498</v>
      </c>
      <c r="G7" t="inlineStr">
        <is>
          <t>identity -&gt; https://www.ecb.europa.eu/stats/eurofxref/eurofxref-hist.xml</t>
        </is>
      </c>
    </row>
    <row r="8" ht="12" customHeight="1">
      <c r="A8" t="inlineStr">
        <is>
          <t>202603</t>
        </is>
      </c>
      <c r="B8" t="inlineStr">
        <is>
          <t>2026-03-01</t>
        </is>
      </c>
      <c r="C8" t="inlineStr">
        <is>
          <t>USD</t>
        </is>
      </c>
      <c r="D8" t="inlineStr">
        <is>
          <t>USD</t>
        </is>
      </c>
      <c r="E8" s="18" t="n">
        <v>1</v>
      </c>
      <c r="F8" s="18" t="n">
        <v>1</v>
      </c>
      <c r="G8" t="inlineStr">
        <is>
          <t>identity</t>
        </is>
      </c>
    </row>
    <row r="9" ht="12" customHeight="1">
      <c r="A9" t="inlineStr">
        <is>
          <t>202604</t>
        </is>
      </c>
      <c r="B9" t="inlineStr">
        <is>
          <t>2026-04-01</t>
        </is>
      </c>
      <c r="C9" t="inlineStr">
        <is>
          <t>EUR</t>
        </is>
      </c>
      <c r="D9" t="inlineStr">
        <is>
          <t>USD</t>
        </is>
      </c>
      <c r="E9" s="18" t="n">
        <v>1</v>
      </c>
      <c r="F9" s="18" t="n">
        <v>1.1702</v>
      </c>
      <c r="G9" t="inlineStr">
        <is>
          <t>identity -&gt; https://www.ecb.europa.eu/stats/eurofxref/eurofxref-hist.xml</t>
        </is>
      </c>
    </row>
    <row r="10" ht="12" customHeight="1">
      <c r="A10" t="inlineStr">
        <is>
          <t>202604</t>
        </is>
      </c>
      <c r="B10" t="inlineStr">
        <is>
          <t>2026-04-01</t>
        </is>
      </c>
      <c r="C10" t="inlineStr">
        <is>
          <t>USD</t>
        </is>
      </c>
      <c r="D10" t="inlineStr">
        <is>
          <t>USD</t>
        </is>
      </c>
      <c r="E10" s="18" t="n">
        <v>1</v>
      </c>
      <c r="F10" s="18" t="n">
        <v>1</v>
      </c>
      <c r="G10" t="inlineStr">
        <is>
          <t>identity</t>
        </is>
      </c>
    </row>
    <row r="11" ht="12" customHeight="1">
      <c r="A11" t="inlineStr">
        <is>
          <t>202605</t>
        </is>
      </c>
      <c r="B11" t="inlineStr">
        <is>
          <t>2026-05-01</t>
        </is>
      </c>
      <c r="C11" t="inlineStr">
        <is>
          <t>EUR</t>
        </is>
      </c>
      <c r="D11" t="inlineStr">
        <is>
          <t>USD</t>
        </is>
      </c>
      <c r="E11" s="18" t="n">
        <v>1</v>
      </c>
      <c r="F11" s="18" t="n">
        <v>1.1644</v>
      </c>
      <c r="G11" t="inlineStr">
        <is>
          <t>identity -&gt; https://www.ecb.europa.eu/stats/eurofxref/eurofxref-hist.xml</t>
        </is>
      </c>
    </row>
    <row r="12" ht="12" customHeight="1">
      <c r="A12" t="inlineStr">
        <is>
          <t>202605</t>
        </is>
      </c>
      <c r="B12" t="inlineStr">
        <is>
          <t>2026-05-01</t>
        </is>
      </c>
      <c r="C12" t="inlineStr">
        <is>
          <t>USD</t>
        </is>
      </c>
      <c r="D12" t="inlineStr">
        <is>
          <t>USD</t>
        </is>
      </c>
      <c r="E12" s="18" t="n">
        <v>1</v>
      </c>
      <c r="F12" s="18" t="n">
        <v>1</v>
      </c>
      <c r="G12" t="inlineStr">
        <is>
          <t>identity</t>
        </is>
      </c>
    </row>
    <row r="13" ht="12" customHeight="1">
      <c r="A13" t="inlineStr">
        <is>
          <t>202606</t>
        </is>
      </c>
      <c r="B13" t="inlineStr">
        <is>
          <t>2026-06-01</t>
        </is>
      </c>
      <c r="C13" t="inlineStr">
        <is>
          <t>EUR</t>
        </is>
      </c>
      <c r="D13" t="inlineStr">
        <is>
          <t>USD</t>
        </is>
      </c>
      <c r="E13" s="18" t="n">
        <v>1</v>
      </c>
      <c r="F13" s="18" t="n">
        <v>1.1394</v>
      </c>
      <c r="G13" t="inlineStr">
        <is>
          <t>identity -&gt; https://www.ecb.europa.eu/stats/eurofxref/eurofxref-hist.xml</t>
        </is>
      </c>
    </row>
    <row r="14" ht="12" customHeight="1">
      <c r="A14" t="inlineStr">
        <is>
          <t>202606</t>
        </is>
      </c>
      <c r="B14" t="inlineStr">
        <is>
          <t>2026-06-01</t>
        </is>
      </c>
      <c r="C14" t="inlineStr">
        <is>
          <t>USD</t>
        </is>
      </c>
      <c r="D14" t="inlineStr">
        <is>
          <t>USD</t>
        </is>
      </c>
      <c r="E14" s="18" t="n">
        <v>1</v>
      </c>
      <c r="F14" s="18" t="n">
        <v>1</v>
      </c>
      <c r="G14" t="inlineStr">
        <is>
          <t>identity</t>
        </is>
      </c>
    </row>
    <row r="15" ht="12" customHeight="1">
      <c r="A15" t="inlineStr">
        <is>
          <t>202607</t>
        </is>
      </c>
      <c r="B15" t="inlineStr">
        <is>
          <t>2026-07-01</t>
        </is>
      </c>
      <c r="C15" t="inlineStr">
        <is>
          <t>USD</t>
        </is>
      </c>
      <c r="D15" t="inlineStr">
        <is>
          <t>USD</t>
        </is>
      </c>
      <c r="E15" s="18" t="n">
        <v>1</v>
      </c>
      <c r="F15" s="18" t="n">
        <v>1</v>
      </c>
      <c r="G15" t="inlineStr">
        <is>
          <t>identity</t>
        </is>
      </c>
    </row>
  </sheetData>
  <hyperlinks>
    <hyperlink ref="A1" location="'P&amp;G-INC'!A1" display="&lt;- Volver a P&amp;G-INC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4" customWidth="1" min="5" max="5"/>
  </cols>
  <sheetData>
    <row r="1" ht="12" customHeight="1">
      <c r="A1" s="16" t="inlineStr">
        <is>
          <t>&lt;- Volver a P&amp;G-INC</t>
        </is>
      </c>
    </row>
    <row r="2" ht="12" customHeight="1">
      <c r="A2" s="17" t="inlineStr">
        <is>
          <t>supplier_code</t>
        </is>
      </c>
      <c r="B2" s="17" t="inlineStr">
        <is>
          <t>supplier_name</t>
        </is>
      </c>
      <c r="C2" s="17" t="inlineStr">
        <is>
          <t>current_folder</t>
        </is>
      </c>
      <c r="D2" s="17" t="inlineStr">
        <is>
          <t>destination_path</t>
        </is>
      </c>
      <c r="E2" s="17" t="inlineStr">
        <is>
          <t>notes</t>
        </is>
      </c>
    </row>
    <row r="3" ht="12" customHeight="1">
      <c r="A3" t="inlineStr">
        <is>
          <t>JONDO</t>
        </is>
      </c>
      <c r="B3" t="inlineStr">
        <is>
          <t>JONDO</t>
        </is>
      </c>
      <c r="C3" t="inlineStr">
        <is>
          <t>jondo</t>
        </is>
      </c>
      <c r="D3" t="inlineStr">
        <is>
          <t>expenses/cogs/manufacturing</t>
        </is>
      </c>
      <c r="E3" t="inlineStr">
        <is>
          <t>Imported JONDO US supplier</t>
        </is>
      </c>
    </row>
    <row r="4" ht="12" customHeight="1">
      <c r="A4" t="inlineStr">
        <is>
          <t>TGI</t>
        </is>
      </c>
      <c r="B4" t="inlineStr">
        <is>
          <t>TGI</t>
        </is>
      </c>
      <c r="C4" t="inlineStr">
        <is>
          <t>tgi</t>
        </is>
      </c>
      <c r="D4" t="inlineStr">
        <is>
          <t>expenses/cogs/manufacturing-logistics</t>
        </is>
      </c>
      <c r="E4" t="inlineStr"/>
    </row>
    <row r="5" ht="12" customHeight="1">
      <c r="A5" t="inlineStr">
        <is>
          <t>CONTINUUM</t>
        </is>
      </c>
      <c r="B5" t="inlineStr">
        <is>
          <t>CONTINUUM</t>
        </is>
      </c>
      <c r="C5" t="inlineStr">
        <is>
          <t>Continuum</t>
        </is>
      </c>
      <c r="D5" t="inlineStr">
        <is>
          <t>expenses/opex/administration</t>
        </is>
      </c>
      <c r="E5" t="inlineStr"/>
    </row>
    <row r="6" ht="12" customHeight="1">
      <c r="A6" t="inlineStr">
        <is>
          <t>DELAWARE</t>
        </is>
      </c>
      <c r="B6" t="inlineStr">
        <is>
          <t>DELAWARE</t>
        </is>
      </c>
      <c r="C6" t="inlineStr">
        <is>
          <t>Delaware</t>
        </is>
      </c>
      <c r="D6" t="inlineStr">
        <is>
          <t>expenses/opex/administration</t>
        </is>
      </c>
      <c r="E6" t="inlineStr">
        <is>
          <t>US filing and registered office services</t>
        </is>
      </c>
    </row>
    <row r="7" ht="12" customHeight="1">
      <c r="A7" t="inlineStr">
        <is>
          <t>HUSHED</t>
        </is>
      </c>
      <c r="B7" t="inlineStr">
        <is>
          <t>HUSHED</t>
        </is>
      </c>
      <c r="C7" t="inlineStr">
        <is>
          <t>hushed</t>
        </is>
      </c>
      <c r="D7" t="inlineStr">
        <is>
          <t>expenses/opex/administration</t>
        </is>
      </c>
      <c r="E7" t="inlineStr"/>
    </row>
    <row r="8" ht="12" customHeight="1">
      <c r="A8" t="inlineStr">
        <is>
          <t>IPOSTAL</t>
        </is>
      </c>
      <c r="B8" t="inlineStr">
        <is>
          <t>IPOSTAL</t>
        </is>
      </c>
      <c r="C8" t="inlineStr">
        <is>
          <t>iPostal</t>
        </is>
      </c>
      <c r="D8" t="inlineStr">
        <is>
          <t>expenses/opex/administration</t>
        </is>
      </c>
      <c r="E8" t="inlineStr">
        <is>
          <t>Virtual mailbox and mailing address service</t>
        </is>
      </c>
    </row>
    <row r="9" ht="12" customHeight="1">
      <c r="A9" t="inlineStr">
        <is>
          <t>QUICKBOOKS</t>
        </is>
      </c>
      <c r="B9" t="inlineStr">
        <is>
          <t>QUICKBOOKS</t>
        </is>
      </c>
      <c r="C9" t="inlineStr">
        <is>
          <t>QuickBooks</t>
        </is>
      </c>
      <c r="D9" t="inlineStr">
        <is>
          <t>expenses/opex/administration</t>
        </is>
      </c>
      <c r="E9" t="inlineStr">
        <is>
          <t>Accounting software subscription</t>
        </is>
      </c>
    </row>
    <row r="10" ht="12" customHeight="1">
      <c r="A10" t="inlineStr">
        <is>
          <t>REGUS</t>
        </is>
      </c>
      <c r="B10" t="inlineStr">
        <is>
          <t>REGUS</t>
        </is>
      </c>
      <c r="C10" t="inlineStr">
        <is>
          <t>regus</t>
        </is>
      </c>
      <c r="D10" t="inlineStr">
        <is>
          <t>expenses/opex/administration</t>
        </is>
      </c>
      <c r="E10" t="inlineStr"/>
    </row>
    <row r="11" ht="12" customHeight="1">
      <c r="A11" t="inlineStr">
        <is>
          <t>SHAREDSERVICESSL</t>
        </is>
      </c>
      <c r="B11" t="inlineStr">
        <is>
          <t>SHAREDSERVICESSL</t>
        </is>
      </c>
      <c r="C11" t="inlineStr">
        <is>
          <t>HANNUN</t>
        </is>
      </c>
      <c r="D11" t="inlineStr">
        <is>
          <t>expenses/opex/shared-services</t>
        </is>
      </c>
      <c r="E11" t="inlineStr">
        <is>
          <t>Intercompany shared services</t>
        </is>
      </c>
    </row>
  </sheetData>
  <hyperlinks>
    <hyperlink ref="A1" location="'P&amp;G-INC'!A1" display="&lt;- Volver a P&amp;G-INC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 ht="1" customHeight="1">
      <c r="A1" s="1" t="n"/>
      <c r="B1" s="1" t="n"/>
      <c r="C1" s="1" t="n"/>
      <c r="D1" s="1" t="inlineStr">
        <is>
          <t>202601</t>
        </is>
      </c>
      <c r="E1" s="1" t="inlineStr">
        <is>
          <t>202602</t>
        </is>
      </c>
      <c r="F1" s="1" t="inlineStr">
        <is>
          <t>202603</t>
        </is>
      </c>
      <c r="G1" s="1" t="inlineStr">
        <is>
          <t>202604</t>
        </is>
      </c>
      <c r="H1" s="1" t="inlineStr">
        <is>
          <t>202605</t>
        </is>
      </c>
      <c r="I1" s="1" t="inlineStr">
        <is>
          <t>202606</t>
        </is>
      </c>
      <c r="J1" s="1" t="inlineStr">
        <is>
          <t>202607</t>
        </is>
      </c>
      <c r="K1" s="1" t="inlineStr">
        <is>
          <t>202608</t>
        </is>
      </c>
      <c r="L1" s="1" t="inlineStr">
        <is>
          <t>202609</t>
        </is>
      </c>
      <c r="M1" s="1" t="inlineStr">
        <is>
          <t>202610</t>
        </is>
      </c>
      <c r="N1" s="1" t="inlineStr">
        <is>
          <t>202611</t>
        </is>
      </c>
      <c r="O1" s="1" t="inlineStr">
        <is>
          <t>202612</t>
        </is>
      </c>
      <c r="P1" s="1" t="inlineStr">
        <is>
          <t>TOTAL</t>
        </is>
      </c>
    </row>
    <row r="2" ht="12" customHeight="1">
      <c r="A2" s="20" t="inlineStr">
        <is>
          <t>Nº Facturas INC 2026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>
        <is>
          <t>Total</t>
        </is>
      </c>
    </row>
    <row r="4" ht="12" customHeight="1">
      <c r="A4" s="21" t="inlineStr">
        <is>
          <t>Turnover</t>
        </is>
      </c>
      <c r="B4" s="22" t="n"/>
      <c r="C4" s="22" t="n"/>
      <c r="D4" s="22" t="n">
        <v>1</v>
      </c>
      <c r="E4" s="22" t="n">
        <v>1</v>
      </c>
      <c r="F4" s="22" t="n">
        <v>1</v>
      </c>
      <c r="G4" s="22" t="n">
        <v>1</v>
      </c>
      <c r="H4" s="22" t="n">
        <v>1</v>
      </c>
      <c r="I4" s="22" t="n">
        <v>1</v>
      </c>
      <c r="J4" s="22" t="n">
        <v>1</v>
      </c>
      <c r="K4" s="22" t="n">
        <v>0</v>
      </c>
      <c r="L4" s="22" t="n">
        <v>0</v>
      </c>
      <c r="M4" s="22" t="n">
        <v>0</v>
      </c>
      <c r="N4" s="22" t="n">
        <v>0</v>
      </c>
      <c r="O4" s="22" t="n">
        <v>0</v>
      </c>
      <c r="P4" s="22" t="n">
        <v>7</v>
      </c>
      <c r="Q4" s="22" t="n"/>
    </row>
    <row r="5" ht="12" customHeight="1">
      <c r="A5" s="23" t="n"/>
      <c r="B5" s="24" t="inlineStr">
        <is>
          <t>Product sales</t>
        </is>
      </c>
      <c r="C5" s="23" t="n"/>
      <c r="D5" s="23" t="n">
        <v>1</v>
      </c>
      <c r="E5" s="23" t="n">
        <v>1</v>
      </c>
      <c r="F5" s="23" t="n">
        <v>1</v>
      </c>
      <c r="G5" s="23" t="n">
        <v>1</v>
      </c>
      <c r="H5" s="23" t="n">
        <v>1</v>
      </c>
      <c r="I5" s="23" t="n">
        <v>1</v>
      </c>
      <c r="J5" s="23" t="n">
        <v>1</v>
      </c>
      <c r="K5" s="23" t="n">
        <v>0</v>
      </c>
      <c r="L5" s="23" t="n">
        <v>0</v>
      </c>
      <c r="M5" s="23" t="n">
        <v>0</v>
      </c>
      <c r="N5" s="23" t="n">
        <v>0</v>
      </c>
      <c r="O5" s="23" t="n">
        <v>0</v>
      </c>
      <c r="P5" s="23" t="n">
        <v>7</v>
      </c>
      <c r="Q5" s="23" t="n"/>
    </row>
    <row r="6" ht="12" customHeight="1">
      <c r="A6" s="25" t="n"/>
      <c r="B6" s="25" t="n"/>
      <c r="C6" s="9" t="inlineStr">
        <is>
          <t>Shopify</t>
        </is>
      </c>
      <c r="D6" s="25" t="n">
        <v>1</v>
      </c>
      <c r="E6" s="25" t="n">
        <v>1</v>
      </c>
      <c r="F6" s="25" t="n">
        <v>1</v>
      </c>
      <c r="G6" s="25" t="n">
        <v>1</v>
      </c>
      <c r="H6" s="25" t="n">
        <v>1</v>
      </c>
      <c r="I6" s="25" t="n">
        <v>1</v>
      </c>
      <c r="J6" s="25" t="n">
        <v>1</v>
      </c>
      <c r="K6" s="25" t="n">
        <v>0</v>
      </c>
      <c r="L6" s="25" t="n">
        <v>0</v>
      </c>
      <c r="M6" s="25" t="n">
        <v>0</v>
      </c>
      <c r="N6" s="25" t="n">
        <v>0</v>
      </c>
      <c r="O6" s="25" t="n">
        <v>0</v>
      </c>
      <c r="P6" s="25" t="n">
        <v>7</v>
      </c>
      <c r="Q6" s="25" t="n"/>
    </row>
    <row r="7" ht="12" customHeight="1">
      <c r="C7" t="inlineStr">
        <is>
          <t>US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</v>
      </c>
    </row>
    <row r="8" ht="12" customHeight="1">
      <c r="A8" s="23" t="n"/>
      <c r="B8" s="24" t="inlineStr">
        <is>
          <t>Services</t>
        </is>
      </c>
      <c r="C8" s="23" t="n"/>
      <c r="D8" s="23" t="n">
        <v>0</v>
      </c>
      <c r="E8" s="23" t="n">
        <v>0</v>
      </c>
      <c r="F8" s="23" t="n">
        <v>0</v>
      </c>
      <c r="G8" s="23" t="n">
        <v>0</v>
      </c>
      <c r="H8" s="23" t="n">
        <v>0</v>
      </c>
      <c r="I8" s="23" t="n">
        <v>0</v>
      </c>
      <c r="J8" s="23" t="n">
        <v>0</v>
      </c>
      <c r="K8" s="23" t="n">
        <v>0</v>
      </c>
      <c r="L8" s="23" t="n">
        <v>0</v>
      </c>
      <c r="M8" s="23" t="n">
        <v>0</v>
      </c>
      <c r="N8" s="23" t="n">
        <v>0</v>
      </c>
      <c r="O8" s="23" t="n">
        <v>0</v>
      </c>
      <c r="P8" s="23" t="n">
        <v>0</v>
      </c>
      <c r="Q8" s="23" t="n"/>
    </row>
    <row r="9" ht="12" customHeight="1">
      <c r="A9" s="25" t="n"/>
      <c r="B9" s="9" t="inlineStr">
        <is>
          <t>Uncategorized income</t>
        </is>
      </c>
      <c r="C9" s="25" t="n"/>
      <c r="D9" s="25" t="n">
        <v>0</v>
      </c>
      <c r="E9" s="25" t="n">
        <v>0</v>
      </c>
      <c r="F9" s="25" t="n">
        <v>0</v>
      </c>
      <c r="G9" s="25" t="n">
        <v>0</v>
      </c>
      <c r="H9" s="25" t="n">
        <v>0</v>
      </c>
      <c r="I9" s="25" t="n">
        <v>0</v>
      </c>
      <c r="J9" s="25" t="n">
        <v>0</v>
      </c>
      <c r="K9" s="25" t="n">
        <v>0</v>
      </c>
      <c r="L9" s="25" t="n">
        <v>0</v>
      </c>
      <c r="M9" s="25" t="n">
        <v>0</v>
      </c>
      <c r="N9" s="25" t="n">
        <v>0</v>
      </c>
      <c r="O9" s="25" t="n">
        <v>0</v>
      </c>
      <c r="P9" s="25" t="n">
        <v>0</v>
      </c>
      <c r="Q9" s="25" t="n"/>
    </row>
    <row r="10" ht="12" customHeight="1"/>
    <row r="11" ht="12" customHeight="1">
      <c r="A11" s="21" t="inlineStr">
        <is>
          <t>Expenses</t>
        </is>
      </c>
      <c r="B11" s="22" t="n"/>
      <c r="C11" s="22" t="n"/>
      <c r="D11" s="22" t="n">
        <v>19</v>
      </c>
      <c r="E11" s="22" t="n">
        <v>29</v>
      </c>
      <c r="F11" s="22" t="n">
        <v>45</v>
      </c>
      <c r="G11" s="22" t="n">
        <v>42</v>
      </c>
      <c r="H11" s="22" t="n">
        <v>26</v>
      </c>
      <c r="I11" s="22" t="n">
        <v>34</v>
      </c>
      <c r="J11" s="22" t="n">
        <v>2</v>
      </c>
      <c r="K11" s="22" t="n">
        <v>0</v>
      </c>
      <c r="L11" s="22" t="n">
        <v>0</v>
      </c>
      <c r="M11" s="22" t="n">
        <v>0</v>
      </c>
      <c r="N11" s="22" t="n">
        <v>0</v>
      </c>
      <c r="O11" s="22" t="n">
        <v>0</v>
      </c>
      <c r="P11" s="22" t="n">
        <v>197</v>
      </c>
      <c r="Q11" s="22" t="n"/>
    </row>
    <row r="12" ht="12" customHeight="1">
      <c r="A12" s="23" t="n"/>
      <c r="B12" s="24" t="inlineStr">
        <is>
          <t>COGS</t>
        </is>
      </c>
      <c r="C12" s="23" t="n"/>
      <c r="D12" s="23" t="n">
        <v>10</v>
      </c>
      <c r="E12" s="23" t="n">
        <v>21</v>
      </c>
      <c r="F12" s="23" t="n">
        <v>31</v>
      </c>
      <c r="G12" s="23" t="n">
        <v>33</v>
      </c>
      <c r="H12" s="23" t="n">
        <v>16</v>
      </c>
      <c r="I12" s="23" t="n">
        <v>28</v>
      </c>
      <c r="J12" s="23" t="n">
        <v>1</v>
      </c>
      <c r="K12" s="23" t="n">
        <v>0</v>
      </c>
      <c r="L12" s="23" t="n">
        <v>0</v>
      </c>
      <c r="M12" s="23" t="n">
        <v>0</v>
      </c>
      <c r="N12" s="23" t="n">
        <v>0</v>
      </c>
      <c r="O12" s="23" t="n">
        <v>0</v>
      </c>
      <c r="P12" s="23" t="n">
        <v>140</v>
      </c>
      <c r="Q12" s="23" t="n"/>
    </row>
    <row r="13" ht="12" customHeight="1">
      <c r="A13" s="25" t="n"/>
      <c r="B13" s="25" t="n"/>
      <c r="C13" s="9" t="inlineStr">
        <is>
          <t>Manufacturing</t>
        </is>
      </c>
      <c r="D13" s="25" t="n">
        <v>8</v>
      </c>
      <c r="E13" s="25" t="n">
        <v>19</v>
      </c>
      <c r="F13" s="25" t="n">
        <v>29</v>
      </c>
      <c r="G13" s="25" t="n">
        <v>31</v>
      </c>
      <c r="H13" s="25" t="n">
        <v>14</v>
      </c>
      <c r="I13" s="25" t="n">
        <v>26</v>
      </c>
      <c r="J13" s="25" t="n">
        <v>0</v>
      </c>
      <c r="K13" s="25" t="n">
        <v>0</v>
      </c>
      <c r="L13" s="25" t="n">
        <v>0</v>
      </c>
      <c r="M13" s="25" t="n">
        <v>0</v>
      </c>
      <c r="N13" s="25" t="n">
        <v>0</v>
      </c>
      <c r="O13" s="25" t="n">
        <v>0</v>
      </c>
      <c r="P13" s="25" t="n">
        <v>127</v>
      </c>
      <c r="Q13" s="25" t="n"/>
    </row>
    <row r="14" ht="12" customHeight="1">
      <c r="C14" t="inlineStr">
        <is>
          <t>JONDO</t>
        </is>
      </c>
      <c r="D14" t="n">
        <v>7</v>
      </c>
      <c r="E14" t="n">
        <v>18</v>
      </c>
      <c r="F14" t="n">
        <v>28</v>
      </c>
      <c r="G14" t="n">
        <v>30</v>
      </c>
      <c r="H14" t="n">
        <v>13</v>
      </c>
      <c r="I14" t="n">
        <v>25</v>
      </c>
      <c r="J14" s="26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121</v>
      </c>
    </row>
    <row r="15" ht="12" customHeight="1">
      <c r="C15" t="inlineStr">
        <is>
          <t>TGI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s="26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</v>
      </c>
    </row>
    <row r="16" ht="12" customHeight="1">
      <c r="A16" s="25" t="n"/>
      <c r="B16" s="25" t="n"/>
      <c r="C16" s="9" t="inlineStr">
        <is>
          <t>Logistics</t>
        </is>
      </c>
      <c r="D16" s="25" t="n">
        <v>1</v>
      </c>
      <c r="E16" s="25" t="n">
        <v>1</v>
      </c>
      <c r="F16" s="25" t="n">
        <v>1</v>
      </c>
      <c r="G16" s="25" t="n">
        <v>1</v>
      </c>
      <c r="H16" s="25" t="n">
        <v>1</v>
      </c>
      <c r="I16" s="25" t="n">
        <v>1</v>
      </c>
      <c r="J16" s="25" t="n">
        <v>0</v>
      </c>
      <c r="K16" s="25" t="n">
        <v>0</v>
      </c>
      <c r="L16" s="25" t="n">
        <v>0</v>
      </c>
      <c r="M16" s="25" t="n">
        <v>0</v>
      </c>
      <c r="N16" s="25" t="n">
        <v>0</v>
      </c>
      <c r="O16" s="25" t="n">
        <v>0</v>
      </c>
      <c r="P16" s="25" t="n">
        <v>6</v>
      </c>
      <c r="Q16" s="25" t="n"/>
    </row>
    <row r="17" ht="12" customHeight="1">
      <c r="C17" t="inlineStr">
        <is>
          <t>TGI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s="26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</v>
      </c>
    </row>
    <row r="18" ht="12" customHeight="1">
      <c r="A18" s="25" t="n"/>
      <c r="B18" s="25" t="n"/>
      <c r="C18" s="9" t="inlineStr">
        <is>
          <t>Payment fees</t>
        </is>
      </c>
      <c r="D18" s="25" t="n">
        <v>1</v>
      </c>
      <c r="E18" s="25" t="n">
        <v>1</v>
      </c>
      <c r="F18" s="25" t="n">
        <v>1</v>
      </c>
      <c r="G18" s="25" t="n">
        <v>1</v>
      </c>
      <c r="H18" s="25" t="n">
        <v>1</v>
      </c>
      <c r="I18" s="25" t="n">
        <v>1</v>
      </c>
      <c r="J18" s="25" t="n">
        <v>1</v>
      </c>
      <c r="K18" s="25" t="n">
        <v>0</v>
      </c>
      <c r="L18" s="25" t="n">
        <v>0</v>
      </c>
      <c r="M18" s="25" t="n">
        <v>0</v>
      </c>
      <c r="N18" s="25" t="n">
        <v>0</v>
      </c>
      <c r="O18" s="25" t="n">
        <v>0</v>
      </c>
      <c r="P18" s="25" t="n">
        <v>7</v>
      </c>
      <c r="Q18" s="25" t="n"/>
    </row>
    <row r="19" ht="12" customHeight="1">
      <c r="C19" t="inlineStr">
        <is>
          <t>SHOPIFY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</v>
      </c>
    </row>
    <row r="20" ht="12" customHeight="1"/>
    <row r="21" ht="12" customHeight="1">
      <c r="A21" s="23" t="n"/>
      <c r="B21" s="24" t="inlineStr">
        <is>
          <t>Opex</t>
        </is>
      </c>
      <c r="C21" s="23" t="n"/>
      <c r="D21" s="23" t="n">
        <v>9</v>
      </c>
      <c r="E21" s="23" t="n">
        <v>8</v>
      </c>
      <c r="F21" s="23" t="n">
        <v>14</v>
      </c>
      <c r="G21" s="23" t="n">
        <v>9</v>
      </c>
      <c r="H21" s="23" t="n">
        <v>10</v>
      </c>
      <c r="I21" s="23" t="n">
        <v>6</v>
      </c>
      <c r="J21" s="23" t="n">
        <v>1</v>
      </c>
      <c r="K21" s="23" t="n">
        <v>0</v>
      </c>
      <c r="L21" s="23" t="n">
        <v>0</v>
      </c>
      <c r="M21" s="23" t="n">
        <v>0</v>
      </c>
      <c r="N21" s="23" t="n">
        <v>0</v>
      </c>
      <c r="O21" s="23" t="n">
        <v>0</v>
      </c>
      <c r="P21" s="23" t="n">
        <v>57</v>
      </c>
      <c r="Q21" s="23" t="n"/>
    </row>
    <row r="22" ht="12" customHeight="1">
      <c r="A22" s="25" t="n"/>
      <c r="B22" s="25" t="n"/>
      <c r="C22" s="9" t="inlineStr">
        <is>
          <t>Shared services</t>
        </is>
      </c>
      <c r="D22" s="25" t="n">
        <v>1</v>
      </c>
      <c r="E22" s="25" t="n">
        <v>1</v>
      </c>
      <c r="F22" s="25" t="n">
        <v>1</v>
      </c>
      <c r="G22" s="25" t="n">
        <v>1</v>
      </c>
      <c r="H22" s="25" t="n">
        <v>1</v>
      </c>
      <c r="I22" s="25" t="n">
        <v>1</v>
      </c>
      <c r="J22" s="25" t="n">
        <v>0</v>
      </c>
      <c r="K22" s="25" t="n">
        <v>0</v>
      </c>
      <c r="L22" s="25" t="n">
        <v>0</v>
      </c>
      <c r="M22" s="25" t="n">
        <v>0</v>
      </c>
      <c r="N22" s="25" t="n">
        <v>0</v>
      </c>
      <c r="O22" s="25" t="n">
        <v>0</v>
      </c>
      <c r="P22" s="25" t="n">
        <v>6</v>
      </c>
      <c r="Q22" s="25" t="n"/>
    </row>
    <row r="23" ht="12" customHeight="1">
      <c r="C23" t="inlineStr">
        <is>
          <t>SHAREDSERVICESSL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s="26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</v>
      </c>
    </row>
    <row r="24" ht="12" customHeight="1">
      <c r="A24" s="25" t="n"/>
      <c r="B24" s="25" t="n"/>
      <c r="C24" s="9" t="inlineStr">
        <is>
          <t>Administration</t>
        </is>
      </c>
      <c r="D24" s="25" t="n">
        <v>8</v>
      </c>
      <c r="E24" s="25" t="n">
        <v>7</v>
      </c>
      <c r="F24" s="25" t="n">
        <v>13</v>
      </c>
      <c r="G24" s="25" t="n">
        <v>8</v>
      </c>
      <c r="H24" s="25" t="n">
        <v>9</v>
      </c>
      <c r="I24" s="25" t="n">
        <v>5</v>
      </c>
      <c r="J24" s="25" t="n">
        <v>1</v>
      </c>
      <c r="K24" s="25" t="n">
        <v>0</v>
      </c>
      <c r="L24" s="25" t="n">
        <v>0</v>
      </c>
      <c r="M24" s="25" t="n">
        <v>0</v>
      </c>
      <c r="N24" s="25" t="n">
        <v>0</v>
      </c>
      <c r="O24" s="25" t="n">
        <v>0</v>
      </c>
      <c r="P24" s="25" t="n">
        <v>51</v>
      </c>
      <c r="Q24" s="25" t="n"/>
    </row>
    <row r="25" ht="12" customHeight="1">
      <c r="C25" t="inlineStr">
        <is>
          <t>CONTINUUM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</v>
      </c>
    </row>
    <row r="26" ht="12" customHeight="1">
      <c r="C26" t="inlineStr">
        <is>
          <t>DELAWARE</t>
        </is>
      </c>
      <c r="D26" t="n">
        <v>0</v>
      </c>
      <c r="E26" t="n">
        <v>0</v>
      </c>
      <c r="F26" t="n">
        <v>2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</row>
    <row r="27" ht="12" customHeight="1">
      <c r="C27" t="inlineStr">
        <is>
          <t>HUSHED</t>
        </is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s="26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</v>
      </c>
    </row>
    <row r="28" ht="12" customHeight="1">
      <c r="C28" t="inlineStr">
        <is>
          <t>IPOSTAL</t>
        </is>
      </c>
      <c r="D28" t="n">
        <v>4</v>
      </c>
      <c r="E28" t="n">
        <v>3</v>
      </c>
      <c r="F28" t="n">
        <v>8</v>
      </c>
      <c r="G28" t="n">
        <v>5</v>
      </c>
      <c r="H28" t="n">
        <v>6</v>
      </c>
      <c r="I28" t="n">
        <v>2</v>
      </c>
      <c r="J28" s="26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28</v>
      </c>
    </row>
    <row r="29" ht="12" customHeight="1">
      <c r="C29" t="inlineStr">
        <is>
          <t>QUICKBOOKS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s="26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</v>
      </c>
    </row>
    <row r="30" ht="12" customHeight="1">
      <c r="C30" t="inlineStr">
        <is>
          <t>REGUS</t>
        </is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</row>
    <row r="31" ht="12" customHeight="1">
      <c r="A31" s="25" t="n"/>
      <c r="B31" s="25" t="n"/>
      <c r="C31" s="9" t="inlineStr">
        <is>
          <t>Technology</t>
        </is>
      </c>
      <c r="D31" s="25" t="n">
        <v>0</v>
      </c>
      <c r="E31" s="25" t="n">
        <v>0</v>
      </c>
      <c r="F31" s="25" t="n">
        <v>0</v>
      </c>
      <c r="G31" s="25" t="n">
        <v>0</v>
      </c>
      <c r="H31" s="25" t="n">
        <v>0</v>
      </c>
      <c r="I31" s="25" t="n">
        <v>0</v>
      </c>
      <c r="J31" s="25" t="n">
        <v>0</v>
      </c>
      <c r="K31" s="25" t="n">
        <v>0</v>
      </c>
      <c r="L31" s="25" t="n">
        <v>0</v>
      </c>
      <c r="M31" s="25" t="n">
        <v>0</v>
      </c>
      <c r="N31" s="25" t="n">
        <v>0</v>
      </c>
      <c r="O31" s="25" t="n">
        <v>0</v>
      </c>
      <c r="P31" s="25" t="n">
        <v>0</v>
      </c>
      <c r="Q31" s="25" t="n"/>
    </row>
    <row r="32" ht="12" customHeight="1">
      <c r="C32" t="inlineStr">
        <is>
          <t>REVER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 ht="12" customHeight="1">
      <c r="A33" s="25" t="n"/>
      <c r="B33" s="25" t="n"/>
      <c r="C33" s="9" t="inlineStr">
        <is>
          <t>Uncategorized Expenses</t>
        </is>
      </c>
      <c r="D33" s="25" t="n">
        <v>0</v>
      </c>
      <c r="E33" s="25" t="n">
        <v>0</v>
      </c>
      <c r="F33" s="25" t="n">
        <v>0</v>
      </c>
      <c r="G33" s="25" t="n">
        <v>0</v>
      </c>
      <c r="H33" s="25" t="n">
        <v>0</v>
      </c>
      <c r="I33" s="25" t="n">
        <v>0</v>
      </c>
      <c r="J33" s="25" t="n">
        <v>0</v>
      </c>
      <c r="K33" s="25" t="n">
        <v>0</v>
      </c>
      <c r="L33" s="25" t="n">
        <v>0</v>
      </c>
      <c r="M33" s="25" t="n">
        <v>0</v>
      </c>
      <c r="N33" s="25" t="n">
        <v>0</v>
      </c>
      <c r="O33" s="25" t="n">
        <v>0</v>
      </c>
      <c r="P33" s="25" t="n">
        <v>0</v>
      </c>
      <c r="Q33" s="25" t="n"/>
    </row>
    <row r="34" ht="12" customHeight="1">
      <c r="A34" s="25" t="n"/>
      <c r="B34" s="9" t="inlineStr">
        <is>
          <t>Currency Adjustment</t>
        </is>
      </c>
      <c r="C34" s="25" t="n"/>
      <c r="D34" s="25" t="n">
        <v>0</v>
      </c>
      <c r="E34" s="25" t="n">
        <v>0</v>
      </c>
      <c r="F34" s="25" t="n">
        <v>0</v>
      </c>
      <c r="G34" s="25" t="n">
        <v>0</v>
      </c>
      <c r="H34" s="25" t="n">
        <v>0</v>
      </c>
      <c r="I34" s="25" t="n">
        <v>0</v>
      </c>
      <c r="J34" s="25" t="n">
        <v>0</v>
      </c>
      <c r="K34" s="25" t="n">
        <v>0</v>
      </c>
      <c r="L34" s="25" t="n">
        <v>0</v>
      </c>
      <c r="M34" s="25" t="n">
        <v>0</v>
      </c>
      <c r="N34" s="25" t="n">
        <v>0</v>
      </c>
      <c r="O34" s="25" t="n">
        <v>0</v>
      </c>
      <c r="P34" s="25" t="n">
        <v>0</v>
      </c>
      <c r="Q34" s="25" t="n"/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2026-07-11T01:04:46Z</dcterms:created>
  <dcterms:modified xmlns:dcterms="http://purl.org/dc/terms/" xmlns:xsi="http://www.w3.org/2001/XMLSchema-instance" xsi:type="dcterms:W3CDTF">2026-07-11T01:04:46Z</dcterms:modified>
</cp:coreProperties>
</file>