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INC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inc" sheetId="3" state="visible" r:id="rId3"/>
    <sheet xmlns:r="http://schemas.openxmlformats.org/officeDocument/2006/relationships" name="g-expenses-inc" sheetId="4" state="visible" r:id="rId4"/>
    <sheet xmlns:r="http://schemas.openxmlformats.org/officeDocument/2006/relationships" name="g-payment-fees-inc" sheetId="5" state="visible" r:id="rId5"/>
    <sheet xmlns:r="http://schemas.openxmlformats.org/officeDocument/2006/relationships" name="fx-rates" sheetId="6" state="visible" r:id="rId6"/>
    <sheet xmlns:r="http://schemas.openxmlformats.org/officeDocument/2006/relationships" name="catalog-inc" sheetId="7" state="visible" r:id="rId7"/>
    <sheet xmlns:r="http://schemas.openxmlformats.org/officeDocument/2006/relationships"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i val="1"/>
      <color rgb="00666666"/>
      <sz val="8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8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0" fontId="6" fillId="0" borderId="0" pivotButton="0" quotePrefix="0" xfId="0"/>
    <xf numFmtId="164" fontId="6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7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8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/><Relationship Type="http://schemas.openxmlformats.org/officeDocument/2006/relationships/hyperlink" Target="https://drive.google.com/file/d/1BbduJYKX9BQjP8XUl1QyyqI2dYd_kaDG/view?usp=drivesdk" TargetMode="External" Id="rId2"/><Relationship Type="http://schemas.openxmlformats.org/officeDocument/2006/relationships/hyperlink" Target="https://drive.google.com/file/d/1ceZ6j5WAJAPPlpRSVBybJc0WhWv0xodP/view?usp=drivesdk" TargetMode="External" Id="rId3"/><Relationship Type="http://schemas.openxmlformats.org/officeDocument/2006/relationships/hyperlink" Target="https://drive.google.com/file/d/1LMi5pj2ZXxZnqbNKNzf_j2iSIru1WK79/view?usp=drivesdk" TargetMode="External" Id="rId4"/><Relationship Type="http://schemas.openxmlformats.org/officeDocument/2006/relationships/hyperlink" Target="https://drive.google.com/file/d/1KbHUnph5gmHbdTxLjqKqYInKlrmdz4wL/view?usp=drivesdk" TargetMode="External" Id="rId5"/><Relationship Type="http://schemas.openxmlformats.org/officeDocument/2006/relationships/hyperlink" Target="https://drive.google.com/file/d/1yyR0exo4N4IjQeijc-RMOgOFPehkmWG7/view?usp=drivesdk" TargetMode="External" Id="rId6"/><Relationship Type="http://schemas.openxmlformats.org/officeDocument/2006/relationships/hyperlink" Target="https://drive.google.com/file/d/1O0P3vzvWe4u3W1s9Cfr7AhvvLpiFmCxE/view?usp=drivesdk" TargetMode="External" Id="rId7"/><Relationship Type="http://schemas.openxmlformats.org/officeDocument/2006/relationships/hyperlink" Target="https://drive.google.com/file/d/1jyxd9FqicevsnM8DLiOFiRnzfnmWfzky/view?usp=drivesdk" TargetMode="External" Id="rId8"/><Relationship Type="http://schemas.openxmlformats.org/officeDocument/2006/relationships/hyperlink" Target="https://drive.google.com/file/d/1RevzUHhRECleLrhtwD-YjTJp9jaJUWDK/view?usp=drivesdk" TargetMode="External" Id="rId9"/><Relationship Type="http://schemas.openxmlformats.org/officeDocument/2006/relationships/hyperlink" Target="https://drive.google.com/file/d/1mBJHgNO2xg-5FqhSFbZNhgENNhUoZFlO/view?usp=drivesdk" TargetMode="External" Id="rId10"/><Relationship Type="http://schemas.openxmlformats.org/officeDocument/2006/relationships/hyperlink" Target="https://drive.google.com/file/d/1n0jkiCaVd0_gWUGq-nbHvrLmzbH5wqOe/view?usp=drivesdk" TargetMode="External" Id="rId11"/><Relationship Type="http://schemas.openxmlformats.org/officeDocument/2006/relationships/hyperlink" Target="https://drive.google.com/file/d/1oaJt7342H9v6JYlHDXVc1qKPm1x6UfSA/view?usp=drivesdk" TargetMode="External" Id="rId12"/><Relationship Type="http://schemas.openxmlformats.org/officeDocument/2006/relationships/hyperlink" Target="https://drive.google.com/file/d/1XcWHHiuZhYBfTD9p5V8io5vc60MnzuTH/view?usp=drivesdk" TargetMode="External" Id="rId13"/><Relationship Type="http://schemas.openxmlformats.org/officeDocument/2006/relationships/hyperlink" Target="https://drive.google.com/file/d/1O3JQWCljxjpurBip-btRlPPIgNjLDS8z/view?usp=drivesdk" TargetMode="External" Id="rId14"/><Relationship Type="http://schemas.openxmlformats.org/officeDocument/2006/relationships/hyperlink" Target="https://drive.google.com/file/d/1gZQTLCPSHOk4TktpGvMCAtrlr8UHdVJj/view?usp=drivesdk" TargetMode="External" Id="rId15"/><Relationship Type="http://schemas.openxmlformats.org/officeDocument/2006/relationships/hyperlink" Target="https://drive.google.com/file/d/1f0y-ak8qjEua6xrzfcweFpWZqOtA8h9C/view?usp=drivesdk" TargetMode="External" Id="rId16"/><Relationship Type="http://schemas.openxmlformats.org/officeDocument/2006/relationships/hyperlink" Target="https://drive.google.com/file/d/1EUtQF-FleTAy3EgSdssG3kIsBahVXhP7/view?usp=drivesdk" TargetMode="External" Id="rId17"/><Relationship Type="http://schemas.openxmlformats.org/officeDocument/2006/relationships/hyperlink" Target="https://drive.google.com/file/d/15ijSn48A6cTNkNH6H12fgOkucD-ULCFE/view?usp=drivesdk" TargetMode="External" Id="rId18"/><Relationship Type="http://schemas.openxmlformats.org/officeDocument/2006/relationships/hyperlink" Target="https://drive.google.com/file/d/19qRHVy1VXN3r8_I38sW_TfnopkqkdH5y/view?usp=drivesdk" TargetMode="External" Id="rId19"/><Relationship Type="http://schemas.openxmlformats.org/officeDocument/2006/relationships/hyperlink" Target="https://drive.google.com/file/d/1ucffmXSTwbEd1NPh3IgAuKV_LAbciIE3/view?usp=drivesdk" TargetMode="External" Id="rId20"/><Relationship Type="http://schemas.openxmlformats.org/officeDocument/2006/relationships/hyperlink" Target="https://drive.google.com/file/d/1Qv3sUtITrFrr0vCvvVDO9E2rkyQ_GGDR/view?usp=drivesdk" TargetMode="External" Id="rId21"/><Relationship Type="http://schemas.openxmlformats.org/officeDocument/2006/relationships/hyperlink" Target="https://drive.google.com/file/d/1x0UkVSghoqqzzwFf7y0HgzoZgXkCaS8G/view?usp=drivesdk" TargetMode="External" Id="rId22"/><Relationship Type="http://schemas.openxmlformats.org/officeDocument/2006/relationships/hyperlink" Target="https://drive.google.com/file/d/1YfOki42vge4FANfVk-MA2_HuwrNAPmOR/view?usp=drivesdk" TargetMode="External" Id="rId23"/><Relationship Type="http://schemas.openxmlformats.org/officeDocument/2006/relationships/hyperlink" Target="https://drive.google.com/file/d/17yz-OjOD_OiscKegCKHsuLS2iph8Iq2Z/view?usp=drivesdk" TargetMode="External" Id="rId24"/><Relationship Type="http://schemas.openxmlformats.org/officeDocument/2006/relationships/hyperlink" Target="https://drive.google.com/file/d/1jDsCgTUxIQfP-43lMMhxyWNGIfFcyKi1/view?usp=drivesdk" TargetMode="External" Id="rId25"/><Relationship Type="http://schemas.openxmlformats.org/officeDocument/2006/relationships/hyperlink" Target="https://drive.google.com/file/d/1cRmaF6PcrmnIb2R1odSy7Vfe9PCmm33F/view?usp=drivesdk" TargetMode="External" Id="rId26"/><Relationship Type="http://schemas.openxmlformats.org/officeDocument/2006/relationships/hyperlink" Target="https://drive.google.com/file/d/1XSd6qUVZmmUut5jXHAu0boyCzx24IyXY/view?usp=drivesdk" TargetMode="External" Id="rId27"/><Relationship Type="http://schemas.openxmlformats.org/officeDocument/2006/relationships/hyperlink" Target="https://drive.google.com/file/d/18-431Zp6DTVo2m9HUh3SMuz2qyBKoLem/view?usp=drivesdk" TargetMode="External" Id="rId28"/><Relationship Type="http://schemas.openxmlformats.org/officeDocument/2006/relationships/hyperlink" Target="https://drive.google.com/file/d/1cP0o74jkhXdQk9aPXo7L1osS8x5cwT_j/view?usp=drivesdk" TargetMode="External" Id="rId29"/><Relationship Type="http://schemas.openxmlformats.org/officeDocument/2006/relationships/hyperlink" Target="https://drive.google.com/file/d/1MaJcncxz7W_PmnWCBLG0TWeEkCieXw6n/view?usp=drivesdk" TargetMode="External" Id="rId30"/><Relationship Type="http://schemas.openxmlformats.org/officeDocument/2006/relationships/hyperlink" Target="https://drive.google.com/file/d/1gPRda7kqtCsp7y3XsBonf8t2GHm4RxiY/view?usp=drivesdk" TargetMode="External" Id="rId31"/><Relationship Type="http://schemas.openxmlformats.org/officeDocument/2006/relationships/hyperlink" Target="https://drive.google.com/file/d/1CF9gddWi0M8W61isQoq9hLg1wgCd0YU0/view?usp=drivesdk" TargetMode="External" Id="rId32"/><Relationship Type="http://schemas.openxmlformats.org/officeDocument/2006/relationships/hyperlink" Target="https://drive.google.com/file/d/124eW3cPeSVU9chNVpkckm3lApHmcSpeY/view?usp=drivesdk" TargetMode="External" Id="rId33"/><Relationship Type="http://schemas.openxmlformats.org/officeDocument/2006/relationships/hyperlink" Target="https://drive.google.com/file/d/1UJD1YgQGDw_lhkgllw-qAY40gjr1CXD3/view?usp=drivesdk" TargetMode="External" Id="rId34"/><Relationship Type="http://schemas.openxmlformats.org/officeDocument/2006/relationships/hyperlink" Target="https://drive.google.com/file/d/15FcdLXRiAC-fc5rJJ0HumhzpjebgySO2/view?usp=drivesdk" TargetMode="External" Id="rId35"/><Relationship Type="http://schemas.openxmlformats.org/officeDocument/2006/relationships/hyperlink" Target="https://drive.google.com/file/d/1qCQb7DfrhSMf1s5fBDZI6Cr38Ujt69gI/view?usp=drivesdk" TargetMode="External" Id="rId36"/><Relationship Type="http://schemas.openxmlformats.org/officeDocument/2006/relationships/hyperlink" Target="https://drive.google.com/file/d/16HigSV6-0JvXWtaIr0tm6I9tZmtUDVtP/view?usp=drivesdk" TargetMode="External" Id="rId37"/><Relationship Type="http://schemas.openxmlformats.org/officeDocument/2006/relationships/hyperlink" Target="https://drive.google.com/file/d/16TRaXUZMQYZeQPs1Vj3jmfRAukB4q81A/view?usp=drivesdk" TargetMode="External" Id="rId38"/><Relationship Type="http://schemas.openxmlformats.org/officeDocument/2006/relationships/hyperlink" Target="https://drive.google.com/file/d/1oQJmNDemN2VYUTX6QTYyicXd9Jd_sfP9/view?usp=drivesdk" TargetMode="External" Id="rId39"/><Relationship Type="http://schemas.openxmlformats.org/officeDocument/2006/relationships/hyperlink" Target="https://drive.google.com/file/d/1-cHfa02zhjklsbE1q-cLpj5dZxl0FAh1/view?usp=drivesdk" TargetMode="External" Id="rId40"/><Relationship Type="http://schemas.openxmlformats.org/officeDocument/2006/relationships/hyperlink" Target="https://drive.google.com/file/d/1u1gkkYGB0B7zP2eCx87KEw2V5LsGNihA/view?usp=drivesdk" TargetMode="External" Id="rId41"/><Relationship Type="http://schemas.openxmlformats.org/officeDocument/2006/relationships/hyperlink" Target="https://drive.google.com/file/d/1iQV7Ay6VzQkBn1F-2LKdlzE6SlYah9nh/view?usp=drivesdk" TargetMode="External" Id="rId42"/><Relationship Type="http://schemas.openxmlformats.org/officeDocument/2006/relationships/hyperlink" Target="https://drive.google.com/file/d/1NS01lvut_GaX32JXr0pbMFEHm2VsNjei/view?usp=drivesdk" TargetMode="External" Id="rId43"/><Relationship Type="http://schemas.openxmlformats.org/officeDocument/2006/relationships/hyperlink" Target="https://drive.google.com/file/d/1rlqcAuJUaWxt0Udjbpq3E6fP_lfRq58_/view?usp=drivesdk" TargetMode="External" Id="rId44"/><Relationship Type="http://schemas.openxmlformats.org/officeDocument/2006/relationships/hyperlink" Target="https://drive.google.com/file/d/1InywJ9PnYh3UCqxE9lRE2PWmjWaBcmnD/view?usp=drivesdk" TargetMode="External" Id="rId45"/><Relationship Type="http://schemas.openxmlformats.org/officeDocument/2006/relationships/hyperlink" Target="https://drive.google.com/file/d/1PO_RD2CHNRNOEBltczl9fkFpwCsNwxPc/view?usp=drivesdk" TargetMode="External" Id="rId46"/><Relationship Type="http://schemas.openxmlformats.org/officeDocument/2006/relationships/hyperlink" Target="https://drive.google.com/file/d/10g4rvQi3froy77rnSdW_9mo36rDSW1U2/view?usp=drivesdk" TargetMode="External" Id="rId47"/><Relationship Type="http://schemas.openxmlformats.org/officeDocument/2006/relationships/hyperlink" Target="https://drive.google.com/file/d/1napS_w2Xc41F-WTfdiiWHEUr-QA9PNbd/view?usp=drivesdk" TargetMode="External" Id="rId48"/><Relationship Type="http://schemas.openxmlformats.org/officeDocument/2006/relationships/hyperlink" Target="https://drive.google.com/file/d/1b3lRk0uvFhmBHXBXSVqk0Z_qtSygPXDE/view" TargetMode="External" Id="rId49"/><Relationship Type="http://schemas.openxmlformats.org/officeDocument/2006/relationships/hyperlink" Target="https://drive.google.com/file/d/176yfc70ezTIGdi4KorC09_glKVNPgXHX/view?usp=drivesdk" TargetMode="External" Id="rId50"/><Relationship Type="http://schemas.openxmlformats.org/officeDocument/2006/relationships/hyperlink" Target="https://drive.google.com/file/d/1yIsmWVg1oRuboG-zbYrLUho04HzIiIyK/view?usp=drivesdk" TargetMode="External" Id="rId51"/><Relationship Type="http://schemas.openxmlformats.org/officeDocument/2006/relationships/hyperlink" Target="https://drive.google.com/file/d/1wXV9fWvwxyEBQq62-UJe49I7S0KXvaSG/view?usp=drivesdk" TargetMode="External" Id="rId52"/><Relationship Type="http://schemas.openxmlformats.org/officeDocument/2006/relationships/hyperlink" Target="https://drive.google.com/file/d/12HKshlwi77vzpCgTTirEXD-MZNuhFA-c/view?usp=drivesdk" TargetMode="External" Id="rId53"/><Relationship Type="http://schemas.openxmlformats.org/officeDocument/2006/relationships/hyperlink" Target="https://drive.google.com/file/d/1LmADNjxt37qcWuUuhWGuUTAjIyKHA5TN/view?usp=drivesdk" TargetMode="External" Id="rId54"/><Relationship Type="http://schemas.openxmlformats.org/officeDocument/2006/relationships/hyperlink" Target="https://drive.google.com/file/d/1T9KWZxBKxvW0g6TR87InMH1N6L7fKbK-/view?usp=drivesdk" TargetMode="External" Id="rId55"/><Relationship Type="http://schemas.openxmlformats.org/officeDocument/2006/relationships/hyperlink" Target="https://drive.google.com/file/d/1q2P_FQTEKlc2oi9V12k0V2g4Ly8j4pcm/view?usp=drivesdk" TargetMode="External" Id="rId56"/><Relationship Type="http://schemas.openxmlformats.org/officeDocument/2006/relationships/hyperlink" Target="https://drive.google.com/file/d/1qtaz8f1JVhjTszda1jSXMoHUhdimgxN4/view?usp=drivesdk" TargetMode="External" Id="rId57"/><Relationship Type="http://schemas.openxmlformats.org/officeDocument/2006/relationships/hyperlink" Target="https://drive.google.com/file/d/148hQ1ctHcLYbkGm3jEcIflExnc5ngCjE/view?usp=drivesdk" TargetMode="External" Id="rId58"/><Relationship Type="http://schemas.openxmlformats.org/officeDocument/2006/relationships/hyperlink" Target="https://drive.google.com/file/d/1R0UDJ1fU0jyIr6k39RjCTcQLgDGhaZkb/view?usp=drivesdk" TargetMode="External" Id="rId59"/><Relationship Type="http://schemas.openxmlformats.org/officeDocument/2006/relationships/hyperlink" Target="https://drive.google.com/file/d/1TYtEUECTDsFNrsj6k4o7ceUycXUJdVfz/view?usp=drivesdk" TargetMode="External" Id="rId60"/><Relationship Type="http://schemas.openxmlformats.org/officeDocument/2006/relationships/hyperlink" Target="https://drive.google.com/file/d/1RPIi58UZHvF1QZ2EWIPyyeAqJT4KuHpe/view?usp=drivesdk" TargetMode="External" Id="rId61"/><Relationship Type="http://schemas.openxmlformats.org/officeDocument/2006/relationships/hyperlink" Target="https://drive.google.com/file/d/1zpf3eQjrD-VvbFJf4oilNyE8LTzx-Mkz/view?usp=drivesdk" TargetMode="External" Id="rId62"/><Relationship Type="http://schemas.openxmlformats.org/officeDocument/2006/relationships/hyperlink" Target="https://drive.google.com/file/d/1tXUDS7Y3FysYp6H4r4QDmMELk_P5L6lg/view?usp=drivesdk" TargetMode="External" Id="rId63"/><Relationship Type="http://schemas.openxmlformats.org/officeDocument/2006/relationships/hyperlink" Target="https://drive.google.com/file/d/1y0K_gBPthDyVzyNsw_YHf-53BN434i9x/view?usp=drivesdk" TargetMode="External" Id="rId64"/><Relationship Type="http://schemas.openxmlformats.org/officeDocument/2006/relationships/hyperlink" Target="https://drive.google.com/file/d/1vdHrWT_SVLcmzDZbOw1DHUWOdXyUqB-p/view?usp=drivesdk" TargetMode="External" Id="rId65"/><Relationship Type="http://schemas.openxmlformats.org/officeDocument/2006/relationships/hyperlink" Target="https://drive.google.com/file/d/1yrn7IddHlYFUVsL9TPovbi5qfWRKqaUh/view?usp=drivesdk" TargetMode="External" Id="rId66"/><Relationship Type="http://schemas.openxmlformats.org/officeDocument/2006/relationships/hyperlink" Target="https://drive.google.com/file/d/1Uc-zN0AmJNB0Ls2D2fQnCv0kC0mYYFfx/view?usp=drivesdk" TargetMode="External" Id="rId67"/><Relationship Type="http://schemas.openxmlformats.org/officeDocument/2006/relationships/hyperlink" Target="https://drive.google.com/file/d/1cNFvFmpmrhSDzJZGxJC4_VbaDQuBnDjq/view?usp=drivesdk" TargetMode="External" Id="rId68"/><Relationship Type="http://schemas.openxmlformats.org/officeDocument/2006/relationships/hyperlink" Target="https://drive.google.com/file/d/1qu0mx5pb241hfjo981F5ydijE7gET8Wx/view?usp=drivesdk" TargetMode="External" Id="rId69"/><Relationship Type="http://schemas.openxmlformats.org/officeDocument/2006/relationships/hyperlink" Target="https://drive.google.com/file/d/1R_MvGhiBksTOJuTVj-PPDWZGUXumyABi/view?usp=drivesdk" TargetMode="External" Id="rId70"/><Relationship Type="http://schemas.openxmlformats.org/officeDocument/2006/relationships/hyperlink" Target="https://drive.google.com/file/d/1Vj2JB3XmkotEZ_rwHLvKFds1VxC0jEtR/view?usp=drivesdk" TargetMode="External" Id="rId71"/><Relationship Type="http://schemas.openxmlformats.org/officeDocument/2006/relationships/hyperlink" Target="https://drive.google.com/file/d/1S2WQJ2d_2BB1eFnFBIic2fGe1zYRAT1y/view?usp=drivesdk" TargetMode="External" Id="rId72"/><Relationship Type="http://schemas.openxmlformats.org/officeDocument/2006/relationships/hyperlink" Target="https://drive.google.com/file/d/1jU9NNf4_wzLCbF1iVHbRHrz-s36y6FNi/view?usp=drivesdk" TargetMode="External" Id="rId73"/><Relationship Type="http://schemas.openxmlformats.org/officeDocument/2006/relationships/hyperlink" Target="https://drive.google.com/file/d/1IwBgxSlGdttKi41ivuvMXvT6Hu8z2E1_/view?usp=drivesdk" TargetMode="External" Id="rId74"/><Relationship Type="http://schemas.openxmlformats.org/officeDocument/2006/relationships/hyperlink" Target="https://drive.google.com/file/d/1rmZW6WMTXdJvVUm26QzTJA94sajDVpWq/view?usp=drivesdk" TargetMode="External" Id="rId75"/><Relationship Type="http://schemas.openxmlformats.org/officeDocument/2006/relationships/hyperlink" Target="https://drive.google.com/file/d/15JRxcPZJ_hVHDLJ8z5Yro4FDJovLx0tK/view?usp=drivesdk" TargetMode="External" Id="rId76"/><Relationship Type="http://schemas.openxmlformats.org/officeDocument/2006/relationships/hyperlink" Target="https://drive.google.com/file/d/13weQ7Y4G8KgjFaRrcenGtTdmOa1WFGMs/view?usp=drivesdk" TargetMode="External" Id="rId77"/><Relationship Type="http://schemas.openxmlformats.org/officeDocument/2006/relationships/hyperlink" Target="https://drive.google.com/file/d/1Hs1vUcuZkelPAwLMKmyLOzZ1ZzxTmpHC/view?usp=drivesdk" TargetMode="External" Id="rId78"/><Relationship Type="http://schemas.openxmlformats.org/officeDocument/2006/relationships/hyperlink" Target="https://drive.google.com/file/d/17DD7Tsl8Uzy2qdnX2BWCYhZjUuE7FIC-/view?usp=drivesdk" TargetMode="External" Id="rId79"/><Relationship Type="http://schemas.openxmlformats.org/officeDocument/2006/relationships/hyperlink" Target="https://drive.google.com/file/d/1sdwyLdhMxINaYrTryaUlKirTc2dpG4nL/view?usp=drivesdk" TargetMode="External" Id="rId80"/><Relationship Type="http://schemas.openxmlformats.org/officeDocument/2006/relationships/hyperlink" Target="https://drive.google.com/file/d/1azySLsSPalq9tOHXPoJoJjvUXrwjOXJr/view?usp=drivesdk" TargetMode="External" Id="rId81"/><Relationship Type="http://schemas.openxmlformats.org/officeDocument/2006/relationships/hyperlink" Target="https://drive.google.com/file/d/1eR1J45oNqARlNda10Dn0ekyiiE4Y_G-u/view?usp=drivesdk" TargetMode="External" Id="rId82"/><Relationship Type="http://schemas.openxmlformats.org/officeDocument/2006/relationships/hyperlink" Target="https://drive.google.com/file/d/1ZdC0Tq7ojooTcmbCMMi8VTyd-K_YhzkY/view?usp=drivesdk" TargetMode="External" Id="rId83"/><Relationship Type="http://schemas.openxmlformats.org/officeDocument/2006/relationships/hyperlink" Target="https://drive.google.com/file/d/1T5CAEz-SGauhipF7HSwaNXRGFzHaHRby/view?usp=drivesdk" TargetMode="External" Id="rId84"/><Relationship Type="http://schemas.openxmlformats.org/officeDocument/2006/relationships/hyperlink" Target="https://drive.google.com/file/d/1271ZQ4ZHZABB4HidgKNyjLNycqKTZIWp/view?usp=drivesdk" TargetMode="External" Id="rId85"/><Relationship Type="http://schemas.openxmlformats.org/officeDocument/2006/relationships/hyperlink" Target="https://drive.google.com/file/d/1fz0py0TlKS9CdvqLBj6obnIyKdFd-Ocr/view?usp=drivesdk" TargetMode="External" Id="rId86"/><Relationship Type="http://schemas.openxmlformats.org/officeDocument/2006/relationships/hyperlink" Target="https://drive.google.com/file/d/1OI4OBm0RC_6F4A459LM3KgrTwDxv30Lf/view?usp=drivesdk" TargetMode="External" Id="rId87"/><Relationship Type="http://schemas.openxmlformats.org/officeDocument/2006/relationships/hyperlink" Target="https://drive.google.com/file/d/1ixVdpnGpB3KUF2QQIt94W1I4J6yD6ybZ/view?usp=drivesdk" TargetMode="External" Id="rId88"/><Relationship Type="http://schemas.openxmlformats.org/officeDocument/2006/relationships/hyperlink" Target="https://drive.google.com/file/d/1KMML8lqWHjys5zcY1N68s233Ze6aJrf7/view?usp=drivesdk" TargetMode="External" Id="rId89"/><Relationship Type="http://schemas.openxmlformats.org/officeDocument/2006/relationships/hyperlink" Target="https://drive.google.com/file/d/1j6OlS3fo3c7ynAP6XCubZbsputNipz9k/view?usp=drivesdk" TargetMode="External" Id="rId90"/><Relationship Type="http://schemas.openxmlformats.org/officeDocument/2006/relationships/hyperlink" Target="https://drive.google.com/file/d/1IRL2tRQ5R66B1XtT5WF43fvSBNABo2MK/view?usp=drivesdk" TargetMode="External" Id="rId91"/><Relationship Type="http://schemas.openxmlformats.org/officeDocument/2006/relationships/hyperlink" Target="https://drive.google.com/file/d/18Bz5GqwljLihnHs4k9hmETmifyo6LER2/view?usp=drivesdk" TargetMode="External" Id="rId92"/><Relationship Type="http://schemas.openxmlformats.org/officeDocument/2006/relationships/hyperlink" Target="https://drive.google.com/file/d/1beC5Hc1W7ij4zZ3P22rXyi55CrvbbPk6/view?usp=drivesdk" TargetMode="External" Id="rId93"/><Relationship Type="http://schemas.openxmlformats.org/officeDocument/2006/relationships/hyperlink" Target="https://drive.google.com/file/d/1wZg-q6ZiTEI0OrQ0TwcfsUWshu0Ux5N9/view?usp=drivesdk" TargetMode="External" Id="rId94"/><Relationship Type="http://schemas.openxmlformats.org/officeDocument/2006/relationships/hyperlink" Target="https://drive.google.com/file/d/1gJoEKOqYovJJtEOg5y94WrVLNsNu15uO/view?usp=drivesdk" TargetMode="External" Id="rId95"/><Relationship Type="http://schemas.openxmlformats.org/officeDocument/2006/relationships/hyperlink" Target="https://drive.google.com/file/d/19f-Id2wfchFV1l6mggY9gSFntEbmAUCB/view?usp=drivesdk" TargetMode="External" Id="rId96"/><Relationship Type="http://schemas.openxmlformats.org/officeDocument/2006/relationships/hyperlink" Target="https://drive.google.com/file/d/1iFHoL9QL0MfsW0zsHp0uT7-lqsQsUJud/view?usp=drivesdk" TargetMode="External" Id="rId97"/><Relationship Type="http://schemas.openxmlformats.org/officeDocument/2006/relationships/hyperlink" Target="https://drive.google.com/file/d/1R_pCzyx2C2c_Ox1-25qlNzBtFCapy707/view?usp=drivesdk" TargetMode="External" Id="rId98"/><Relationship Type="http://schemas.openxmlformats.org/officeDocument/2006/relationships/hyperlink" Target="https://drive.google.com/file/d/1XcQaIUHTXnUW0SZ4Q-nQWM1Fu3nobuo5/view?usp=drivesdk" TargetMode="External" Id="rId99"/><Relationship Type="http://schemas.openxmlformats.org/officeDocument/2006/relationships/hyperlink" Target="https://drive.google.com/file/d/1sQZti--UZu4nwBrtghMiPijn0GFvV8sY/view?usp=drivesdk" TargetMode="External" Id="rId100"/><Relationship Type="http://schemas.openxmlformats.org/officeDocument/2006/relationships/hyperlink" Target="https://drive.google.com/file/d/1Ua4xn6a6EUB1nJ549lY9ezWCx6XBGm2a/view?usp=drivesdk" TargetMode="External" Id="rId101"/><Relationship Type="http://schemas.openxmlformats.org/officeDocument/2006/relationships/hyperlink" Target="https://drive.google.com/file/d/1XnGcYQ3IIFT7ZGTqANTb8CAkE8QwnOv_/view?usp=drivesdk" TargetMode="External" Id="rId102"/><Relationship Type="http://schemas.openxmlformats.org/officeDocument/2006/relationships/hyperlink" Target="https://drive.google.com/file/d/1ZqqfTbSpgYbVglUq7h66PqEdTXv7tTOV/view?usp=drivesdk" TargetMode="External" Id="rId103"/><Relationship Type="http://schemas.openxmlformats.org/officeDocument/2006/relationships/hyperlink" Target="https://drive.google.com/file/d/1xHkD6qq2E5vMJF4lTz7Ibr_nh-gN-LUA/view?usp=drivesdk" TargetMode="External" Id="rId104"/><Relationship Type="http://schemas.openxmlformats.org/officeDocument/2006/relationships/hyperlink" Target="https://drive.google.com/file/d/1Xus5OWdK4Dd3zIuCdPSoCDEoynyGI4Ke/view?usp=drivesdk" TargetMode="External" Id="rId105"/><Relationship Type="http://schemas.openxmlformats.org/officeDocument/2006/relationships/hyperlink" Target="https://drive.google.com/file/d/1GIKULHSQWJli1cm93rRRK6EtE3XQ5sbf/view?usp=drivesdk" TargetMode="External" Id="rId106"/><Relationship Type="http://schemas.openxmlformats.org/officeDocument/2006/relationships/hyperlink" Target="https://drive.google.com/file/d/1BuS0JHOxQkN-NEre26uwmyf2hPhjblk_/view?usp=drivesdk" TargetMode="External" Id="rId107"/><Relationship Type="http://schemas.openxmlformats.org/officeDocument/2006/relationships/hyperlink" Target="https://drive.google.com/file/d/1Zai5SdpSiYknofu3kYpK3tpoYmgqZkKp/view?usp=drivesdk" TargetMode="External" Id="rId108"/><Relationship Type="http://schemas.openxmlformats.org/officeDocument/2006/relationships/hyperlink" Target="https://drive.google.com/file/d/1i1ip4fPPgQRjDtVAp7qRLlN76V9r3nnP/view?usp=drivesdk" TargetMode="External" Id="rId109"/><Relationship Type="http://schemas.openxmlformats.org/officeDocument/2006/relationships/hyperlink" Target="https://drive.google.com/file/d/1cU1lwn0ZqrNGS3AOsZh3B1XUFOHMiLnv/view?usp=drivesdk" TargetMode="External" Id="rId110"/><Relationship Type="http://schemas.openxmlformats.org/officeDocument/2006/relationships/hyperlink" Target="https://drive.google.com/file/d/1tZGByodZoOedJ9bp4seMfPvtDG50xowk/view?usp=drivesdk" TargetMode="External" Id="rId111"/><Relationship Type="http://schemas.openxmlformats.org/officeDocument/2006/relationships/hyperlink" Target="https://drive.google.com/file/d/1B-KNe1kjFcrWmfKL2oaotJFlf8bu4el6/view?usp=drivesdk" TargetMode="External" Id="rId112"/><Relationship Type="http://schemas.openxmlformats.org/officeDocument/2006/relationships/hyperlink" Target="https://drive.google.com/file/d/1UW1w6XEqMfhkkfrXEpknj6bwlEJSZE6d/view?usp=drivesdk" TargetMode="External" Id="rId113"/><Relationship Type="http://schemas.openxmlformats.org/officeDocument/2006/relationships/hyperlink" Target="https://drive.google.com/file/d/10QuD2vUpYefpRPxZRe7klt_UKHD5wktJ/view?usp=drivesdk" TargetMode="External" Id="rId114"/><Relationship Type="http://schemas.openxmlformats.org/officeDocument/2006/relationships/hyperlink" Target="https://drive.google.com/file/d/1tfuXCU5azBrZ7ndqz7gLnFoZaXNvnU5m/view?usp=drivesdk" TargetMode="External" Id="rId115"/><Relationship Type="http://schemas.openxmlformats.org/officeDocument/2006/relationships/hyperlink" Target="https://drive.google.com/file/d/1OBCFslG-p8k9N2FPNUB0f-gWkszv48Rq/view?usp=drivesdk" TargetMode="External" Id="rId116"/><Relationship Type="http://schemas.openxmlformats.org/officeDocument/2006/relationships/hyperlink" Target="https://drive.google.com/file/d/1dwUPo72sQ9l2-SWtuMQSGPzt5xbk_Cdc/view?usp=drivesdk" TargetMode="External" Id="rId117"/><Relationship Type="http://schemas.openxmlformats.org/officeDocument/2006/relationships/hyperlink" Target="https://drive.google.com/file/d/154e-btvxE-3t50PSJNejD6xc1uR_7YXG/view?usp=drivesdk" TargetMode="External" Id="rId118"/><Relationship Type="http://schemas.openxmlformats.org/officeDocument/2006/relationships/hyperlink" Target="https://drive.google.com/file/d/1cr4hBdcfltS3GKUWeUYHEXSuDC4NkH_y/view?usp=drivesdk" TargetMode="External" Id="rId119"/><Relationship Type="http://schemas.openxmlformats.org/officeDocument/2006/relationships/hyperlink" Target="https://drive.google.com/file/d/17EebwUm28b0ArBmC4spA-YWwFmK0Fbef/view?usp=drivesdk" TargetMode="External" Id="rId120"/><Relationship Type="http://schemas.openxmlformats.org/officeDocument/2006/relationships/hyperlink" Target="https://drive.google.com/file/d/16gmnBEEeBXW_qBiCT7Ri1j7xQ3ucbiRQ/view?usp=drivesdk" TargetMode="External" Id="rId121"/><Relationship Type="http://schemas.openxmlformats.org/officeDocument/2006/relationships/hyperlink" Target="https://drive.google.com/file/d/1p6YTOtsyuA1rDKOTBwgfilqKdiQ-WLt9/view?usp=drivesdk" TargetMode="External" Id="rId122"/><Relationship Type="http://schemas.openxmlformats.org/officeDocument/2006/relationships/hyperlink" Target="https://drive.google.com/file/d/1d5Bw0js6L-9utZ0FngwFz9rNkgBi7YKn/view?usp=drivesdk" TargetMode="External" Id="rId123"/><Relationship Type="http://schemas.openxmlformats.org/officeDocument/2006/relationships/hyperlink" Target="https://drive.google.com/file/d/1rcZloBQol8hPQIaUkr2VDiOa51W2wvjA/view?usp=drivesdk" TargetMode="External" Id="rId124"/><Relationship Type="http://schemas.openxmlformats.org/officeDocument/2006/relationships/hyperlink" Target="https://drive.google.com/file/d/1mJ9SCyaQT_oXnM8Zd_g1as5ReVBs9hsn/view?usp=drivesdk" TargetMode="External" Id="rId125"/><Relationship Type="http://schemas.openxmlformats.org/officeDocument/2006/relationships/hyperlink" Target="https://drive.google.com/file/d/1Y6W36XRUwoNnfx-VuEx3OiTwepETR5f3/view?usp=drivesdk" TargetMode="External" Id="rId126"/><Relationship Type="http://schemas.openxmlformats.org/officeDocument/2006/relationships/hyperlink" Target="https://drive.google.com/file/d/14oDQPyYamGYQx6ufojsP4JJBdxo3N_7w/view?usp=drivesdk" TargetMode="External" Id="rId127"/><Relationship Type="http://schemas.openxmlformats.org/officeDocument/2006/relationships/hyperlink" Target="https://drive.google.com/file/d/10GMS8QOG0JEzU9zCkW6W7L8sRqY2w6oo/view?usp=drivesdk" TargetMode="External" Id="rId128"/><Relationship Type="http://schemas.openxmlformats.org/officeDocument/2006/relationships/hyperlink" Target="https://drive.google.com/file/d/1nA8pTTvpT0O76zFAg7QOq9o2784L7_T5/view?usp=drivesdk" TargetMode="External" Id="rId129"/><Relationship Type="http://schemas.openxmlformats.org/officeDocument/2006/relationships/hyperlink" Target="https://drive.google.com/file/d/1IIuwXzxain1ekEBSznzKVAfF3nKqdIkH/view?usp=drivesdk" TargetMode="External" Id="rId130"/><Relationship Type="http://schemas.openxmlformats.org/officeDocument/2006/relationships/hyperlink" Target="https://drive.google.com/file/d/1x9DKQm2r5Bqa1HKdVtNxxzDN1_WRbLr1/view?usp=drivesdk" TargetMode="External" Id="rId131"/><Relationship Type="http://schemas.openxmlformats.org/officeDocument/2006/relationships/hyperlink" Target="https://drive.google.com/file/d/14RebM9T6okZWl1_QjsKBrKfH_moYj-bx/view?usp=drivesdk" TargetMode="External" Id="rId132"/><Relationship Type="http://schemas.openxmlformats.org/officeDocument/2006/relationships/hyperlink" Target="https://drive.google.com/file/d/1lTXgoeRa-ffxxjQ80n2qLM806BQ5JtD_/view?usp=drivesdk" TargetMode="External" Id="rId133"/><Relationship Type="http://schemas.openxmlformats.org/officeDocument/2006/relationships/hyperlink" Target="https://drive.google.com/file/d/1g2EiF6nXUu4sshH4QYpojPrqD4h4E2sT/view?usp=drivesdk" TargetMode="External" Id="rId134"/><Relationship Type="http://schemas.openxmlformats.org/officeDocument/2006/relationships/hyperlink" Target="https://drive.google.com/file/d/1g2EiF6nXUu4sshH4QYpojPrqD4h4E2sT/view?usp=drivesdk" TargetMode="External" Id="rId135"/><Relationship Type="http://schemas.openxmlformats.org/officeDocument/2006/relationships/hyperlink" Target="https://drive.google.com/file/d/1g2EiF6nXUu4sshH4QYpojPrqD4h4E2sT/view?usp=drivesdk" TargetMode="External" Id="rId136"/><Relationship Type="http://schemas.openxmlformats.org/officeDocument/2006/relationships/hyperlink" Target="https://drive.google.com/file/d/1g2EiF6nXUu4sshH4QYpojPrqD4h4E2sT/view?usp=drivesdk" TargetMode="External" Id="rId137"/><Relationship Type="http://schemas.openxmlformats.org/officeDocument/2006/relationships/hyperlink" Target="https://drive.google.com/file/d/1g2EiF6nXUu4sshH4QYpojPrqD4h4E2sT/view?usp=drivesdk" TargetMode="External" Id="rId138"/><Relationship Type="http://schemas.openxmlformats.org/officeDocument/2006/relationships/hyperlink" Target="https://drive.google.com/file/d/1g2EiF6nXUu4sshH4QYpojPrqD4h4E2sT/view?usp=drivesdk" TargetMode="External" Id="rId139"/><Relationship Type="http://schemas.openxmlformats.org/officeDocument/2006/relationships/hyperlink" Target="https://drive.google.com/file/d/18ytOGToIkXy-rzjApFltun5Y-yDDg-xX/view?usp=drivesdk" TargetMode="External" Id="rId140"/><Relationship Type="http://schemas.openxmlformats.org/officeDocument/2006/relationships/hyperlink" Target="https://drive.google.com/file/d/19xkE4EKEDrW6VhIr2PHTTjwZNo4nmknC/view?usp=drivesdk" TargetMode="External" Id="rId141"/><Relationship Type="http://schemas.openxmlformats.org/officeDocument/2006/relationships/hyperlink" Target="https://drive.google.com/file/d/17KMdk_KQoPW4qcuYLIv-W5NpLcne46Vn/view?usp=drivesdk" TargetMode="External" Id="rId142"/><Relationship Type="http://schemas.openxmlformats.org/officeDocument/2006/relationships/hyperlink" Target="https://drive.google.com/file/d/1JvQz5kd2zSXcECkVsBiH2y6EP_8GLqp8/view?usp=drivesdk" TargetMode="External" Id="rId143"/><Relationship Type="http://schemas.openxmlformats.org/officeDocument/2006/relationships/hyperlink" Target="https://drive.google.com/file/d/1HJ8QjOhaLLh82RoqUU3DWka0odw6tSIj/view?usp=drivesdk" TargetMode="External" Id="rId144"/><Relationship Type="http://schemas.openxmlformats.org/officeDocument/2006/relationships/hyperlink" Target="https://drive.google.com/file/d/1E2t3d44nZ0rcRZQJYHuM2lSkSoeOjrGt/view?usp=drivesdk" TargetMode="External" Id="rId145"/><Relationship Type="http://schemas.openxmlformats.org/officeDocument/2006/relationships/hyperlink" Target="https://drive.google.com/file/d/1-M3UeiZ-lBUr2eTUu9ZAQR7lNZFWGxu5/view?usp=drivesdk" TargetMode="External" Id="rId146"/><Relationship Type="http://schemas.openxmlformats.org/officeDocument/2006/relationships/hyperlink" Target="https://drive.google.com/file/d/1fzIL6_Ck9TmFnHmfABlrljqJSn9umQZL/view?usp=drivesdk" TargetMode="External" Id="rId147"/><Relationship Type="http://schemas.openxmlformats.org/officeDocument/2006/relationships/hyperlink" Target="https://drive.google.com/file/d/1lY2TLOZwSa50IcGd1mCLZcyFMPOOPGaj/view?usp=drivesdk" TargetMode="External" Id="rId148"/><Relationship Type="http://schemas.openxmlformats.org/officeDocument/2006/relationships/hyperlink" Target="https://drive.google.com/file/d/14apJ2TElnvKrdgfkXbtk8Ih75xMX0lBn/view?usp=drivesdk" TargetMode="External" Id="rId149"/><Relationship Type="http://schemas.openxmlformats.org/officeDocument/2006/relationships/hyperlink" Target="https://drive.google.com/file/d/1qcV3CaZbFZBXAH7Xw1ekKOFK-1ZajK-I/view?usp=drivesdk" TargetMode="External" Id="rId150"/><Relationship Type="http://schemas.openxmlformats.org/officeDocument/2006/relationships/hyperlink" Target="https://drive.google.com/file/d/127G6UiRiwC5wo6L3vJZ1PQlZZDOrXbzk/view?usp=drivesdk" TargetMode="External" Id="rId151"/><Relationship Type="http://schemas.openxmlformats.org/officeDocument/2006/relationships/hyperlink" Target="https://drive.google.com/file/d/17_S1U0moA_aoJvpm9JkajhW65yuDGt02/view?usp=drivesdk" TargetMode="External" Id="rId152"/><Relationship Type="http://schemas.openxmlformats.org/officeDocument/2006/relationships/hyperlink" Target="https://drive.google.com/file/d/1LMooejyToaDm4lXdjBAu5jHazJdu-AFF/view?usp=drivesdk" TargetMode="External" Id="rId153"/><Relationship Type="http://schemas.openxmlformats.org/officeDocument/2006/relationships/hyperlink" Target="https://drive.google.com/file/d/1ndoIxnRCHpafl83Lsyq-PVVCI1_lzXKu/view?usp=drivesdk" TargetMode="External" Id="rId154"/><Relationship Type="http://schemas.openxmlformats.org/officeDocument/2006/relationships/hyperlink" Target="https://drive.google.com/file/d/1KgZpq5GTcSkNG0Z8yhHdmceFrnVtmJB4/view?usp=drivesdk" TargetMode="External" Id="rId155"/><Relationship Type="http://schemas.openxmlformats.org/officeDocument/2006/relationships/hyperlink" Target="https://drive.google.com/file/d/14slKePE5MrbI5HvPO9RR5jqgyaSQ6ha3/view?usp=drivesdk" TargetMode="External" Id="rId156"/><Relationship Type="http://schemas.openxmlformats.org/officeDocument/2006/relationships/hyperlink" Target="https://drive.google.com/file/d/1dlT0oaH49H6SzXdPc93LiGqgpg1InGRH/view?usp=drivesdk" TargetMode="External" Id="rId157"/><Relationship Type="http://schemas.openxmlformats.org/officeDocument/2006/relationships/hyperlink" Target="https://drive.google.com/file/d/12xteUNS_Og9n0_pSo2XUdraP4aCiWdaH/view?usp=drivesdk" TargetMode="External" Id="rId158"/><Relationship Type="http://schemas.openxmlformats.org/officeDocument/2006/relationships/hyperlink" Target="https://drive.google.com/file/d/17m8kSIeiAdYSWAqbHFRlME7QimAZLgpF/view?usp=drivesdk" TargetMode="External" Id="rId159"/><Relationship Type="http://schemas.openxmlformats.org/officeDocument/2006/relationships/hyperlink" Target="https://drive.google.com/file/d/17m8kSIeiAdYSWAqbHFRlME7QimAZLgpF/view?usp=drivesdk" TargetMode="External" Id="rId160"/><Relationship Type="http://schemas.openxmlformats.org/officeDocument/2006/relationships/hyperlink" Target="https://drive.google.com/file/d/1jZrrBG-rlRIRRt7poZwUx2oDCk202lX9/view?usp=drivesdk" TargetMode="External" Id="rId161"/><Relationship Type="http://schemas.openxmlformats.org/officeDocument/2006/relationships/hyperlink" Target="https://drive.google.com/file/d/1oUkZPf09DxdP6K_FrOYUTaRt0GcHY0jA/view?usp=drivesdk" TargetMode="External" Id="rId162"/><Relationship Type="http://schemas.openxmlformats.org/officeDocument/2006/relationships/hyperlink" Target="https://drive.google.com/file/d/1H5JO5VKG-PHCqPtkiwTxIB_r2_8zwlAX/view?usp=drivesdk" TargetMode="External" Id="rId163"/><Relationship Type="http://schemas.openxmlformats.org/officeDocument/2006/relationships/hyperlink" Target="https://drive.google.com/file/d/1ceYda0HLmh5TOzo35GFxiM7nGCUXSE4e/view?usp=drivesdk" TargetMode="External" Id="rId164"/><Relationship Type="http://schemas.openxmlformats.org/officeDocument/2006/relationships/hyperlink" Target="https://drive.google.com/file/d/1z_0Lvkv-nnNxOERVANmmKFakIieqGvhV/view?usp=drivesdk" TargetMode="External" Id="rId165"/><Relationship Type="http://schemas.openxmlformats.org/officeDocument/2006/relationships/hyperlink" Target="https://drive.google.com/file/d/1qnQm1l4mtJBBDGH6o3dm_I-CnVL_inlX/view?usp=drivesdk" TargetMode="External" Id="rId166"/><Relationship Type="http://schemas.openxmlformats.org/officeDocument/2006/relationships/hyperlink" Target="https://drive.google.com/file/d/1Q7OyD3ACFmNuYyC56I4Yi7WfzkxtxeOi/view?usp=drivesdk" TargetMode="External" Id="rId167"/><Relationship Type="http://schemas.openxmlformats.org/officeDocument/2006/relationships/hyperlink" Target="https://drive.google.com/file/d/1J9TrKraaGJx5L1OFAmQVNRWX52fY9v7T/view?usp=drivesdk" TargetMode="External" Id="rId168"/><Relationship Type="http://schemas.openxmlformats.org/officeDocument/2006/relationships/hyperlink" Target="https://drive.google.com/file/d/19u0mhg2M_DQA4RfLfUm_1SVHBd_r5UHr/view?usp=drivesdk" TargetMode="External" Id="rId169"/><Relationship Type="http://schemas.openxmlformats.org/officeDocument/2006/relationships/hyperlink" Target="https://drive.google.com/file/d/1ZHMUVacc68SwkPfNg4i7zITrVMRZwEev/view?usp=drivesdk" TargetMode="External" Id="rId170"/><Relationship Type="http://schemas.openxmlformats.org/officeDocument/2006/relationships/hyperlink" Target="https://drive.google.com/file/d/1uKuOxw3fOCW3HDpVqiEdH4qXsNrnvwUC/view?usp=drivesdk" TargetMode="External" Id="rId171"/><Relationship Type="http://schemas.openxmlformats.org/officeDocument/2006/relationships/hyperlink" Target="https://drive.google.com/file/d/1EPDx0aAQZZBGvXOr-tsVZagvlQehDY1Y/view?usp=drivesdk" TargetMode="External" Id="rId172"/><Relationship Type="http://schemas.openxmlformats.org/officeDocument/2006/relationships/hyperlink" Target="https://drive.google.com/file/d/1tdRduclMEKBCmzucqzPxFdO5d3Abt0p3/view?usp=drivesdk" TargetMode="External" Id="rId173"/><Relationship Type="http://schemas.openxmlformats.org/officeDocument/2006/relationships/hyperlink" Target="https://drive.google.com/file/d/1-BDdxjNx5o6lHfhx-4gXIFtUiLzauJfA/view?usp=drivesdk" TargetMode="External" Id="rId174"/><Relationship Type="http://schemas.openxmlformats.org/officeDocument/2006/relationships/hyperlink" Target="https://drive.google.com/file/d/1-TzEIRusUlMzfqcTAJZMNI07sOnoRkSV/view?usp=drivesdk" TargetMode="External" Id="rId175"/><Relationship Type="http://schemas.openxmlformats.org/officeDocument/2006/relationships/hyperlink" Target="https://drive.google.com/file/d/14RU9qe4qCsbjqSEjh0PA9X6dbLWP8zqp/view?usp=drivesdk" TargetMode="External" Id="rId176"/><Relationship Type="http://schemas.openxmlformats.org/officeDocument/2006/relationships/hyperlink" Target="https://drive.google.com/file/d/1-Ayz50h4xJFn4kQpcu5-40az6D-zd3QP/view?usp=drivesdk" TargetMode="External" Id="rId177"/><Relationship Type="http://schemas.openxmlformats.org/officeDocument/2006/relationships/hyperlink" Target="https://drive.google.com/file/d/1oxSSo3c3w9Dfu_viitzb6uhhl7JKE55S/view?usp=drivesdk" TargetMode="External" Id="rId178"/><Relationship Type="http://schemas.openxmlformats.org/officeDocument/2006/relationships/hyperlink" Target="https://drive.google.com/file/d/1EizwuN5-bmoWi9Xs0ACO0tqNxzSJEB78/view?usp=drivesdk" TargetMode="External" Id="rId179"/><Relationship Type="http://schemas.openxmlformats.org/officeDocument/2006/relationships/hyperlink" Target="https://drive.google.com/file/d/1gNleHwFopbvNbvlE1fgJ-UmyvOWE6SGi/view?usp=drivesdk" TargetMode="External" Id="rId180"/><Relationship Type="http://schemas.openxmlformats.org/officeDocument/2006/relationships/hyperlink" Target="https://drive.google.com/file/d/1V2FYDYVo-2OhYmdYSQW3bMD3El8E20MR/view?usp=drivesdk" TargetMode="External" Id="rId181"/><Relationship Type="http://schemas.openxmlformats.org/officeDocument/2006/relationships/hyperlink" Target="https://drive.google.com/file/d/1y3L_9mKgGCW65bvuH1MatF39lrjKFifi/view?usp=drivesdk" TargetMode="External" Id="rId182"/><Relationship Type="http://schemas.openxmlformats.org/officeDocument/2006/relationships/hyperlink" Target="https://drive.google.com/file/d/1f3vOXV99xTZLrBaWGOdO6ZNaf_xHUxKb/view?usp=drivesdk" TargetMode="External" Id="rId183"/><Relationship Type="http://schemas.openxmlformats.org/officeDocument/2006/relationships/hyperlink" Target="https://drive.google.com/file/d/1nS9eN-g06nXbQ_AJLuOhCGaJH0FkLlqy/view?usp=drivesdk" TargetMode="External" Id="rId184"/><Relationship Type="http://schemas.openxmlformats.org/officeDocument/2006/relationships/hyperlink" Target="https://drive.google.com/file/d/1gDlXSOBmNi1XBMv1CaZs-JRodZrH-Gfy/view?usp=drivesdk" TargetMode="External" Id="rId185"/><Relationship Type="http://schemas.openxmlformats.org/officeDocument/2006/relationships/hyperlink" Target="https://drive.google.com/file/d/1ktcUt_dmZ3EGuVsSemWSXxpTV7osW_Xt/view?usp=drivesdk" TargetMode="External" Id="rId186"/><Relationship Type="http://schemas.openxmlformats.org/officeDocument/2006/relationships/hyperlink" Target="https://drive.google.com/file/d/12EthxatXwUiNej1AC0mO-nrxJnB0sWHC/view?usp=drivesdk" TargetMode="External" Id="rId187"/><Relationship Type="http://schemas.openxmlformats.org/officeDocument/2006/relationships/hyperlink" Target="https://drive.google.com/file/d/1W57xoWWg1bALUWDmBPUhZIRPN6MXmlBh/view?usp=drivesdk" TargetMode="External" Id="rId188"/><Relationship Type="http://schemas.openxmlformats.org/officeDocument/2006/relationships/hyperlink" Target="https://drive.google.com/file/d/1W57xoWWg1bALUWDmBPUhZIRPN6MXmlBh/view?usp=drivesdk" TargetMode="External" Id="rId189"/><Relationship Type="http://schemas.openxmlformats.org/officeDocument/2006/relationships/hyperlink" Target="https://drive.google.com/file/d/1Ryi7Zwj4y4RO16Nj-b3j6D60nZ68M6wK/view?usp=drivesdk" TargetMode="External" Id="rId19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31/07/2026 09:48 h</t>
        </is>
      </c>
      <c r="B3" s="4" t="n"/>
      <c r="C3" s="4" t="n"/>
      <c r="D3" s="4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4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4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4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4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4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4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4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4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4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4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4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D5+D9+D10</f>
        <v/>
      </c>
      <c r="E4" s="6">
        <f>E5+E9+E10</f>
        <v/>
      </c>
      <c r="F4" s="6">
        <f>F5+F9+F10</f>
        <v/>
      </c>
      <c r="G4" s="6">
        <f>G5+G9+G10</f>
        <v/>
      </c>
      <c r="H4" s="6">
        <f>H5+H9+H10</f>
        <v/>
      </c>
      <c r="I4" s="6">
        <f>I5+I9+I10</f>
        <v/>
      </c>
      <c r="J4" s="6">
        <f>J5+J9+J10</f>
        <v/>
      </c>
      <c r="K4" s="6">
        <f>K5+K9+K10</f>
        <v/>
      </c>
      <c r="L4" s="6">
        <f>L5+L9+L10</f>
        <v/>
      </c>
      <c r="M4" s="6">
        <f>M5+M9+M10</f>
        <v/>
      </c>
      <c r="N4" s="6">
        <f>N5+N9+N10</f>
        <v/>
      </c>
      <c r="O4" s="6">
        <f>O5+O9+O10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D7</f>
        <v/>
      </c>
      <c r="E6" s="10">
        <f>E7</f>
        <v/>
      </c>
      <c r="F6" s="10">
        <f>F7</f>
        <v/>
      </c>
      <c r="G6" s="10">
        <f>G7</f>
        <v/>
      </c>
      <c r="H6" s="10">
        <f>H7</f>
        <v/>
      </c>
      <c r="I6" s="10">
        <f>I7</f>
        <v/>
      </c>
      <c r="J6" s="10">
        <f>J7</f>
        <v/>
      </c>
      <c r="K6" s="10">
        <f>K7</f>
        <v/>
      </c>
      <c r="L6" s="10">
        <f>L7</f>
        <v/>
      </c>
      <c r="M6" s="10">
        <f>M7</f>
        <v/>
      </c>
      <c r="N6" s="10">
        <f>N7</f>
        <v/>
      </c>
      <c r="O6" s="10">
        <f>O7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ht="12" customHeight="1">
      <c r="A8" s="11" t="inlineStr">
        <is>
          <t xml:space="preserve">        avg/day</t>
        </is>
      </c>
      <c r="B8" s="4" t="n"/>
      <c r="C8" s="4" t="n"/>
      <c r="D8" s="12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12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12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12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12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12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12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12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12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12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12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12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12">
        <f>SUM(D8:O8)</f>
        <v/>
      </c>
      <c r="Q8" s="12" t="n"/>
    </row>
    <row r="9" outlineLevel="1" ht="12" customHeight="1">
      <c r="A9" s="7" t="inlineStr">
        <is>
          <t xml:space="preserve">  Services</t>
        </is>
      </c>
      <c r="B9" s="8" t="n"/>
      <c r="C9" s="8" t="n"/>
      <c r="D9" s="8">
        <f>0</f>
        <v/>
      </c>
      <c r="E9" s="8">
        <f>0</f>
        <v/>
      </c>
      <c r="F9" s="8">
        <f>0</f>
        <v/>
      </c>
      <c r="G9" s="8">
        <f>0</f>
        <v/>
      </c>
      <c r="H9" s="8">
        <f>0</f>
        <v/>
      </c>
      <c r="I9" s="8">
        <f>0</f>
        <v/>
      </c>
      <c r="J9" s="8">
        <f>0</f>
        <v/>
      </c>
      <c r="K9" s="8">
        <f>0</f>
        <v/>
      </c>
      <c r="L9" s="8">
        <f>0</f>
        <v/>
      </c>
      <c r="M9" s="8">
        <f>0</f>
        <v/>
      </c>
      <c r="N9" s="8">
        <f>0</f>
        <v/>
      </c>
      <c r="O9" s="8">
        <f>0</f>
        <v/>
      </c>
      <c r="P9" s="8">
        <f>SUM(D9:O9)</f>
        <v/>
      </c>
      <c r="Q9" s="8" t="n"/>
    </row>
    <row r="10" hidden="1" outlineLevel="2" ht="12" customHeight="1">
      <c r="A10" s="9" t="inlineStr">
        <is>
          <t xml:space="preserve">  Uncategorized income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>
        <f>SUM(D10:O10)</f>
        <v/>
      </c>
      <c r="Q10" s="10" t="n"/>
    </row>
    <row r="11" ht="12" customHeight="1"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>
        <f>SUM(D11:O11)</f>
        <v/>
      </c>
      <c r="Q11" s="4" t="n"/>
    </row>
    <row r="12" ht="12" customHeight="1">
      <c r="A12" s="5" t="inlineStr">
        <is>
          <t>Expenses</t>
        </is>
      </c>
      <c r="B12" s="6" t="n"/>
      <c r="C12" s="6" t="n"/>
      <c r="D12" s="6">
        <f>D13+D33</f>
        <v/>
      </c>
      <c r="E12" s="6">
        <f>E13+E33</f>
        <v/>
      </c>
      <c r="F12" s="6">
        <f>F13+F33</f>
        <v/>
      </c>
      <c r="G12" s="6">
        <f>G13+G33</f>
        <v/>
      </c>
      <c r="H12" s="6">
        <f>H13+H33</f>
        <v/>
      </c>
      <c r="I12" s="6">
        <f>I13+I33</f>
        <v/>
      </c>
      <c r="J12" s="6">
        <f>J13+J33</f>
        <v/>
      </c>
      <c r="K12" s="6">
        <f>K13+K33</f>
        <v/>
      </c>
      <c r="L12" s="6">
        <f>L13+L33</f>
        <v/>
      </c>
      <c r="M12" s="6">
        <f>M13+M33</f>
        <v/>
      </c>
      <c r="N12" s="6">
        <f>N13+N33</f>
        <v/>
      </c>
      <c r="O12" s="6">
        <f>O13+O33</f>
        <v/>
      </c>
      <c r="P12" s="6">
        <f>SUM(D12:O12)</f>
        <v/>
      </c>
      <c r="Q12" s="6" t="n"/>
    </row>
    <row r="13" outlineLevel="1" ht="12" customHeight="1">
      <c r="A13" s="7" t="inlineStr">
        <is>
          <t xml:space="preserve">  COGS</t>
        </is>
      </c>
      <c r="B13" s="8" t="n"/>
      <c r="C13" s="8" t="n"/>
      <c r="D13" s="8">
        <f>D14+D19+D22</f>
        <v/>
      </c>
      <c r="E13" s="8">
        <f>E14+E19+E22</f>
        <v/>
      </c>
      <c r="F13" s="8">
        <f>F14+F19+F22</f>
        <v/>
      </c>
      <c r="G13" s="8">
        <f>G14+G19+G22</f>
        <v/>
      </c>
      <c r="H13" s="8">
        <f>H14+H19+H22</f>
        <v/>
      </c>
      <c r="I13" s="8">
        <f>I14+I19+I22</f>
        <v/>
      </c>
      <c r="J13" s="8">
        <f>J14+J19+J22</f>
        <v/>
      </c>
      <c r="K13" s="8">
        <f>K14+K19+K22</f>
        <v/>
      </c>
      <c r="L13" s="8">
        <f>L14+L19+L22</f>
        <v/>
      </c>
      <c r="M13" s="8">
        <f>M14+M19+M22</f>
        <v/>
      </c>
      <c r="N13" s="8">
        <f>N14+N19+N22</f>
        <v/>
      </c>
      <c r="O13" s="8">
        <f>O14+O19+O22</f>
        <v/>
      </c>
      <c r="P13" s="8">
        <f>SUM(D13:O13)</f>
        <v/>
      </c>
      <c r="Q13" s="8" t="n"/>
    </row>
    <row r="14" hidden="1" outlineLevel="2" ht="12" customHeight="1">
      <c r="A14" s="9" t="inlineStr">
        <is>
          <t xml:space="preserve">    Manufacturing</t>
        </is>
      </c>
      <c r="B14" s="10" t="n"/>
      <c r="C14" s="10" t="n"/>
      <c r="D14" s="10">
        <f>SUM(D15:D16)+D17</f>
        <v/>
      </c>
      <c r="E14" s="10">
        <f>SUM(E15:E16)+E17</f>
        <v/>
      </c>
      <c r="F14" s="10">
        <f>SUM(F15:F16)+F17</f>
        <v/>
      </c>
      <c r="G14" s="10">
        <f>SUM(G15:G16)+G17</f>
        <v/>
      </c>
      <c r="H14" s="10">
        <f>SUM(H15:H16)+H17</f>
        <v/>
      </c>
      <c r="I14" s="10">
        <f>SUM(I15:I16)+I17</f>
        <v/>
      </c>
      <c r="J14" s="10">
        <f>SUM(J15:J16)+J17</f>
        <v/>
      </c>
      <c r="K14" s="10">
        <f>SUM(K15:K16)+K17</f>
        <v/>
      </c>
      <c r="L14" s="10">
        <f>SUM(L15:L16)+L17</f>
        <v/>
      </c>
      <c r="M14" s="10">
        <f>SUM(M15:M16)+M17</f>
        <v/>
      </c>
      <c r="N14" s="10">
        <f>SUM(N15:N16)+N17</f>
        <v/>
      </c>
      <c r="O14" s="10">
        <f>SUM(O15:O16)+O17</f>
        <v/>
      </c>
      <c r="P14" s="10">
        <f>SUM(D14:O14)</f>
        <v/>
      </c>
      <c r="Q14" s="10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SUMIFS('g-expenses-inc'!$K:$K,'g-expenses-inc'!$A:$A,D$1,'g-expenses-inc'!$D:$D,"manufacturing",'g-expenses-inc'!$E:$E,TRIM($A15))</f>
        <v/>
      </c>
      <c r="E15" s="4">
        <f>SUMIFS('g-expenses-inc'!$K:$K,'g-expenses-inc'!$A:$A,E$1,'g-expenses-inc'!$D:$D,"manufacturing",'g-expenses-inc'!$E:$E,TRIM($A15))</f>
        <v/>
      </c>
      <c r="F15" s="4">
        <f>SUMIFS('g-expenses-inc'!$K:$K,'g-expenses-inc'!$A:$A,F$1,'g-expenses-inc'!$D:$D,"manufacturing",'g-expenses-inc'!$E:$E,TRIM($A15))</f>
        <v/>
      </c>
      <c r="G15" s="4">
        <f>SUMIFS('g-expenses-inc'!$K:$K,'g-expenses-inc'!$A:$A,G$1,'g-expenses-inc'!$D:$D,"manufacturing",'g-expenses-inc'!$E:$E,TRIM($A15))</f>
        <v/>
      </c>
      <c r="H15" s="4">
        <f>SUMIFS('g-expenses-inc'!$K:$K,'g-expenses-inc'!$A:$A,H$1,'g-expenses-inc'!$D:$D,"manufacturing",'g-expenses-inc'!$E:$E,TRIM($A15))</f>
        <v/>
      </c>
      <c r="I15" s="4">
        <f>SUMIFS('g-expenses-inc'!$K:$K,'g-expenses-inc'!$A:$A,I$1,'g-expenses-inc'!$D:$D,"manufacturing",'g-expenses-inc'!$E:$E,TRIM($A15))</f>
        <v/>
      </c>
      <c r="J15" s="4">
        <f>SUMIFS('g-expenses-inc'!$K:$K,'g-expenses-inc'!$A:$A,J$1,'g-expenses-inc'!$D:$D,"manufacturing",'g-expenses-inc'!$E:$E,TRIM($A15))</f>
        <v/>
      </c>
      <c r="K15" s="4">
        <f>SUMIFS('g-expenses-inc'!$K:$K,'g-expenses-inc'!$A:$A,K$1,'g-expenses-inc'!$D:$D,"manufacturing",'g-expenses-inc'!$E:$E,TRIM($A15))</f>
        <v/>
      </c>
      <c r="L15" s="4">
        <f>SUMIFS('g-expenses-inc'!$K:$K,'g-expenses-inc'!$A:$A,L$1,'g-expenses-inc'!$D:$D,"manufacturing",'g-expenses-inc'!$E:$E,TRIM($A15))</f>
        <v/>
      </c>
      <c r="M15" s="4">
        <f>SUMIFS('g-expenses-inc'!$K:$K,'g-expenses-inc'!$A:$A,M$1,'g-expenses-inc'!$D:$D,"manufacturing",'g-expenses-inc'!$E:$E,TRIM($A15))</f>
        <v/>
      </c>
      <c r="N15" s="4">
        <f>SUMIFS('g-expenses-inc'!$K:$K,'g-expenses-inc'!$A:$A,N$1,'g-expenses-inc'!$D:$D,"manufacturing",'g-expenses-inc'!$E:$E,TRIM($A15))</f>
        <v/>
      </c>
      <c r="O15" s="4">
        <f>SUMIFS('g-expenses-inc'!$K:$K,'g-expenses-inc'!$A:$A,O$1,'g-expenses-inc'!$D:$D,"manufacturing",'g-expenses-inc'!$E:$E,TRIM($A15))</f>
        <v/>
      </c>
      <c r="P15" s="4">
        <f>SUM(D15:O15)</f>
        <v/>
      </c>
      <c r="Q15" s="4" t="inlineStr">
        <is>
          <t>-&gt;</t>
        </is>
      </c>
    </row>
    <row r="16" hidden="1" outlineLevel="3" ht="12" customHeight="1">
      <c r="A16" t="inlineStr">
        <is>
          <t xml:space="preserve">      TGI</t>
        </is>
      </c>
      <c r="B16" s="4" t="n"/>
      <c r="C16" s="4" t="n"/>
      <c r="D16" s="4">
        <f>SUMIFS('g-expenses-inc'!$K:$K,'g-expenses-inc'!$A:$A,D$1,'g-expenses-inc'!$D:$D,"manufacturing",'g-expenses-inc'!$E:$E,TRIM($A16))</f>
        <v/>
      </c>
      <c r="E16" s="4">
        <f>SUMIFS('g-expenses-inc'!$K:$K,'g-expenses-inc'!$A:$A,E$1,'g-expenses-inc'!$D:$D,"manufacturing",'g-expenses-inc'!$E:$E,TRIM($A16))</f>
        <v/>
      </c>
      <c r="F16" s="4">
        <f>SUMIFS('g-expenses-inc'!$K:$K,'g-expenses-inc'!$A:$A,F$1,'g-expenses-inc'!$D:$D,"manufacturing",'g-expenses-inc'!$E:$E,TRIM($A16))</f>
        <v/>
      </c>
      <c r="G16" s="4">
        <f>SUMIFS('g-expenses-inc'!$K:$K,'g-expenses-inc'!$A:$A,G$1,'g-expenses-inc'!$D:$D,"manufacturing",'g-expenses-inc'!$E:$E,TRIM($A16))</f>
        <v/>
      </c>
      <c r="H16" s="4">
        <f>SUMIFS('g-expenses-inc'!$K:$K,'g-expenses-inc'!$A:$A,H$1,'g-expenses-inc'!$D:$D,"manufacturing",'g-expenses-inc'!$E:$E,TRIM($A16))</f>
        <v/>
      </c>
      <c r="I16" s="4">
        <f>SUMIFS('g-expenses-inc'!$K:$K,'g-expenses-inc'!$A:$A,I$1,'g-expenses-inc'!$D:$D,"manufacturing",'g-expenses-inc'!$E:$E,TRIM($A16))</f>
        <v/>
      </c>
      <c r="J16" s="4">
        <f>SUMIFS('g-expenses-inc'!$K:$K,'g-expenses-inc'!$A:$A,J$1,'g-expenses-inc'!$D:$D,"manufacturing",'g-expenses-inc'!$E:$E,TRIM($A16))</f>
        <v/>
      </c>
      <c r="K16" s="4">
        <f>SUMIFS('g-expenses-inc'!$K:$K,'g-expenses-inc'!$A:$A,K$1,'g-expenses-inc'!$D:$D,"manufacturing",'g-expenses-inc'!$E:$E,TRIM($A16))</f>
        <v/>
      </c>
      <c r="L16" s="4">
        <f>SUMIFS('g-expenses-inc'!$K:$K,'g-expenses-inc'!$A:$A,L$1,'g-expenses-inc'!$D:$D,"manufacturing",'g-expenses-inc'!$E:$E,TRIM($A16))</f>
        <v/>
      </c>
      <c r="M16" s="4">
        <f>SUMIFS('g-expenses-inc'!$K:$K,'g-expenses-inc'!$A:$A,M$1,'g-expenses-inc'!$D:$D,"manufacturing",'g-expenses-inc'!$E:$E,TRIM($A16))</f>
        <v/>
      </c>
      <c r="N16" s="4">
        <f>SUMIFS('g-expenses-inc'!$K:$K,'g-expenses-inc'!$A:$A,N$1,'g-expenses-inc'!$D:$D,"manufacturing",'g-expenses-inc'!$E:$E,TRIM($A16))</f>
        <v/>
      </c>
      <c r="O16" s="4">
        <f>SUMIFS('g-expenses-inc'!$K:$K,'g-expenses-inc'!$A:$A,O$1,'g-expenses-inc'!$D:$D,"manufacturing",'g-expenses-inc'!$E:$E,TRIM($A16))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2658.96</v>
      </c>
      <c r="E17" s="4" t="n">
        <v>1470.37</v>
      </c>
      <c r="F17" s="4" t="n">
        <v>1496.84</v>
      </c>
      <c r="G17" s="4" t="n">
        <v>899.95</v>
      </c>
      <c r="H17" s="4" t="n">
        <v>730.88</v>
      </c>
      <c r="I17" s="4" t="n">
        <v>921.26</v>
      </c>
      <c r="J17" s="4" t="n">
        <v>434.04</v>
      </c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3" t="n"/>
      <c r="C18" s="13" t="n"/>
      <c r="D18" s="13">
        <f>IFERROR(D14/D5,0)</f>
        <v/>
      </c>
      <c r="E18" s="13">
        <f>IFERROR(E14/E5,0)</f>
        <v/>
      </c>
      <c r="F18" s="13">
        <f>IFERROR(F14/F5,0)</f>
        <v/>
      </c>
      <c r="G18" s="13">
        <f>IFERROR(G14/G5,0)</f>
        <v/>
      </c>
      <c r="H18" s="13">
        <f>IFERROR(H14/H5,0)</f>
        <v/>
      </c>
      <c r="I18" s="13">
        <f>IFERROR(I14/I5,0)</f>
        <v/>
      </c>
      <c r="J18" s="13">
        <f>IFERROR(J14/J5,0)</f>
        <v/>
      </c>
      <c r="K18" s="13">
        <f>IFERROR(K14/K5,0)</f>
        <v/>
      </c>
      <c r="L18" s="13">
        <f>IFERROR(L14/L5,0)</f>
        <v/>
      </c>
      <c r="M18" s="13">
        <f>IFERROR(M14/M5,0)</f>
        <v/>
      </c>
      <c r="N18" s="13">
        <f>IFERROR(N14/N5,0)</f>
        <v/>
      </c>
      <c r="O18" s="13">
        <f>IFERROR(O14/O5,0)</f>
        <v/>
      </c>
      <c r="P18" s="13">
        <f>IFERROR(P14/P5,0)</f>
        <v/>
      </c>
      <c r="Q18" s="13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SUM(D20:D20)</f>
        <v/>
      </c>
      <c r="E19" s="10">
        <f>SUM(E20:E20)</f>
        <v/>
      </c>
      <c r="F19" s="10">
        <f>SUM(F20:F20)</f>
        <v/>
      </c>
      <c r="G19" s="10">
        <f>SUM(G20:G20)</f>
        <v/>
      </c>
      <c r="H19" s="10">
        <f>SUM(H20:H20)</f>
        <v/>
      </c>
      <c r="I19" s="10">
        <f>SUM(I20:I20)</f>
        <v/>
      </c>
      <c r="J19" s="10">
        <f>SUM(J20:J20)</f>
        <v/>
      </c>
      <c r="K19" s="10">
        <f>SUM(K20:K20)</f>
        <v/>
      </c>
      <c r="L19" s="10">
        <f>SUM(L20:L20)</f>
        <v/>
      </c>
      <c r="M19" s="10">
        <f>SUM(M20:M20)</f>
        <v/>
      </c>
      <c r="N19" s="10">
        <f>SUM(N20:N20)</f>
        <v/>
      </c>
      <c r="O19" s="10">
        <f>SUM(O20:O20)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TGI</t>
        </is>
      </c>
      <c r="B20" s="4" t="n"/>
      <c r="C20" s="4" t="n"/>
      <c r="D20" s="4">
        <f>SUMIFS('g-expenses-inc'!$K:$K,'g-expenses-inc'!$A:$A,D$1,'g-expenses-inc'!$D:$D,"logistics",'g-expenses-inc'!$E:$E,TRIM($A20))</f>
        <v/>
      </c>
      <c r="E20" s="4">
        <f>SUMIFS('g-expenses-inc'!$K:$K,'g-expenses-inc'!$A:$A,E$1,'g-expenses-inc'!$D:$D,"logistics",'g-expenses-inc'!$E:$E,TRIM($A20))</f>
        <v/>
      </c>
      <c r="F20" s="4">
        <f>SUMIFS('g-expenses-inc'!$K:$K,'g-expenses-inc'!$A:$A,F$1,'g-expenses-inc'!$D:$D,"logistics",'g-expenses-inc'!$E:$E,TRIM($A20))</f>
        <v/>
      </c>
      <c r="G20" s="4">
        <f>SUMIFS('g-expenses-inc'!$K:$K,'g-expenses-inc'!$A:$A,G$1,'g-expenses-inc'!$D:$D,"logistics",'g-expenses-inc'!$E:$E,TRIM($A20))</f>
        <v/>
      </c>
      <c r="H20" s="4">
        <f>SUMIFS('g-expenses-inc'!$K:$K,'g-expenses-inc'!$A:$A,H$1,'g-expenses-inc'!$D:$D,"logistics",'g-expenses-inc'!$E:$E,TRIM($A20))</f>
        <v/>
      </c>
      <c r="I20" s="4">
        <f>SUMIFS('g-expenses-inc'!$K:$K,'g-expenses-inc'!$A:$A,I$1,'g-expenses-inc'!$D:$D,"logistics",'g-expenses-inc'!$E:$E,TRIM($A20))</f>
        <v/>
      </c>
      <c r="J20" s="4">
        <f>SUMIFS('g-expenses-inc'!$K:$K,'g-expenses-inc'!$A:$A,J$1,'g-expenses-inc'!$D:$D,"logistics",'g-expenses-inc'!$E:$E,TRIM($A20))</f>
        <v/>
      </c>
      <c r="K20" s="4">
        <f>SUMIFS('g-expenses-inc'!$K:$K,'g-expenses-inc'!$A:$A,K$1,'g-expenses-inc'!$D:$D,"logistics",'g-expenses-inc'!$E:$E,TRIM($A20))</f>
        <v/>
      </c>
      <c r="L20" s="4">
        <f>SUMIFS('g-expenses-inc'!$K:$K,'g-expenses-inc'!$A:$A,L$1,'g-expenses-inc'!$D:$D,"logistics",'g-expenses-inc'!$E:$E,TRIM($A20))</f>
        <v/>
      </c>
      <c r="M20" s="4">
        <f>SUMIFS('g-expenses-inc'!$K:$K,'g-expenses-inc'!$A:$A,M$1,'g-expenses-inc'!$D:$D,"logistics",'g-expenses-inc'!$E:$E,TRIM($A20))</f>
        <v/>
      </c>
      <c r="N20" s="4">
        <f>SUMIFS('g-expenses-inc'!$K:$K,'g-expenses-inc'!$A:$A,N$1,'g-expenses-inc'!$D:$D,"logistics",'g-expenses-inc'!$E:$E,TRIM($A20))</f>
        <v/>
      </c>
      <c r="O20" s="4">
        <f>SUMIFS('g-expenses-inc'!$K:$K,'g-expenses-inc'!$A:$A,O$1,'g-expenses-inc'!$D:$D,"logistics",'g-expenses-inc'!$E:$E,TRIM($A20))</f>
        <v/>
      </c>
      <c r="P20" s="4">
        <f>SUM(D20:O20)</f>
        <v/>
      </c>
      <c r="Q20" s="4" t="inlineStr">
        <is>
          <t>-&gt;</t>
        </is>
      </c>
    </row>
    <row r="21" hidden="1" outlineLevel="2" ht="12" customHeight="1">
      <c r="A21" s="3" t="inlineStr">
        <is>
          <t xml:space="preserve">    % Logistics / sales</t>
        </is>
      </c>
      <c r="B21" s="13" t="n"/>
      <c r="C21" s="13" t="n"/>
      <c r="D21" s="13">
        <f>IFERROR(D19/D5,0)</f>
        <v/>
      </c>
      <c r="E21" s="13">
        <f>IFERROR(E19/E5,0)</f>
        <v/>
      </c>
      <c r="F21" s="13">
        <f>IFERROR(F19/F5,0)</f>
        <v/>
      </c>
      <c r="G21" s="13">
        <f>IFERROR(G19/G5,0)</f>
        <v/>
      </c>
      <c r="H21" s="13">
        <f>IFERROR(H19/H5,0)</f>
        <v/>
      </c>
      <c r="I21" s="13">
        <f>IFERROR(I19/I5,0)</f>
        <v/>
      </c>
      <c r="J21" s="13">
        <f>IFERROR(J19/J5,0)</f>
        <v/>
      </c>
      <c r="K21" s="13">
        <f>IFERROR(K19/K5,0)</f>
        <v/>
      </c>
      <c r="L21" s="13">
        <f>IFERROR(L19/L5,0)</f>
        <v/>
      </c>
      <c r="M21" s="13">
        <f>IFERROR(M19/M5,0)</f>
        <v/>
      </c>
      <c r="N21" s="13">
        <f>IFERROR(N19/N5,0)</f>
        <v/>
      </c>
      <c r="O21" s="13">
        <f>IFERROR(O19/O5,0)</f>
        <v/>
      </c>
      <c r="P21" s="13">
        <f>IFERROR(P19/P5,0)</f>
        <v/>
      </c>
      <c r="Q21" s="13" t="n"/>
    </row>
    <row r="22" hidden="1" outlineLevel="2" ht="12" customHeight="1">
      <c r="A22" s="9" t="inlineStr">
        <is>
          <t xml:space="preserve">    Payment fees</t>
        </is>
      </c>
      <c r="B22" s="10" t="n"/>
      <c r="C22" s="10" t="n"/>
      <c r="D22" s="10">
        <f>SUM(D23:D23)</f>
        <v/>
      </c>
      <c r="E22" s="10">
        <f>SUM(E23:E23)</f>
        <v/>
      </c>
      <c r="F22" s="10">
        <f>SUM(F23:F23)</f>
        <v/>
      </c>
      <c r="G22" s="10">
        <f>SUM(G23:G23)</f>
        <v/>
      </c>
      <c r="H22" s="10">
        <f>SUM(H23:H23)</f>
        <v/>
      </c>
      <c r="I22" s="10">
        <f>SUM(I23:I23)</f>
        <v/>
      </c>
      <c r="J22" s="10">
        <f>SUM(J23:J23)</f>
        <v/>
      </c>
      <c r="K22" s="10">
        <f>SUM(K23:K23)</f>
        <v/>
      </c>
      <c r="L22" s="10">
        <f>SUM(L23:L23)</f>
        <v/>
      </c>
      <c r="M22" s="10">
        <f>SUM(M23:M23)</f>
        <v/>
      </c>
      <c r="N22" s="10">
        <f>SUM(N23:N23)</f>
        <v/>
      </c>
      <c r="O22" s="10">
        <f>SUM(O23:O23)</f>
        <v/>
      </c>
      <c r="P22" s="10">
        <f>SUM(D22:O22)</f>
        <v/>
      </c>
      <c r="Q22" s="10" t="inlineStr">
        <is>
          <t>-&gt;</t>
        </is>
      </c>
    </row>
    <row r="23" hidden="1" outlineLevel="3" ht="12" customHeight="1">
      <c r="A23" t="inlineStr">
        <is>
          <t xml:space="preserve">      SHOPIFY</t>
        </is>
      </c>
      <c r="B23" s="4" t="n"/>
      <c r="C23" s="4" t="n"/>
      <c r="D23" s="4">
        <f>SUMIFS('g-payment-fees-inc'!$H:$H,'g-payment-fees-inc'!$A:$A,D$1,'g-payment-fees-inc'!$C:$C,TRIM($A23))</f>
        <v/>
      </c>
      <c r="E23" s="4">
        <f>SUMIFS('g-payment-fees-inc'!$H:$H,'g-payment-fees-inc'!$A:$A,E$1,'g-payment-fees-inc'!$C:$C,TRIM($A23))</f>
        <v/>
      </c>
      <c r="F23" s="4">
        <f>SUMIFS('g-payment-fees-inc'!$H:$H,'g-payment-fees-inc'!$A:$A,F$1,'g-payment-fees-inc'!$C:$C,TRIM($A23))</f>
        <v/>
      </c>
      <c r="G23" s="4">
        <f>SUMIFS('g-payment-fees-inc'!$H:$H,'g-payment-fees-inc'!$A:$A,G$1,'g-payment-fees-inc'!$C:$C,TRIM($A23))</f>
        <v/>
      </c>
      <c r="H23" s="4">
        <f>SUMIFS('g-payment-fees-inc'!$H:$H,'g-payment-fees-inc'!$A:$A,H$1,'g-payment-fees-inc'!$C:$C,TRIM($A23))</f>
        <v/>
      </c>
      <c r="I23" s="4">
        <f>SUMIFS('g-payment-fees-inc'!$H:$H,'g-payment-fees-inc'!$A:$A,I$1,'g-payment-fees-inc'!$C:$C,TRIM($A23))</f>
        <v/>
      </c>
      <c r="J23" s="4">
        <f>SUMIFS('g-payment-fees-inc'!$H:$H,'g-payment-fees-inc'!$A:$A,J$1,'g-payment-fees-inc'!$C:$C,TRIM($A23))</f>
        <v/>
      </c>
      <c r="K23" s="4">
        <f>SUMIFS('g-payment-fees-inc'!$H:$H,'g-payment-fees-inc'!$A:$A,K$1,'g-payment-fees-inc'!$C:$C,TRIM($A23))</f>
        <v/>
      </c>
      <c r="L23" s="4">
        <f>SUMIFS('g-payment-fees-inc'!$H:$H,'g-payment-fees-inc'!$A:$A,L$1,'g-payment-fees-inc'!$C:$C,TRIM($A23))</f>
        <v/>
      </c>
      <c r="M23" s="4">
        <f>SUMIFS('g-payment-fees-inc'!$H:$H,'g-payment-fees-inc'!$A:$A,M$1,'g-payment-fees-inc'!$C:$C,TRIM($A23))</f>
        <v/>
      </c>
      <c r="N23" s="4">
        <f>SUMIFS('g-payment-fees-inc'!$H:$H,'g-payment-fees-inc'!$A:$A,N$1,'g-payment-fees-inc'!$C:$C,TRIM($A23))</f>
        <v/>
      </c>
      <c r="O23" s="4">
        <f>SUMIFS('g-payment-fees-inc'!$H:$H,'g-payment-fees-inc'!$A:$A,O$1,'g-payment-fees-inc'!$C:$C,TRIM($A23))</f>
        <v/>
      </c>
      <c r="P23" s="4">
        <f>SUM(D23:O23)</f>
        <v/>
      </c>
      <c r="Q23" s="4" t="inlineStr">
        <is>
          <t>-&gt;</t>
        </is>
      </c>
    </row>
    <row r="24" ht="12" customHeight="1">
      <c r="A24" s="14" t="inlineStr">
        <is>
          <t xml:space="preserve">    Royalties</t>
        </is>
      </c>
      <c r="B24" s="4" t="n"/>
      <c r="C24" s="4" t="n"/>
      <c r="D24" s="4" t="n">
        <v>561.38</v>
      </c>
      <c r="E24" s="4" t="n">
        <v>878.29</v>
      </c>
      <c r="F24" s="4" t="n">
        <v>852</v>
      </c>
      <c r="G24" s="4" t="n">
        <v>663.5</v>
      </c>
      <c r="H24" s="4" t="n">
        <v>548.4299999999999</v>
      </c>
      <c r="I24" s="4" t="n">
        <v>618.6900000000001</v>
      </c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t="12" customHeight="1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idden="1" outlineLevel="2" ht="12" customHeight="1">
      <c r="A26" s="3" t="inlineStr">
        <is>
          <t xml:space="preserve">    % Payment fees / sales</t>
        </is>
      </c>
      <c r="B26" s="13" t="n"/>
      <c r="C26" s="13" t="n"/>
      <c r="D26" s="13">
        <f>IFERROR(D22/D5,0)</f>
        <v/>
      </c>
      <c r="E26" s="13">
        <f>IFERROR(E22/E5,0)</f>
        <v/>
      </c>
      <c r="F26" s="13">
        <f>IFERROR(F22/F5,0)</f>
        <v/>
      </c>
      <c r="G26" s="13">
        <f>IFERROR(G22/G5,0)</f>
        <v/>
      </c>
      <c r="H26" s="13">
        <f>IFERROR(H22/H5,0)</f>
        <v/>
      </c>
      <c r="I26" s="13">
        <f>IFERROR(I22/I5,0)</f>
        <v/>
      </c>
      <c r="J26" s="13">
        <f>IFERROR(J22/J5,0)</f>
        <v/>
      </c>
      <c r="K26" s="13">
        <f>IFERROR(K22/K5,0)</f>
        <v/>
      </c>
      <c r="L26" s="13">
        <f>IFERROR(L22/L5,0)</f>
        <v/>
      </c>
      <c r="M26" s="13">
        <f>IFERROR(M22/M5,0)</f>
        <v/>
      </c>
      <c r="N26" s="13">
        <f>IFERROR(N22/N5,0)</f>
        <v/>
      </c>
      <c r="O26" s="13">
        <f>IFERROR(O22/O5,0)</f>
        <v/>
      </c>
      <c r="P26" s="13">
        <f>IFERROR(P22/P5,0)</f>
        <v/>
      </c>
      <c r="Q26" s="13" t="n"/>
    </row>
    <row r="27" ht="12" customHeight="1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>
        <f>SUM(D27:O27)</f>
        <v/>
      </c>
      <c r="Q27" s="4" t="n"/>
    </row>
    <row r="28" ht="12" customHeight="1">
      <c r="A28" s="15" t="inlineStr">
        <is>
          <t>GROSS MARGIN (SALES-MANUFACTURING)</t>
        </is>
      </c>
      <c r="B28" s="16" t="n"/>
      <c r="C28" s="16" t="n"/>
      <c r="D28" s="16">
        <f>D5-D14</f>
        <v/>
      </c>
      <c r="E28" s="16">
        <f>E5-E14</f>
        <v/>
      </c>
      <c r="F28" s="16">
        <f>F5-F14</f>
        <v/>
      </c>
      <c r="G28" s="16">
        <f>G5-G14</f>
        <v/>
      </c>
      <c r="H28" s="16">
        <f>H5-H14</f>
        <v/>
      </c>
      <c r="I28" s="16">
        <f>I5-I14</f>
        <v/>
      </c>
      <c r="J28" s="16">
        <f>J5-J14</f>
        <v/>
      </c>
      <c r="K28" s="16">
        <f>K5-K14</f>
        <v/>
      </c>
      <c r="L28" s="16">
        <f>L5-L14</f>
        <v/>
      </c>
      <c r="M28" s="16">
        <f>M5-M14</f>
        <v/>
      </c>
      <c r="N28" s="16">
        <f>N5-N14</f>
        <v/>
      </c>
      <c r="O28" s="16">
        <f>O5-O14</f>
        <v/>
      </c>
      <c r="P28" s="16">
        <f>SUM(D28:O28)</f>
        <v/>
      </c>
      <c r="Q28" s="16" t="n"/>
    </row>
    <row r="29" hidden="1" outlineLevel="1" ht="12" customHeight="1">
      <c r="A29" s="3" t="inlineStr">
        <is>
          <t>% gross margin</t>
        </is>
      </c>
      <c r="B29" s="13" t="n"/>
      <c r="C29" s="13" t="n"/>
      <c r="D29" s="13">
        <f>IFERROR(D28/D5,0)</f>
        <v/>
      </c>
      <c r="E29" s="13">
        <f>IFERROR(E28/E5,0)</f>
        <v/>
      </c>
      <c r="F29" s="13">
        <f>IFERROR(F28/F5,0)</f>
        <v/>
      </c>
      <c r="G29" s="13">
        <f>IFERROR(G28/G5,0)</f>
        <v/>
      </c>
      <c r="H29" s="13">
        <f>IFERROR(H28/H5,0)</f>
        <v/>
      </c>
      <c r="I29" s="13">
        <f>IFERROR(I28/I5,0)</f>
        <v/>
      </c>
      <c r="J29" s="13">
        <f>IFERROR(J28/J5,0)</f>
        <v/>
      </c>
      <c r="K29" s="13">
        <f>IFERROR(K28/K5,0)</f>
        <v/>
      </c>
      <c r="L29" s="13">
        <f>IFERROR(L28/L5,0)</f>
        <v/>
      </c>
      <c r="M29" s="13">
        <f>IFERROR(M28/M5,0)</f>
        <v/>
      </c>
      <c r="N29" s="13">
        <f>IFERROR(N28/N5,0)</f>
        <v/>
      </c>
      <c r="O29" s="13">
        <f>IFERROR(O28/O5,0)</f>
        <v/>
      </c>
      <c r="P29" s="13">
        <f>IFERROR(P28/P5,0)</f>
        <v/>
      </c>
      <c r="Q29" s="13" t="n"/>
    </row>
    <row r="30" ht="12" customHeight="1">
      <c r="A30" s="15" t="inlineStr">
        <is>
          <t>Contributive margin (product sales-COGS)</t>
        </is>
      </c>
      <c r="B30" s="16" t="n"/>
      <c r="C30" s="16" t="n"/>
      <c r="D30" s="16">
        <f>D5-D13-D24</f>
        <v/>
      </c>
      <c r="E30" s="16">
        <f>E5-E13-E24</f>
        <v/>
      </c>
      <c r="F30" s="16">
        <f>F5-F13-F24</f>
        <v/>
      </c>
      <c r="G30" s="16">
        <f>G5-G13-G24</f>
        <v/>
      </c>
      <c r="H30" s="16">
        <f>H5-H13-H24</f>
        <v/>
      </c>
      <c r="I30" s="16">
        <f>I5-I13-I24</f>
        <v/>
      </c>
      <c r="J30" s="16">
        <f>J5-J13-J24</f>
        <v/>
      </c>
      <c r="K30" s="16">
        <f>K5-K13-K24</f>
        <v/>
      </c>
      <c r="L30" s="16">
        <f>L5-L13-L24</f>
        <v/>
      </c>
      <c r="M30" s="16">
        <f>M5-M13-M24</f>
        <v/>
      </c>
      <c r="N30" s="16">
        <f>N5-N13-N24</f>
        <v/>
      </c>
      <c r="O30" s="16">
        <f>O5-O13-O24</f>
        <v/>
      </c>
      <c r="P30" s="16">
        <f>SUM(D30:O30)</f>
        <v/>
      </c>
      <c r="Q30" s="16" t="n"/>
    </row>
    <row r="31" hidden="1" outlineLevel="1" ht="12" customHeight="1">
      <c r="A31" s="3" t="inlineStr">
        <is>
          <t>% contributive margin</t>
        </is>
      </c>
      <c r="B31" s="13" t="n"/>
      <c r="C31" s="13" t="n"/>
      <c r="D31" s="13">
        <f>IFERROR(D30/D5,0)</f>
        <v/>
      </c>
      <c r="E31" s="13">
        <f>IFERROR(E30/E5,0)</f>
        <v/>
      </c>
      <c r="F31" s="13">
        <f>IFERROR(F30/F5,0)</f>
        <v/>
      </c>
      <c r="G31" s="13">
        <f>IFERROR(G30/G5,0)</f>
        <v/>
      </c>
      <c r="H31" s="13">
        <f>IFERROR(H30/H5,0)</f>
        <v/>
      </c>
      <c r="I31" s="13">
        <f>IFERROR(I30/I5,0)</f>
        <v/>
      </c>
      <c r="J31" s="13">
        <f>IFERROR(J30/J5,0)</f>
        <v/>
      </c>
      <c r="K31" s="13">
        <f>IFERROR(K30/K5,0)</f>
        <v/>
      </c>
      <c r="L31" s="13">
        <f>IFERROR(L30/L5,0)</f>
        <v/>
      </c>
      <c r="M31" s="13">
        <f>IFERROR(M30/M5,0)</f>
        <v/>
      </c>
      <c r="N31" s="13">
        <f>IFERROR(N30/N5,0)</f>
        <v/>
      </c>
      <c r="O31" s="13">
        <f>IFERROR(O30/O5,0)</f>
        <v/>
      </c>
      <c r="P31" s="13">
        <f>IFERROR(P30/P5,0)</f>
        <v/>
      </c>
      <c r="Q31" s="13" t="n"/>
    </row>
    <row r="32" ht="12" customHeight="1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>
        <f>SUM(D32:O32)</f>
        <v/>
      </c>
      <c r="Q32" s="4" t="n"/>
    </row>
    <row r="33" outlineLevel="1" ht="12" customHeight="1">
      <c r="A33" s="7" t="inlineStr">
        <is>
          <t xml:space="preserve">  Opex</t>
        </is>
      </c>
      <c r="B33" s="8" t="n"/>
      <c r="C33" s="8" t="n"/>
      <c r="D33" s="8">
        <f>D34+D36+D43+D45</f>
        <v/>
      </c>
      <c r="E33" s="8">
        <f>E34+E36+E43+E45</f>
        <v/>
      </c>
      <c r="F33" s="8">
        <f>F34+F36+F43+F45</f>
        <v/>
      </c>
      <c r="G33" s="8">
        <f>G34+G36+G43+G45</f>
        <v/>
      </c>
      <c r="H33" s="8">
        <f>H34+H36+H43+H45</f>
        <v/>
      </c>
      <c r="I33" s="8">
        <f>I34+I36+I43+I45</f>
        <v/>
      </c>
      <c r="J33" s="8">
        <f>J34+J36+J43+J45</f>
        <v/>
      </c>
      <c r="K33" s="8">
        <f>K34+K36+K43+K45</f>
        <v/>
      </c>
      <c r="L33" s="8">
        <f>L34+L36+L43+L45</f>
        <v/>
      </c>
      <c r="M33" s="8">
        <f>M34+M36+M43+M45</f>
        <v/>
      </c>
      <c r="N33" s="8">
        <f>N34+N36+N43+N45</f>
        <v/>
      </c>
      <c r="O33" s="8">
        <f>O34+O36+O43+O45</f>
        <v/>
      </c>
      <c r="P33" s="8">
        <f>SUM(D33:O33)</f>
        <v/>
      </c>
      <c r="Q33" s="8" t="n"/>
    </row>
    <row r="34" hidden="1" outlineLevel="2" ht="12" customHeight="1">
      <c r="A34" s="9" t="inlineStr">
        <is>
          <t xml:space="preserve">    Shared services</t>
        </is>
      </c>
      <c r="B34" s="10" t="n"/>
      <c r="C34" s="10" t="n"/>
      <c r="D34" s="10">
        <f>SUM(D35:D35)</f>
        <v/>
      </c>
      <c r="E34" s="10">
        <f>SUM(E35:E35)</f>
        <v/>
      </c>
      <c r="F34" s="10">
        <f>SUM(F35:F35)</f>
        <v/>
      </c>
      <c r="G34" s="10">
        <f>SUM(G35:G35)</f>
        <v/>
      </c>
      <c r="H34" s="10">
        <f>SUM(H35:H35)</f>
        <v/>
      </c>
      <c r="I34" s="10">
        <f>SUM(I35:I35)</f>
        <v/>
      </c>
      <c r="J34" s="10">
        <f>SUM(J35:J35)</f>
        <v/>
      </c>
      <c r="K34" s="10">
        <f>SUM(K35:K35)</f>
        <v/>
      </c>
      <c r="L34" s="10">
        <f>SUM(L35:L35)</f>
        <v/>
      </c>
      <c r="M34" s="10">
        <f>SUM(M35:M35)</f>
        <v/>
      </c>
      <c r="N34" s="10">
        <f>SUM(N35:N35)</f>
        <v/>
      </c>
      <c r="O34" s="10">
        <f>SUM(O35:O35)</f>
        <v/>
      </c>
      <c r="P34" s="10">
        <f>SUM(D34:O34)</f>
        <v/>
      </c>
      <c r="Q34" s="10" t="inlineStr">
        <is>
          <t>-&gt;</t>
        </is>
      </c>
    </row>
    <row r="35" hidden="1" outlineLevel="3" ht="12" customHeight="1">
      <c r="A35" t="inlineStr">
        <is>
          <t xml:space="preserve">      SHAREDSERVICESSL</t>
        </is>
      </c>
      <c r="B35" s="4" t="n"/>
      <c r="C35" s="4" t="n"/>
      <c r="D35" s="4">
        <f>SUMIFS('g-expenses-inc'!$K:$K,'g-expenses-inc'!$A:$A,D$1,'g-expenses-inc'!$D:$D,"shared_services",'g-expenses-inc'!$E:$E,TRIM($A35))</f>
        <v/>
      </c>
      <c r="E35" s="4">
        <f>SUMIFS('g-expenses-inc'!$K:$K,'g-expenses-inc'!$A:$A,E$1,'g-expenses-inc'!$D:$D,"shared_services",'g-expenses-inc'!$E:$E,TRIM($A35))</f>
        <v/>
      </c>
      <c r="F35" s="4">
        <f>SUMIFS('g-expenses-inc'!$K:$K,'g-expenses-inc'!$A:$A,F$1,'g-expenses-inc'!$D:$D,"shared_services",'g-expenses-inc'!$E:$E,TRIM($A35))</f>
        <v/>
      </c>
      <c r="G35" s="4">
        <f>SUMIFS('g-expenses-inc'!$K:$K,'g-expenses-inc'!$A:$A,G$1,'g-expenses-inc'!$D:$D,"shared_services",'g-expenses-inc'!$E:$E,TRIM($A35))</f>
        <v/>
      </c>
      <c r="H35" s="4">
        <f>SUMIFS('g-expenses-inc'!$K:$K,'g-expenses-inc'!$A:$A,H$1,'g-expenses-inc'!$D:$D,"shared_services",'g-expenses-inc'!$E:$E,TRIM($A35))</f>
        <v/>
      </c>
      <c r="I35" s="4">
        <f>SUMIFS('g-expenses-inc'!$K:$K,'g-expenses-inc'!$A:$A,I$1,'g-expenses-inc'!$D:$D,"shared_services",'g-expenses-inc'!$E:$E,TRIM($A35))</f>
        <v/>
      </c>
      <c r="J35" s="4">
        <f>SUMIFS('g-expenses-inc'!$K:$K,'g-expenses-inc'!$A:$A,J$1,'g-expenses-inc'!$D:$D,"shared_services",'g-expenses-inc'!$E:$E,TRIM($A35))</f>
        <v/>
      </c>
      <c r="K35" s="4">
        <f>SUMIFS('g-expenses-inc'!$K:$K,'g-expenses-inc'!$A:$A,K$1,'g-expenses-inc'!$D:$D,"shared_services",'g-expenses-inc'!$E:$E,TRIM($A35))</f>
        <v/>
      </c>
      <c r="L35" s="4">
        <f>SUMIFS('g-expenses-inc'!$K:$K,'g-expenses-inc'!$A:$A,L$1,'g-expenses-inc'!$D:$D,"shared_services",'g-expenses-inc'!$E:$E,TRIM($A35))</f>
        <v/>
      </c>
      <c r="M35" s="4">
        <f>SUMIFS('g-expenses-inc'!$K:$K,'g-expenses-inc'!$A:$A,M$1,'g-expenses-inc'!$D:$D,"shared_services",'g-expenses-inc'!$E:$E,TRIM($A35))</f>
        <v/>
      </c>
      <c r="N35" s="4">
        <f>SUMIFS('g-expenses-inc'!$K:$K,'g-expenses-inc'!$A:$A,N$1,'g-expenses-inc'!$D:$D,"shared_services",'g-expenses-inc'!$E:$E,TRIM($A35))</f>
        <v/>
      </c>
      <c r="O35" s="4">
        <f>SUMIFS('g-expenses-inc'!$K:$K,'g-expenses-inc'!$A:$A,O$1,'g-expenses-inc'!$D:$D,"shared_services",'g-expenses-inc'!$E:$E,TRIM($A35))</f>
        <v/>
      </c>
      <c r="P35" s="4">
        <f>SUM(D35:O35)</f>
        <v/>
      </c>
      <c r="Q35" s="4" t="inlineStr">
        <is>
          <t>-&gt;</t>
        </is>
      </c>
    </row>
    <row r="36" hidden="1" outlineLevel="2" ht="12" customHeight="1">
      <c r="A36" s="9" t="inlineStr">
        <is>
          <t xml:space="preserve">    Administration</t>
        </is>
      </c>
      <c r="B36" s="10" t="n"/>
      <c r="C36" s="10" t="n"/>
      <c r="D36" s="10">
        <f>SUM(D37:D42)</f>
        <v/>
      </c>
      <c r="E36" s="10">
        <f>SUM(E37:E42)</f>
        <v/>
      </c>
      <c r="F36" s="10">
        <f>SUM(F37:F42)</f>
        <v/>
      </c>
      <c r="G36" s="10">
        <f>SUM(G37:G42)</f>
        <v/>
      </c>
      <c r="H36" s="10">
        <f>SUM(H37:H42)</f>
        <v/>
      </c>
      <c r="I36" s="10">
        <f>SUM(I37:I42)</f>
        <v/>
      </c>
      <c r="J36" s="10">
        <f>SUM(J37:J42)</f>
        <v/>
      </c>
      <c r="K36" s="10">
        <f>SUM(K37:K42)</f>
        <v/>
      </c>
      <c r="L36" s="10">
        <f>SUM(L37:L42)</f>
        <v/>
      </c>
      <c r="M36" s="10">
        <f>SUM(M37:M42)</f>
        <v/>
      </c>
      <c r="N36" s="10">
        <f>SUM(N37:N42)</f>
        <v/>
      </c>
      <c r="O36" s="10">
        <f>SUM(O37:O42)</f>
        <v/>
      </c>
      <c r="P36" s="10">
        <f>SUM(D36:O36)</f>
        <v/>
      </c>
      <c r="Q36" s="10" t="inlineStr">
        <is>
          <t>-&gt;</t>
        </is>
      </c>
    </row>
    <row r="37" hidden="1" outlineLevel="3" ht="12" customHeight="1">
      <c r="A37" t="inlineStr">
        <is>
          <t xml:space="preserve">      CONTINUUM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inlineStr">
        <is>
          <t>-&gt;</t>
        </is>
      </c>
    </row>
    <row r="38" hidden="1" outlineLevel="3" ht="12" customHeight="1">
      <c r="A38" t="inlineStr">
        <is>
          <t xml:space="preserve">      DELAWARE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3" ht="12" customHeight="1">
      <c r="A39" t="inlineStr">
        <is>
          <t xml:space="preserve">      HUSHED</t>
        </is>
      </c>
      <c r="B39" s="4" t="n"/>
      <c r="C39" s="4" t="n"/>
      <c r="D39" s="4">
        <f>SUMIFS('g-expenses-inc'!$K:$K,'g-expenses-inc'!$A:$A,D$1,'g-expenses-inc'!$D:$D,"administration",'g-expenses-inc'!$E:$E,TRIM($A39))</f>
        <v/>
      </c>
      <c r="E39" s="4">
        <f>SUMIFS('g-expenses-inc'!$K:$K,'g-expenses-inc'!$A:$A,E$1,'g-expenses-inc'!$D:$D,"administration",'g-expenses-inc'!$E:$E,TRIM($A39))</f>
        <v/>
      </c>
      <c r="F39" s="4">
        <f>SUMIFS('g-expenses-inc'!$K:$K,'g-expenses-inc'!$A:$A,F$1,'g-expenses-inc'!$D:$D,"administration",'g-expenses-inc'!$E:$E,TRIM($A39))</f>
        <v/>
      </c>
      <c r="G39" s="4">
        <f>SUMIFS('g-expenses-inc'!$K:$K,'g-expenses-inc'!$A:$A,G$1,'g-expenses-inc'!$D:$D,"administration",'g-expenses-inc'!$E:$E,TRIM($A39))</f>
        <v/>
      </c>
      <c r="H39" s="4">
        <f>SUMIFS('g-expenses-inc'!$K:$K,'g-expenses-inc'!$A:$A,H$1,'g-expenses-inc'!$D:$D,"administration",'g-expenses-inc'!$E:$E,TRIM($A39))</f>
        <v/>
      </c>
      <c r="I39" s="4">
        <f>SUMIFS('g-expenses-inc'!$K:$K,'g-expenses-inc'!$A:$A,I$1,'g-expenses-inc'!$D:$D,"administration",'g-expenses-inc'!$E:$E,TRIM($A39))</f>
        <v/>
      </c>
      <c r="J39" s="4">
        <f>SUMIFS('g-expenses-inc'!$K:$K,'g-expenses-inc'!$A:$A,J$1,'g-expenses-inc'!$D:$D,"administration",'g-expenses-inc'!$E:$E,TRIM($A39))</f>
        <v/>
      </c>
      <c r="K39" s="4">
        <f>SUMIFS('g-expenses-inc'!$K:$K,'g-expenses-inc'!$A:$A,K$1,'g-expenses-inc'!$D:$D,"administration",'g-expenses-inc'!$E:$E,TRIM($A39))</f>
        <v/>
      </c>
      <c r="L39" s="4">
        <f>SUMIFS('g-expenses-inc'!$K:$K,'g-expenses-inc'!$A:$A,L$1,'g-expenses-inc'!$D:$D,"administration",'g-expenses-inc'!$E:$E,TRIM($A39))</f>
        <v/>
      </c>
      <c r="M39" s="4">
        <f>SUMIFS('g-expenses-inc'!$K:$K,'g-expenses-inc'!$A:$A,M$1,'g-expenses-inc'!$D:$D,"administration",'g-expenses-inc'!$E:$E,TRIM($A39))</f>
        <v/>
      </c>
      <c r="N39" s="4">
        <f>SUMIFS('g-expenses-inc'!$K:$K,'g-expenses-inc'!$A:$A,N$1,'g-expenses-inc'!$D:$D,"administration",'g-expenses-inc'!$E:$E,TRIM($A39))</f>
        <v/>
      </c>
      <c r="O39" s="4">
        <f>SUMIFS('g-expenses-inc'!$K:$K,'g-expenses-inc'!$A:$A,O$1,'g-expenses-inc'!$D:$D,"administration",'g-expenses-inc'!$E:$E,TRIM($A39))</f>
        <v/>
      </c>
      <c r="P39" s="4">
        <f>SUM(D39:O39)</f>
        <v/>
      </c>
      <c r="Q39" s="4" t="n"/>
    </row>
    <row r="40" hidden="1" outlineLevel="3" ht="12" customHeight="1">
      <c r="A40" t="inlineStr">
        <is>
          <t xml:space="preserve">      IPOSTAL</t>
        </is>
      </c>
      <c r="B40" s="4" t="n"/>
      <c r="C40" s="4" t="n"/>
      <c r="D40" s="4">
        <f>SUMIFS('g-expenses-inc'!$K:$K,'g-expenses-inc'!$A:$A,D$1,'g-expenses-inc'!$D:$D,"administration",'g-expenses-inc'!$E:$E,TRIM($A40))</f>
        <v/>
      </c>
      <c r="E40" s="4">
        <f>SUMIFS('g-expenses-inc'!$K:$K,'g-expenses-inc'!$A:$A,E$1,'g-expenses-inc'!$D:$D,"administration",'g-expenses-inc'!$E:$E,TRIM($A40))</f>
        <v/>
      </c>
      <c r="F40" s="4">
        <f>SUMIFS('g-expenses-inc'!$K:$K,'g-expenses-inc'!$A:$A,F$1,'g-expenses-inc'!$D:$D,"administration",'g-expenses-inc'!$E:$E,TRIM($A40))</f>
        <v/>
      </c>
      <c r="G40" s="4">
        <f>SUMIFS('g-expenses-inc'!$K:$K,'g-expenses-inc'!$A:$A,G$1,'g-expenses-inc'!$D:$D,"administration",'g-expenses-inc'!$E:$E,TRIM($A40))</f>
        <v/>
      </c>
      <c r="H40" s="4">
        <f>SUMIFS('g-expenses-inc'!$K:$K,'g-expenses-inc'!$A:$A,H$1,'g-expenses-inc'!$D:$D,"administration",'g-expenses-inc'!$E:$E,TRIM($A40))</f>
        <v/>
      </c>
      <c r="I40" s="4">
        <f>SUMIFS('g-expenses-inc'!$K:$K,'g-expenses-inc'!$A:$A,I$1,'g-expenses-inc'!$D:$D,"administration",'g-expenses-inc'!$E:$E,TRIM($A40))</f>
        <v/>
      </c>
      <c r="J40" s="4">
        <f>SUMIFS('g-expenses-inc'!$K:$K,'g-expenses-inc'!$A:$A,J$1,'g-expenses-inc'!$D:$D,"administration",'g-expenses-inc'!$E:$E,TRIM($A40))</f>
        <v/>
      </c>
      <c r="K40" s="4">
        <f>SUMIFS('g-expenses-inc'!$K:$K,'g-expenses-inc'!$A:$A,K$1,'g-expenses-inc'!$D:$D,"administration",'g-expenses-inc'!$E:$E,TRIM($A40))</f>
        <v/>
      </c>
      <c r="L40" s="4">
        <f>SUMIFS('g-expenses-inc'!$K:$K,'g-expenses-inc'!$A:$A,L$1,'g-expenses-inc'!$D:$D,"administration",'g-expenses-inc'!$E:$E,TRIM($A40))</f>
        <v/>
      </c>
      <c r="M40" s="4">
        <f>SUMIFS('g-expenses-inc'!$K:$K,'g-expenses-inc'!$A:$A,M$1,'g-expenses-inc'!$D:$D,"administration",'g-expenses-inc'!$E:$E,TRIM($A40))</f>
        <v/>
      </c>
      <c r="N40" s="4">
        <f>SUMIFS('g-expenses-inc'!$K:$K,'g-expenses-inc'!$A:$A,N$1,'g-expenses-inc'!$D:$D,"administration",'g-expenses-inc'!$E:$E,TRIM($A40))</f>
        <v/>
      </c>
      <c r="O40" s="4">
        <f>SUMIFS('g-expenses-inc'!$K:$K,'g-expenses-inc'!$A:$A,O$1,'g-expenses-inc'!$D:$D,"administration",'g-expenses-inc'!$E:$E,TRIM($A40))</f>
        <v/>
      </c>
      <c r="P40" s="4">
        <f>SUM(D40:O40)</f>
        <v/>
      </c>
      <c r="Q40" s="4" t="n"/>
    </row>
    <row r="41" hidden="1" outlineLevel="3" ht="12" customHeight="1">
      <c r="A41" t="inlineStr">
        <is>
          <t xml:space="preserve">      QUICKBOOKS</t>
        </is>
      </c>
      <c r="B41" s="4" t="n"/>
      <c r="C41" s="4" t="n"/>
      <c r="D41" s="4">
        <f>SUMIFS('g-expenses-inc'!$K:$K,'g-expenses-inc'!$A:$A,D$1,'g-expenses-inc'!$D:$D,"administration",'g-expenses-inc'!$E:$E,TRIM($A41))</f>
        <v/>
      </c>
      <c r="E41" s="4">
        <f>SUMIFS('g-expenses-inc'!$K:$K,'g-expenses-inc'!$A:$A,E$1,'g-expenses-inc'!$D:$D,"administration",'g-expenses-inc'!$E:$E,TRIM($A41))</f>
        <v/>
      </c>
      <c r="F41" s="4">
        <f>SUMIFS('g-expenses-inc'!$K:$K,'g-expenses-inc'!$A:$A,F$1,'g-expenses-inc'!$D:$D,"administration",'g-expenses-inc'!$E:$E,TRIM($A41))</f>
        <v/>
      </c>
      <c r="G41" s="4">
        <f>SUMIFS('g-expenses-inc'!$K:$K,'g-expenses-inc'!$A:$A,G$1,'g-expenses-inc'!$D:$D,"administration",'g-expenses-inc'!$E:$E,TRIM($A41))</f>
        <v/>
      </c>
      <c r="H41" s="4">
        <f>SUMIFS('g-expenses-inc'!$K:$K,'g-expenses-inc'!$A:$A,H$1,'g-expenses-inc'!$D:$D,"administration",'g-expenses-inc'!$E:$E,TRIM($A41))</f>
        <v/>
      </c>
      <c r="I41" s="4">
        <f>SUMIFS('g-expenses-inc'!$K:$K,'g-expenses-inc'!$A:$A,I$1,'g-expenses-inc'!$D:$D,"administration",'g-expenses-inc'!$E:$E,TRIM($A41))</f>
        <v/>
      </c>
      <c r="J41" s="4">
        <f>SUMIFS('g-expenses-inc'!$K:$K,'g-expenses-inc'!$A:$A,J$1,'g-expenses-inc'!$D:$D,"administration",'g-expenses-inc'!$E:$E,TRIM($A41))</f>
        <v/>
      </c>
      <c r="K41" s="4">
        <f>SUMIFS('g-expenses-inc'!$K:$K,'g-expenses-inc'!$A:$A,K$1,'g-expenses-inc'!$D:$D,"administration",'g-expenses-inc'!$E:$E,TRIM($A41))</f>
        <v/>
      </c>
      <c r="L41" s="4">
        <f>SUMIFS('g-expenses-inc'!$K:$K,'g-expenses-inc'!$A:$A,L$1,'g-expenses-inc'!$D:$D,"administration",'g-expenses-inc'!$E:$E,TRIM($A41))</f>
        <v/>
      </c>
      <c r="M41" s="4">
        <f>SUMIFS('g-expenses-inc'!$K:$K,'g-expenses-inc'!$A:$A,M$1,'g-expenses-inc'!$D:$D,"administration",'g-expenses-inc'!$E:$E,TRIM($A41))</f>
        <v/>
      </c>
      <c r="N41" s="4">
        <f>SUMIFS('g-expenses-inc'!$K:$K,'g-expenses-inc'!$A:$A,N$1,'g-expenses-inc'!$D:$D,"administration",'g-expenses-inc'!$E:$E,TRIM($A41))</f>
        <v/>
      </c>
      <c r="O41" s="4">
        <f>SUMIFS('g-expenses-inc'!$K:$K,'g-expenses-inc'!$A:$A,O$1,'g-expenses-inc'!$D:$D,"administration",'g-expenses-inc'!$E:$E,TRIM($A41))</f>
        <v/>
      </c>
      <c r="P41" s="4">
        <f>SUM(D41:O41)</f>
        <v/>
      </c>
      <c r="Q41" s="4" t="n"/>
    </row>
    <row r="42" hidden="1" outlineLevel="3" ht="12" customHeight="1">
      <c r="A42" t="inlineStr">
        <is>
          <t xml:space="preserve">      REGUS</t>
        </is>
      </c>
      <c r="B42" s="4" t="n"/>
      <c r="C42" s="4" t="n"/>
      <c r="D42" s="4">
        <f>SUMIFS('g-expenses-inc'!$K:$K,'g-expenses-inc'!$A:$A,D$1,'g-expenses-inc'!$D:$D,"administration",'g-expenses-inc'!$E:$E,TRIM($A42))</f>
        <v/>
      </c>
      <c r="E42" s="4">
        <f>SUMIFS('g-expenses-inc'!$K:$K,'g-expenses-inc'!$A:$A,E$1,'g-expenses-inc'!$D:$D,"administration",'g-expenses-inc'!$E:$E,TRIM($A42))</f>
        <v/>
      </c>
      <c r="F42" s="4">
        <f>SUMIFS('g-expenses-inc'!$K:$K,'g-expenses-inc'!$A:$A,F$1,'g-expenses-inc'!$D:$D,"administration",'g-expenses-inc'!$E:$E,TRIM($A42))</f>
        <v/>
      </c>
      <c r="G42" s="4">
        <f>SUMIFS('g-expenses-inc'!$K:$K,'g-expenses-inc'!$A:$A,G$1,'g-expenses-inc'!$D:$D,"administration",'g-expenses-inc'!$E:$E,TRIM($A42))</f>
        <v/>
      </c>
      <c r="H42" s="4">
        <f>SUMIFS('g-expenses-inc'!$K:$K,'g-expenses-inc'!$A:$A,H$1,'g-expenses-inc'!$D:$D,"administration",'g-expenses-inc'!$E:$E,TRIM($A42))</f>
        <v/>
      </c>
      <c r="I42" s="4">
        <f>SUMIFS('g-expenses-inc'!$K:$K,'g-expenses-inc'!$A:$A,I$1,'g-expenses-inc'!$D:$D,"administration",'g-expenses-inc'!$E:$E,TRIM($A42))</f>
        <v/>
      </c>
      <c r="J42" s="4">
        <f>SUMIFS('g-expenses-inc'!$K:$K,'g-expenses-inc'!$A:$A,J$1,'g-expenses-inc'!$D:$D,"administration",'g-expenses-inc'!$E:$E,TRIM($A42))</f>
        <v/>
      </c>
      <c r="K42" s="4">
        <f>SUMIFS('g-expenses-inc'!$K:$K,'g-expenses-inc'!$A:$A,K$1,'g-expenses-inc'!$D:$D,"administration",'g-expenses-inc'!$E:$E,TRIM($A42))</f>
        <v/>
      </c>
      <c r="L42" s="4">
        <f>SUMIFS('g-expenses-inc'!$K:$K,'g-expenses-inc'!$A:$A,L$1,'g-expenses-inc'!$D:$D,"administration",'g-expenses-inc'!$E:$E,TRIM($A42))</f>
        <v/>
      </c>
      <c r="M42" s="4">
        <f>SUMIFS('g-expenses-inc'!$K:$K,'g-expenses-inc'!$A:$A,M$1,'g-expenses-inc'!$D:$D,"administration",'g-expenses-inc'!$E:$E,TRIM($A42))</f>
        <v/>
      </c>
      <c r="N42" s="4">
        <f>SUMIFS('g-expenses-inc'!$K:$K,'g-expenses-inc'!$A:$A,N$1,'g-expenses-inc'!$D:$D,"administration",'g-expenses-inc'!$E:$E,TRIM($A42))</f>
        <v/>
      </c>
      <c r="O42" s="4">
        <f>SUMIFS('g-expenses-inc'!$K:$K,'g-expenses-inc'!$A:$A,O$1,'g-expenses-inc'!$D:$D,"administration",'g-expenses-inc'!$E:$E,TRIM($A42))</f>
        <v/>
      </c>
      <c r="P42" s="4">
        <f>SUM(D42:O42)</f>
        <v/>
      </c>
      <c r="Q42" s="4" t="n"/>
    </row>
    <row r="43" hidden="1" outlineLevel="2" ht="12" customHeight="1">
      <c r="A43" s="9" t="inlineStr">
        <is>
          <t xml:space="preserve">    Technology</t>
        </is>
      </c>
      <c r="B43" s="10" t="n"/>
      <c r="C43" s="10" t="n"/>
      <c r="D43" s="10">
        <f>SUM(D44:D44)</f>
        <v/>
      </c>
      <c r="E43" s="10">
        <f>SUM(E44:E44)</f>
        <v/>
      </c>
      <c r="F43" s="10">
        <f>SUM(F44:F44)</f>
        <v/>
      </c>
      <c r="G43" s="10">
        <f>SUM(G44:G44)</f>
        <v/>
      </c>
      <c r="H43" s="10">
        <f>SUM(H44:H44)</f>
        <v/>
      </c>
      <c r="I43" s="10">
        <f>SUM(I44:I44)</f>
        <v/>
      </c>
      <c r="J43" s="10">
        <f>SUM(J44:J44)</f>
        <v/>
      </c>
      <c r="K43" s="10">
        <f>SUM(K44:K44)</f>
        <v/>
      </c>
      <c r="L43" s="10">
        <f>SUM(L44:L44)</f>
        <v/>
      </c>
      <c r="M43" s="10">
        <f>SUM(M44:M44)</f>
        <v/>
      </c>
      <c r="N43" s="10">
        <f>SUM(N44:N44)</f>
        <v/>
      </c>
      <c r="O43" s="10">
        <f>SUM(O44:O44)</f>
        <v/>
      </c>
      <c r="P43" s="10">
        <f>SUM(D43:O43)</f>
        <v/>
      </c>
      <c r="Q43" s="10" t="inlineStr">
        <is>
          <t>-&gt;</t>
        </is>
      </c>
    </row>
    <row r="44" hidden="1" outlineLevel="3" ht="12" customHeight="1">
      <c r="A44" t="inlineStr">
        <is>
          <t xml:space="preserve">      REVER</t>
        </is>
      </c>
      <c r="B44" s="4" t="n"/>
      <c r="C44" s="4" t="n"/>
      <c r="D44" s="4">
        <f>SUMIFS('g-expenses-inc'!$K:$K,'g-expenses-inc'!$A:$A,D$1,'g-expenses-inc'!$D:$D,"technology",'g-expenses-inc'!$E:$E,TRIM($A44))</f>
        <v/>
      </c>
      <c r="E44" s="4">
        <f>SUMIFS('g-expenses-inc'!$K:$K,'g-expenses-inc'!$A:$A,E$1,'g-expenses-inc'!$D:$D,"technology",'g-expenses-inc'!$E:$E,TRIM($A44))</f>
        <v/>
      </c>
      <c r="F44" s="4">
        <f>SUMIFS('g-expenses-inc'!$K:$K,'g-expenses-inc'!$A:$A,F$1,'g-expenses-inc'!$D:$D,"technology",'g-expenses-inc'!$E:$E,TRIM($A44))</f>
        <v/>
      </c>
      <c r="G44" s="4">
        <f>SUMIFS('g-expenses-inc'!$K:$K,'g-expenses-inc'!$A:$A,G$1,'g-expenses-inc'!$D:$D,"technology",'g-expenses-inc'!$E:$E,TRIM($A44))</f>
        <v/>
      </c>
      <c r="H44" s="4">
        <f>SUMIFS('g-expenses-inc'!$K:$K,'g-expenses-inc'!$A:$A,H$1,'g-expenses-inc'!$D:$D,"technology",'g-expenses-inc'!$E:$E,TRIM($A44))</f>
        <v/>
      </c>
      <c r="I44" s="4">
        <f>SUMIFS('g-expenses-inc'!$K:$K,'g-expenses-inc'!$A:$A,I$1,'g-expenses-inc'!$D:$D,"technology",'g-expenses-inc'!$E:$E,TRIM($A44))</f>
        <v/>
      </c>
      <c r="J44" s="4">
        <f>SUMIFS('g-expenses-inc'!$K:$K,'g-expenses-inc'!$A:$A,J$1,'g-expenses-inc'!$D:$D,"technology",'g-expenses-inc'!$E:$E,TRIM($A44))</f>
        <v/>
      </c>
      <c r="K44" s="4">
        <f>SUMIFS('g-expenses-inc'!$K:$K,'g-expenses-inc'!$A:$A,K$1,'g-expenses-inc'!$D:$D,"technology",'g-expenses-inc'!$E:$E,TRIM($A44))</f>
        <v/>
      </c>
      <c r="L44" s="4">
        <f>SUMIFS('g-expenses-inc'!$K:$K,'g-expenses-inc'!$A:$A,L$1,'g-expenses-inc'!$D:$D,"technology",'g-expenses-inc'!$E:$E,TRIM($A44))</f>
        <v/>
      </c>
      <c r="M44" s="4">
        <f>SUMIFS('g-expenses-inc'!$K:$K,'g-expenses-inc'!$A:$A,M$1,'g-expenses-inc'!$D:$D,"technology",'g-expenses-inc'!$E:$E,TRIM($A44))</f>
        <v/>
      </c>
      <c r="N44" s="4">
        <f>SUMIFS('g-expenses-inc'!$K:$K,'g-expenses-inc'!$A:$A,N$1,'g-expenses-inc'!$D:$D,"technology",'g-expenses-inc'!$E:$E,TRIM($A44))</f>
        <v/>
      </c>
      <c r="O44" s="4">
        <f>SUMIFS('g-expenses-inc'!$K:$K,'g-expenses-inc'!$A:$A,O$1,'g-expenses-inc'!$D:$D,"technology",'g-expenses-inc'!$E:$E,TRIM($A44))</f>
        <v/>
      </c>
      <c r="P44" s="4">
        <f>SUM(D44:O44)</f>
        <v/>
      </c>
      <c r="Q44" s="4" t="inlineStr">
        <is>
          <t>-&gt;</t>
        </is>
      </c>
    </row>
    <row r="45" hidden="1" outlineLevel="2" ht="12" customHeight="1">
      <c r="A45" s="9" t="inlineStr">
        <is>
          <t xml:space="preserve">    Uncategorized Expenses</t>
        </is>
      </c>
      <c r="B45" s="10" t="n"/>
      <c r="C45" s="10" t="n"/>
      <c r="D45" s="10">
        <f>SUMIFS('g-expenses-inc'!$K:$K,'g-expenses-inc'!$A:$A,D$1,'g-expenses-inc'!$D:$D,"otros_gastos")</f>
        <v/>
      </c>
      <c r="E45" s="10">
        <f>SUMIFS('g-expenses-inc'!$K:$K,'g-expenses-inc'!$A:$A,E$1,'g-expenses-inc'!$D:$D,"otros_gastos")</f>
        <v/>
      </c>
      <c r="F45" s="10">
        <f>SUMIFS('g-expenses-inc'!$K:$K,'g-expenses-inc'!$A:$A,F$1,'g-expenses-inc'!$D:$D,"otros_gastos")</f>
        <v/>
      </c>
      <c r="G45" s="10">
        <f>SUMIFS('g-expenses-inc'!$K:$K,'g-expenses-inc'!$A:$A,G$1,'g-expenses-inc'!$D:$D,"otros_gastos")</f>
        <v/>
      </c>
      <c r="H45" s="10">
        <f>SUMIFS('g-expenses-inc'!$K:$K,'g-expenses-inc'!$A:$A,H$1,'g-expenses-inc'!$D:$D,"otros_gastos")</f>
        <v/>
      </c>
      <c r="I45" s="10">
        <f>SUMIFS('g-expenses-inc'!$K:$K,'g-expenses-inc'!$A:$A,I$1,'g-expenses-inc'!$D:$D,"otros_gastos")</f>
        <v/>
      </c>
      <c r="J45" s="10">
        <f>SUMIFS('g-expenses-inc'!$K:$K,'g-expenses-inc'!$A:$A,J$1,'g-expenses-inc'!$D:$D,"otros_gastos")</f>
        <v/>
      </c>
      <c r="K45" s="10">
        <f>SUMIFS('g-expenses-inc'!$K:$K,'g-expenses-inc'!$A:$A,K$1,'g-expenses-inc'!$D:$D,"otros_gastos")</f>
        <v/>
      </c>
      <c r="L45" s="10">
        <f>SUMIFS('g-expenses-inc'!$K:$K,'g-expenses-inc'!$A:$A,L$1,'g-expenses-inc'!$D:$D,"otros_gastos")</f>
        <v/>
      </c>
      <c r="M45" s="10">
        <f>SUMIFS('g-expenses-inc'!$K:$K,'g-expenses-inc'!$A:$A,M$1,'g-expenses-inc'!$D:$D,"otros_gastos")</f>
        <v/>
      </c>
      <c r="N45" s="10">
        <f>SUMIFS('g-expenses-inc'!$K:$K,'g-expenses-inc'!$A:$A,N$1,'g-expenses-inc'!$D:$D,"otros_gastos")</f>
        <v/>
      </c>
      <c r="O45" s="10">
        <f>SUMIFS('g-expenses-inc'!$K:$K,'g-expenses-inc'!$A:$A,O$1,'g-expenses-inc'!$D:$D,"otros_gastos")</f>
        <v/>
      </c>
      <c r="P45" s="10">
        <f>SUM(D45:O45)</f>
        <v/>
      </c>
      <c r="Q45" s="10" t="inlineStr">
        <is>
          <t>-&gt;</t>
        </is>
      </c>
    </row>
    <row r="46" hidden="1" outlineLevel="2" ht="12" customHeight="1">
      <c r="A46" s="9" t="inlineStr">
        <is>
          <t xml:space="preserve">  Currency Adjustment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>
        <f>SUM(D46:O46)</f>
        <v/>
      </c>
      <c r="Q46" s="10" t="n"/>
    </row>
    <row r="47" ht="12" customHeight="1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 ht="12" customHeight="1">
      <c r="A48" s="15" t="inlineStr">
        <is>
          <t>PROFIT</t>
        </is>
      </c>
      <c r="B48" s="16" t="n"/>
      <c r="C48" s="16" t="n"/>
      <c r="D48" s="16">
        <f>D4-D13-D33-D46</f>
        <v/>
      </c>
      <c r="E48" s="16">
        <f>E4-E13-E33-E46</f>
        <v/>
      </c>
      <c r="F48" s="16">
        <f>F4-F13-F33-F46</f>
        <v/>
      </c>
      <c r="G48" s="16">
        <f>G4-G13-G33-G46</f>
        <v/>
      </c>
      <c r="H48" s="16">
        <f>H4-H13-H33-H46</f>
        <v/>
      </c>
      <c r="I48" s="16">
        <f>I4-I13-I33-I46</f>
        <v/>
      </c>
      <c r="J48" s="16">
        <f>J4-J13-J33-J46</f>
        <v/>
      </c>
      <c r="K48" s="16">
        <f>K4-K13-K33-K46</f>
        <v/>
      </c>
      <c r="L48" s="16">
        <f>L4-L13-L33-L46</f>
        <v/>
      </c>
      <c r="M48" s="16">
        <f>M4-M13-M33-M46</f>
        <v/>
      </c>
      <c r="N48" s="16">
        <f>N4-N13-N33-N46</f>
        <v/>
      </c>
      <c r="O48" s="16">
        <f>O4-O13-O33-O46</f>
        <v/>
      </c>
      <c r="P48" s="16">
        <f>SUM(D48:O48)</f>
        <v/>
      </c>
      <c r="Q48" s="16" t="n"/>
    </row>
    <row r="49" hidden="1" outlineLevel="1" ht="12" customHeight="1">
      <c r="A49" s="3" t="inlineStr">
        <is>
          <t>% profit / product sales</t>
        </is>
      </c>
      <c r="B49" s="13" t="n"/>
      <c r="C49" s="13" t="n"/>
      <c r="D49" s="13">
        <f>IFERROR(D48/D5,0)</f>
        <v/>
      </c>
      <c r="E49" s="13">
        <f>IFERROR(E48/E5,0)</f>
        <v/>
      </c>
      <c r="F49" s="13">
        <f>IFERROR(F48/F5,0)</f>
        <v/>
      </c>
      <c r="G49" s="13">
        <f>IFERROR(G48/G5,0)</f>
        <v/>
      </c>
      <c r="H49" s="13">
        <f>IFERROR(H48/H5,0)</f>
        <v/>
      </c>
      <c r="I49" s="13">
        <f>IFERROR(I48/I5,0)</f>
        <v/>
      </c>
      <c r="J49" s="13">
        <f>IFERROR(J48/J5,0)</f>
        <v/>
      </c>
      <c r="K49" s="13">
        <f>IFERROR(K48/K5,0)</f>
        <v/>
      </c>
      <c r="L49" s="13">
        <f>IFERROR(L48/L5,0)</f>
        <v/>
      </c>
      <c r="M49" s="13">
        <f>IFERROR(M48/M5,0)</f>
        <v/>
      </c>
      <c r="N49" s="13">
        <f>IFERROR(N48/N5,0)</f>
        <v/>
      </c>
      <c r="O49" s="13">
        <f>IFERROR(O48/O5,0)</f>
        <v/>
      </c>
      <c r="P49" s="13">
        <f>IFERROR(P48/P5,0)</f>
        <v/>
      </c>
      <c r="Q49" s="13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</row>
    <row r="51">
      <c r="A51" s="17" t="inlineStr">
        <is>
          <t>Stock inicial marcos</t>
        </is>
      </c>
      <c r="B51" s="4" t="n"/>
      <c r="C51" s="4" t="n"/>
      <c r="D51" s="4" t="n">
        <v>15764.34</v>
      </c>
      <c r="E51" s="4" t="n">
        <v>13105.38</v>
      </c>
      <c r="F51" s="4" t="n">
        <v>11635.01</v>
      </c>
      <c r="G51" s="4" t="n">
        <v>10232.85</v>
      </c>
      <c r="H51" s="4" t="n">
        <v>9332.9</v>
      </c>
      <c r="I51" s="4" t="n">
        <v>8649.540000000001</v>
      </c>
      <c r="J51" s="4" t="n">
        <v>7981.96</v>
      </c>
      <c r="K51" s="4" t="n"/>
      <c r="L51" s="4" t="n"/>
      <c r="M51" s="4" t="n"/>
      <c r="N51" s="4" t="n"/>
      <c r="O51" s="4" t="n"/>
      <c r="P51" s="4">
        <f>SUM(D51:O51)</f>
        <v/>
      </c>
      <c r="Q51" s="4" t="n"/>
    </row>
    <row r="52">
      <c r="A52" s="17" t="inlineStr">
        <is>
          <t>Stock final marcos</t>
        </is>
      </c>
      <c r="B52" s="4" t="n"/>
      <c r="C52" s="4" t="n"/>
      <c r="D52" s="4" t="n">
        <v>13105.38</v>
      </c>
      <c r="E52" s="4" t="n">
        <v>11635.01</v>
      </c>
      <c r="F52" s="4" t="n">
        <v>10217.07</v>
      </c>
      <c r="G52" s="4" t="n">
        <v>9332.9</v>
      </c>
      <c r="H52" s="4" t="n">
        <v>8649.540000000001</v>
      </c>
      <c r="I52" s="4" t="n">
        <v>7965.46</v>
      </c>
      <c r="J52" s="4" t="n">
        <v>7547.92</v>
      </c>
      <c r="K52" s="4" t="n"/>
      <c r="L52" s="4" t="n"/>
      <c r="M52" s="4" t="n"/>
      <c r="N52" s="4" t="n"/>
      <c r="O52" s="4" t="n"/>
      <c r="P52" s="4">
        <f>SUM(D52:O52)</f>
        <v/>
      </c>
      <c r="Q52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4" location="'g-expenses-inc'!A1" display="-&gt;"/>
    <hyperlink ref="Q15" location="'g-expenses-inc'!A1" display="-&gt;"/>
    <hyperlink ref="Q19" location="'g-expenses-inc'!A1" display="-&gt;"/>
    <hyperlink ref="Q20" location="'g-expenses-inc'!A1" display="-&gt;"/>
    <hyperlink ref="Q22" location="'g-payment-fees-inc'!A1" display="-&gt;"/>
    <hyperlink ref="Q23" location="'g-payment-fees-inc'!A1" display="-&gt;"/>
    <hyperlink ref="Q34" location="'g-expenses-inc'!A1" display="-&gt;"/>
    <hyperlink ref="Q35" location="'g-expenses-inc'!A1" display="-&gt;"/>
    <hyperlink ref="Q36" location="'g-expenses-inc'!A1" display="-&gt;"/>
    <hyperlink ref="Q37" location="'g-expenses-inc'!A1" display="-&gt;"/>
    <hyperlink ref="Q43" location="'g-expenses-inc'!A1" display="-&gt;"/>
    <hyperlink ref="Q44" location="'g-expenses-inc'!A1" display="-&gt;"/>
    <hyperlink ref="Q45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key</t>
        </is>
      </c>
      <c r="B2" s="1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2026-07-31T07:48:06Z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line_item</t>
        </is>
      </c>
      <c r="D2" s="19" t="inlineStr">
        <is>
          <t>detail</t>
        </is>
      </c>
      <c r="E2" s="19" t="inlineStr">
        <is>
          <t>amount_original</t>
        </is>
      </c>
      <c r="F2" s="19" t="inlineStr">
        <is>
          <t>currency_original</t>
        </is>
      </c>
      <c r="G2" s="19" t="inlineStr">
        <is>
          <t>reporting_currency</t>
        </is>
      </c>
      <c r="H2" s="19" t="inlineStr">
        <is>
          <t>fx_rate</t>
        </is>
      </c>
      <c r="I2" s="19" t="inlineStr">
        <is>
          <t>amount_reporting</t>
        </is>
      </c>
      <c r="J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20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20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20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15937.61</v>
      </c>
      <c r="F6" t="inlineStr">
        <is>
          <t>USD</t>
        </is>
      </c>
      <c r="G6" t="inlineStr">
        <is>
          <t>USD</t>
        </is>
      </c>
      <c r="H6" s="20" t="n">
        <v>1</v>
      </c>
      <c r="I6" s="4" t="n">
        <v>15937.61</v>
      </c>
      <c r="J6" t="inlineStr">
        <is>
          <t>finance.ventas_pyg</t>
        </is>
      </c>
    </row>
    <row r="7" ht="12" customHeight="1">
      <c r="A7" t="inlineStr">
        <is>
          <t>202605</t>
        </is>
      </c>
      <c r="B7" t="inlineStr">
        <is>
          <t>INC</t>
        </is>
      </c>
      <c r="C7" t="inlineStr">
        <is>
          <t>US</t>
        </is>
      </c>
      <c r="D7" t="inlineStr">
        <is>
          <t>US</t>
        </is>
      </c>
      <c r="E7" s="4" t="n">
        <v>13016.46</v>
      </c>
      <c r="F7" t="inlineStr">
        <is>
          <t>USD</t>
        </is>
      </c>
      <c r="G7" t="inlineStr">
        <is>
          <t>USD</t>
        </is>
      </c>
      <c r="H7" s="20" t="n">
        <v>1</v>
      </c>
      <c r="I7" s="4" t="n">
        <v>13016.46</v>
      </c>
      <c r="J7" t="inlineStr">
        <is>
          <t>finance.ventas_pyg</t>
        </is>
      </c>
    </row>
    <row r="8" ht="12" customHeight="1">
      <c r="A8" t="inlineStr">
        <is>
          <t>202606</t>
        </is>
      </c>
      <c r="B8" t="inlineStr">
        <is>
          <t>INC</t>
        </is>
      </c>
      <c r="C8" t="inlineStr">
        <is>
          <t>US</t>
        </is>
      </c>
      <c r="D8" t="inlineStr">
        <is>
          <t>US</t>
        </is>
      </c>
      <c r="E8" s="4" t="n">
        <v>17088.84</v>
      </c>
      <c r="F8" t="inlineStr">
        <is>
          <t>USD</t>
        </is>
      </c>
      <c r="G8" t="inlineStr">
        <is>
          <t>USD</t>
        </is>
      </c>
      <c r="H8" s="20" t="n">
        <v>1</v>
      </c>
      <c r="I8" s="4" t="n">
        <v>17088.84</v>
      </c>
      <c r="J8" t="inlineStr">
        <is>
          <t>finance.ventas_pyg</t>
        </is>
      </c>
    </row>
    <row r="9" ht="12" customHeight="1">
      <c r="A9" t="inlineStr">
        <is>
          <t>202607</t>
        </is>
      </c>
      <c r="B9" t="inlineStr">
        <is>
          <t>INC</t>
        </is>
      </c>
      <c r="C9" t="inlineStr">
        <is>
          <t>US</t>
        </is>
      </c>
      <c r="D9" t="inlineStr">
        <is>
          <t>US</t>
        </is>
      </c>
      <c r="E9" s="4" t="n">
        <v>11552.85</v>
      </c>
      <c r="F9" t="inlineStr">
        <is>
          <t>USD</t>
        </is>
      </c>
      <c r="G9" t="inlineStr">
        <is>
          <t>USD</t>
        </is>
      </c>
      <c r="H9" s="20" t="n">
        <v>1</v>
      </c>
      <c r="I9" s="4" t="n">
        <v>11552.85</v>
      </c>
      <c r="J9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category</t>
        </is>
      </c>
      <c r="D2" s="19" t="inlineStr">
        <is>
          <t>subcategory</t>
        </is>
      </c>
      <c r="E2" s="19" t="inlineStr">
        <is>
          <t>supplier_code</t>
        </is>
      </c>
      <c r="F2" s="19" t="inlineStr">
        <is>
          <t>detail</t>
        </is>
      </c>
      <c r="G2" s="19" t="inlineStr">
        <is>
          <t>amount_original</t>
        </is>
      </c>
      <c r="H2" s="19" t="inlineStr">
        <is>
          <t>currency_original</t>
        </is>
      </c>
      <c r="I2" s="19" t="inlineStr">
        <is>
          <t>reporting_currency</t>
        </is>
      </c>
      <c r="J2" s="19" t="inlineStr">
        <is>
          <t>fx_rate</t>
        </is>
      </c>
      <c r="K2" s="19" t="inlineStr">
        <is>
          <t>amount_reporting</t>
        </is>
      </c>
      <c r="L2" s="19" t="inlineStr">
        <is>
          <t>source</t>
        </is>
      </c>
      <c r="M2" s="19" t="inlineStr">
        <is>
          <t>invoice_number</t>
        </is>
      </c>
      <c r="N2" s="1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20" t="n">
        <v>1</v>
      </c>
      <c r="K3" s="4" t="n">
        <v>1150</v>
      </c>
      <c r="L3" t="inlineStr">
        <is>
          <t>documents</t>
        </is>
      </c>
      <c r="M3" s="21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20" t="n">
        <v>1</v>
      </c>
      <c r="K4" s="4" t="n">
        <v>4.99</v>
      </c>
      <c r="L4" t="inlineStr">
        <is>
          <t>documents</t>
        </is>
      </c>
      <c r="M4" s="21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20" t="n">
        <v>1</v>
      </c>
      <c r="K5" s="4" t="n">
        <v>1.1</v>
      </c>
      <c r="L5" t="inlineStr">
        <is>
          <t>documents</t>
        </is>
      </c>
      <c r="M5" s="21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20" t="n">
        <v>1</v>
      </c>
      <c r="K6" s="4" t="n">
        <v>6.6</v>
      </c>
      <c r="L6" t="inlineStr">
        <is>
          <t>documents</t>
        </is>
      </c>
      <c r="M6" s="21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20" t="n">
        <v>1</v>
      </c>
      <c r="K7" s="4" t="n">
        <v>14.99</v>
      </c>
      <c r="L7" t="inlineStr">
        <is>
          <t>documents</t>
        </is>
      </c>
      <c r="M7" s="21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20" t="n">
        <v>1</v>
      </c>
      <c r="K8" s="4" t="n">
        <v>1.1</v>
      </c>
      <c r="L8" t="inlineStr">
        <is>
          <t>documents</t>
        </is>
      </c>
      <c r="M8" s="21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31.61</v>
      </c>
      <c r="H9" t="inlineStr">
        <is>
          <t>USD</t>
        </is>
      </c>
      <c r="I9" t="inlineStr">
        <is>
          <t>USD</t>
        </is>
      </c>
      <c r="J9" s="20" t="n">
        <v>1</v>
      </c>
      <c r="K9" s="4" t="n">
        <v>31.61</v>
      </c>
      <c r="L9" t="inlineStr">
        <is>
          <t>documents</t>
        </is>
      </c>
      <c r="M9" s="21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249.35</v>
      </c>
      <c r="H10" t="inlineStr">
        <is>
          <t>USD</t>
        </is>
      </c>
      <c r="I10" t="inlineStr">
        <is>
          <t>USD</t>
        </is>
      </c>
      <c r="J10" s="20" t="n">
        <v>1</v>
      </c>
      <c r="K10" s="4" t="n">
        <v>249.35</v>
      </c>
      <c r="L10" t="inlineStr">
        <is>
          <t>documents</t>
        </is>
      </c>
      <c r="M10" s="21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68.72</v>
      </c>
      <c r="H11" t="inlineStr">
        <is>
          <t>USD</t>
        </is>
      </c>
      <c r="I11" t="inlineStr">
        <is>
          <t>USD</t>
        </is>
      </c>
      <c r="J11" s="20" t="n">
        <v>1</v>
      </c>
      <c r="K11" s="4" t="n">
        <v>68.72</v>
      </c>
      <c r="L11" t="inlineStr">
        <is>
          <t>documents</t>
        </is>
      </c>
      <c r="M11" s="21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54.03</v>
      </c>
      <c r="H12" t="inlineStr">
        <is>
          <t>USD</t>
        </is>
      </c>
      <c r="I12" t="inlineStr">
        <is>
          <t>USD</t>
        </is>
      </c>
      <c r="J12" s="20" t="n">
        <v>1</v>
      </c>
      <c r="K12" s="4" t="n">
        <v>54.03</v>
      </c>
      <c r="L12" t="inlineStr">
        <is>
          <t>documents</t>
        </is>
      </c>
      <c r="M12" s="21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55.56</v>
      </c>
      <c r="H13" t="inlineStr">
        <is>
          <t>USD</t>
        </is>
      </c>
      <c r="I13" t="inlineStr">
        <is>
          <t>USD</t>
        </is>
      </c>
      <c r="J13" s="20" t="n">
        <v>1</v>
      </c>
      <c r="K13" s="4" t="n">
        <v>55.56</v>
      </c>
      <c r="L13" t="inlineStr">
        <is>
          <t>documents</t>
        </is>
      </c>
      <c r="M13" s="21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43.89</v>
      </c>
      <c r="H14" t="inlineStr">
        <is>
          <t>USD</t>
        </is>
      </c>
      <c r="I14" t="inlineStr">
        <is>
          <t>USD</t>
        </is>
      </c>
      <c r="J14" s="20" t="n">
        <v>1</v>
      </c>
      <c r="K14" s="4" t="n">
        <v>43.89</v>
      </c>
      <c r="L14" t="inlineStr">
        <is>
          <t>documents</t>
        </is>
      </c>
      <c r="M14" s="21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65.05</v>
      </c>
      <c r="H15" t="inlineStr">
        <is>
          <t>USD</t>
        </is>
      </c>
      <c r="I15" t="inlineStr">
        <is>
          <t>USD</t>
        </is>
      </c>
      <c r="J15" s="20" t="n">
        <v>1</v>
      </c>
      <c r="K15" s="4" t="n">
        <v>65.05</v>
      </c>
      <c r="L15" t="inlineStr">
        <is>
          <t>documents</t>
        </is>
      </c>
      <c r="M15" s="21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20" t="n">
        <v>1</v>
      </c>
      <c r="K16" s="4" t="n">
        <v>121.9</v>
      </c>
      <c r="L16" t="inlineStr">
        <is>
          <t>documents</t>
        </is>
      </c>
      <c r="M16" s="21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20" t="n">
        <v>1</v>
      </c>
      <c r="K17" s="4" t="n">
        <v>31.8</v>
      </c>
      <c r="L17" t="inlineStr">
        <is>
          <t>documents</t>
        </is>
      </c>
      <c r="M17" s="21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20" t="n">
        <v>1.1919</v>
      </c>
      <c r="K18" s="4" t="n">
        <v>8741.92</v>
      </c>
      <c r="L18" t="inlineStr">
        <is>
          <t>documents</t>
        </is>
      </c>
      <c r="M18" s="21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20" t="n">
        <v>1</v>
      </c>
      <c r="K19" s="4" t="n">
        <v>1562.55</v>
      </c>
      <c r="L19" t="inlineStr">
        <is>
          <t>documents</t>
        </is>
      </c>
      <c r="M19" s="21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20" t="n">
        <v>1</v>
      </c>
      <c r="K20" s="4" t="n">
        <v>2888.86</v>
      </c>
      <c r="L20" t="inlineStr">
        <is>
          <t>documents</t>
        </is>
      </c>
      <c r="M20" s="21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20" t="n">
        <v>1</v>
      </c>
      <c r="K21" s="4" t="n">
        <v>1150</v>
      </c>
      <c r="L21" t="inlineStr">
        <is>
          <t>documents</t>
        </is>
      </c>
      <c r="M21" s="21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20" t="n">
        <v>1</v>
      </c>
      <c r="K22" s="4" t="n">
        <v>4.99</v>
      </c>
      <c r="L22" t="inlineStr">
        <is>
          <t>documents</t>
        </is>
      </c>
      <c r="M22" s="21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20" t="n">
        <v>1</v>
      </c>
      <c r="K23" s="4" t="n">
        <v>1.1</v>
      </c>
      <c r="L23" t="inlineStr">
        <is>
          <t>documents</t>
        </is>
      </c>
      <c r="M23" s="21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20" t="n">
        <v>1</v>
      </c>
      <c r="K24" s="4" t="n">
        <v>3.3</v>
      </c>
      <c r="L24" t="inlineStr">
        <is>
          <t>documents</t>
        </is>
      </c>
      <c r="M24" s="21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20" t="n">
        <v>1</v>
      </c>
      <c r="K25" s="4" t="n">
        <v>3.3</v>
      </c>
      <c r="L25" t="inlineStr">
        <is>
          <t>documents</t>
        </is>
      </c>
      <c r="M25" s="21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52</v>
      </c>
      <c r="H26" t="inlineStr">
        <is>
          <t>USD</t>
        </is>
      </c>
      <c r="I26" t="inlineStr">
        <is>
          <t>USD</t>
        </is>
      </c>
      <c r="J26" s="20" t="n">
        <v>1</v>
      </c>
      <c r="K26" s="4" t="n">
        <v>52</v>
      </c>
      <c r="L26" t="inlineStr">
        <is>
          <t>documents</t>
        </is>
      </c>
      <c r="M26" s="21" t="inlineStr">
        <is>
          <t>AS-97102</t>
        </is>
      </c>
      <c r="N26" t="inlineStr">
        <is>
          <t>https://drive.google.com/file/d/17yz-OjOD_OiscKegCKHsuLS2iph8Iq2Z/view?usp=drivesdk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JONDO</t>
        </is>
      </c>
      <c r="F27" t="inlineStr">
        <is>
          <t>manufacturing</t>
        </is>
      </c>
      <c r="G27" s="4" t="n">
        <v>41.82</v>
      </c>
      <c r="H27" t="inlineStr">
        <is>
          <t>USD</t>
        </is>
      </c>
      <c r="I27" t="inlineStr">
        <is>
          <t>USD</t>
        </is>
      </c>
      <c r="J27" s="20" t="n">
        <v>1</v>
      </c>
      <c r="K27" s="4" t="n">
        <v>41.82</v>
      </c>
      <c r="L27" t="inlineStr">
        <is>
          <t>documents</t>
        </is>
      </c>
      <c r="M27" s="21" t="inlineStr">
        <is>
          <t>AS-97313</t>
        </is>
      </c>
      <c r="N27" t="inlineStr">
        <is>
          <t>https://drive.google.com/file/d/1jDsCgTUxIQfP-43lMMhxyWNGIfFcyKi1/view?usp=drivesdk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104.54</v>
      </c>
      <c r="H28" t="inlineStr">
        <is>
          <t>USD</t>
        </is>
      </c>
      <c r="I28" t="inlineStr">
        <is>
          <t>USD</t>
        </is>
      </c>
      <c r="J28" s="20" t="n">
        <v>1</v>
      </c>
      <c r="K28" s="4" t="n">
        <v>104.54</v>
      </c>
      <c r="L28" t="inlineStr">
        <is>
          <t>documents</t>
        </is>
      </c>
      <c r="M28" s="21" t="inlineStr">
        <is>
          <t>AS-97766</t>
        </is>
      </c>
      <c r="N28" t="inlineStr">
        <is>
          <t>https://drive.google.com/file/d/1cRmaF6PcrmnIb2R1odSy7Vfe9PCmm33F/view?usp=drivesdk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82.73</v>
      </c>
      <c r="H29" t="inlineStr">
        <is>
          <t>USD</t>
        </is>
      </c>
      <c r="I29" t="inlineStr">
        <is>
          <t>USD</t>
        </is>
      </c>
      <c r="J29" s="20" t="n">
        <v>1</v>
      </c>
      <c r="K29" s="4" t="n">
        <v>82.73</v>
      </c>
      <c r="L29" t="inlineStr">
        <is>
          <t>documents</t>
        </is>
      </c>
      <c r="M29" s="21" t="inlineStr">
        <is>
          <t>AS-97929</t>
        </is>
      </c>
      <c r="N29" t="inlineStr">
        <is>
          <t>https://drive.google.com/file/d/1XSd6qUVZmmUut5jXHAu0boyCzx24IyXY/view?usp=drivesdk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49.06</v>
      </c>
      <c r="H30" t="inlineStr">
        <is>
          <t>USD</t>
        </is>
      </c>
      <c r="I30" t="inlineStr">
        <is>
          <t>USD</t>
        </is>
      </c>
      <c r="J30" s="20" t="n">
        <v>1</v>
      </c>
      <c r="K30" s="4" t="n">
        <v>49.06</v>
      </c>
      <c r="L30" t="inlineStr">
        <is>
          <t>documents</t>
        </is>
      </c>
      <c r="M30" s="21" t="inlineStr">
        <is>
          <t>AS-98182</t>
        </is>
      </c>
      <c r="N30" t="inlineStr">
        <is>
          <t>https://drive.google.com/file/d/18-431Zp6DTVo2m9HUh3SMuz2qyBKoLem/view?usp=drivesdk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44.48</v>
      </c>
      <c r="H31" t="inlineStr">
        <is>
          <t>USD</t>
        </is>
      </c>
      <c r="I31" t="inlineStr">
        <is>
          <t>USD</t>
        </is>
      </c>
      <c r="J31" s="20" t="n">
        <v>1</v>
      </c>
      <c r="K31" s="4" t="n">
        <v>44.48</v>
      </c>
      <c r="L31" t="inlineStr">
        <is>
          <t>documents</t>
        </is>
      </c>
      <c r="M31" s="21" t="inlineStr">
        <is>
          <t>AS-98184</t>
        </is>
      </c>
      <c r="N31" t="inlineStr">
        <is>
          <t>https://drive.google.com/file/d/1cP0o74jkhXdQk9aPXo7L1osS8x5cwT_j/view?usp=drivesdk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44.48</v>
      </c>
      <c r="H32" t="inlineStr">
        <is>
          <t>USD</t>
        </is>
      </c>
      <c r="I32" t="inlineStr">
        <is>
          <t>USD</t>
        </is>
      </c>
      <c r="J32" s="20" t="n">
        <v>1</v>
      </c>
      <c r="K32" s="4" t="n">
        <v>44.48</v>
      </c>
      <c r="L32" t="inlineStr">
        <is>
          <t>documents</t>
        </is>
      </c>
      <c r="M32" s="21" t="inlineStr">
        <is>
          <t>AS-98186</t>
        </is>
      </c>
      <c r="N32" t="inlineStr">
        <is>
          <t>https://drive.google.com/file/d/1MaJcncxz7W_PmnWCBLG0TWeEkCieXw6n/view?usp=drivesdk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52.62</v>
      </c>
      <c r="H33" t="inlineStr">
        <is>
          <t>USD</t>
        </is>
      </c>
      <c r="I33" t="inlineStr">
        <is>
          <t>USD</t>
        </is>
      </c>
      <c r="J33" s="20" t="n">
        <v>1</v>
      </c>
      <c r="K33" s="4" t="n">
        <v>52.62</v>
      </c>
      <c r="L33" t="inlineStr">
        <is>
          <t>documents</t>
        </is>
      </c>
      <c r="M33" s="21" t="inlineStr">
        <is>
          <t>AS-98295</t>
        </is>
      </c>
      <c r="N33" t="inlineStr">
        <is>
          <t>https://drive.google.com/file/d/1gPRda7kqtCsp7y3XsBonf8t2GHm4RxiY/view?usp=drivesdk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44.1</v>
      </c>
      <c r="H34" t="inlineStr">
        <is>
          <t>USD</t>
        </is>
      </c>
      <c r="I34" t="inlineStr">
        <is>
          <t>USD</t>
        </is>
      </c>
      <c r="J34" s="20" t="n">
        <v>1</v>
      </c>
      <c r="K34" s="4" t="n">
        <v>44.1</v>
      </c>
      <c r="L34" t="inlineStr">
        <is>
          <t>documents</t>
        </is>
      </c>
      <c r="M34" s="21" t="inlineStr">
        <is>
          <t>AS-98569</t>
        </is>
      </c>
      <c r="N34" t="inlineStr">
        <is>
          <t>https://drive.google.com/file/d/1CF9gddWi0M8W61isQoq9hLg1wgCd0YU0/view?usp=drivesdk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33.4</v>
      </c>
      <c r="H35" t="inlineStr">
        <is>
          <t>USD</t>
        </is>
      </c>
      <c r="I35" t="inlineStr">
        <is>
          <t>USD</t>
        </is>
      </c>
      <c r="J35" s="20" t="n">
        <v>1</v>
      </c>
      <c r="K35" s="4" t="n">
        <v>33.4</v>
      </c>
      <c r="L35" t="inlineStr">
        <is>
          <t>documents</t>
        </is>
      </c>
      <c r="M35" s="21" t="inlineStr">
        <is>
          <t>AS-98850</t>
        </is>
      </c>
      <c r="N35" t="inlineStr">
        <is>
          <t>https://drive.google.com/file/d/124eW3cPeSVU9chNVpkckm3lApHmcSpeY/view?usp=drivesdk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31.61</v>
      </c>
      <c r="H36" t="inlineStr">
        <is>
          <t>USD</t>
        </is>
      </c>
      <c r="I36" t="inlineStr">
        <is>
          <t>USD</t>
        </is>
      </c>
      <c r="J36" s="20" t="n">
        <v>1</v>
      </c>
      <c r="K36" s="4" t="n">
        <v>31.61</v>
      </c>
      <c r="L36" t="inlineStr">
        <is>
          <t>documents</t>
        </is>
      </c>
      <c r="M36" s="21" t="inlineStr">
        <is>
          <t>AS-99137</t>
        </is>
      </c>
      <c r="N36" t="inlineStr">
        <is>
          <t>https://drive.google.com/file/d/1UJD1YgQGDw_lhkgllw-qAY40gjr1CXD3/view?usp=drivesdk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22.45</v>
      </c>
      <c r="H37" t="inlineStr">
        <is>
          <t>USD</t>
        </is>
      </c>
      <c r="I37" t="inlineStr">
        <is>
          <t>USD</t>
        </is>
      </c>
      <c r="J37" s="20" t="n">
        <v>1</v>
      </c>
      <c r="K37" s="4" t="n">
        <v>22.45</v>
      </c>
      <c r="L37" t="inlineStr">
        <is>
          <t>documents</t>
        </is>
      </c>
      <c r="M37" s="21" t="inlineStr">
        <is>
          <t>AS-99148</t>
        </is>
      </c>
      <c r="N37" t="inlineStr">
        <is>
          <t>https://drive.google.com/file/d/15FcdLXRiAC-fc5rJJ0HumhzpjebgySO2/view?usp=drivesdk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103.92</v>
      </c>
      <c r="H38" t="inlineStr">
        <is>
          <t>USD</t>
        </is>
      </c>
      <c r="I38" t="inlineStr">
        <is>
          <t>USD</t>
        </is>
      </c>
      <c r="J38" s="20" t="n">
        <v>1</v>
      </c>
      <c r="K38" s="4" t="n">
        <v>103.92</v>
      </c>
      <c r="L38" t="inlineStr">
        <is>
          <t>documents</t>
        </is>
      </c>
      <c r="M38" s="21" t="inlineStr">
        <is>
          <t>AS-99337</t>
        </is>
      </c>
      <c r="N38" t="inlineStr">
        <is>
          <t>https://drive.google.com/file/d/1qCQb7DfrhSMf1s5fBDZI6Cr38Ujt69gI/view?usp=drivesdk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201.05</v>
      </c>
      <c r="H39" t="inlineStr">
        <is>
          <t>USD</t>
        </is>
      </c>
      <c r="I39" t="inlineStr">
        <is>
          <t>USD</t>
        </is>
      </c>
      <c r="J39" s="20" t="n">
        <v>1</v>
      </c>
      <c r="K39" s="4" t="n">
        <v>201.05</v>
      </c>
      <c r="L39" t="inlineStr">
        <is>
          <t>documents</t>
        </is>
      </c>
      <c r="M39" s="21" t="inlineStr">
        <is>
          <t>AS-99436</t>
        </is>
      </c>
      <c r="N39" t="inlineStr">
        <is>
          <t>https://drive.google.com/file/d/16HigSV6-0JvXWtaIr0tm6I9tZmtUDVtP/view?usp=drivesdk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52</v>
      </c>
      <c r="H40" t="inlineStr">
        <is>
          <t>USD</t>
        </is>
      </c>
      <c r="I40" t="inlineStr">
        <is>
          <t>USD</t>
        </is>
      </c>
      <c r="J40" s="20" t="n">
        <v>1</v>
      </c>
      <c r="K40" s="4" t="n">
        <v>52</v>
      </c>
      <c r="L40" t="inlineStr">
        <is>
          <t>documents</t>
        </is>
      </c>
      <c r="M40" s="21" t="inlineStr">
        <is>
          <t>AS-99460</t>
        </is>
      </c>
      <c r="N40" t="inlineStr">
        <is>
          <t>https://drive.google.com/file/d/16TRaXUZMQYZeQPs1Vj3jmfRAukB4q81A/view?usp=drivesdk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81.58</v>
      </c>
      <c r="H41" t="inlineStr">
        <is>
          <t>USD</t>
        </is>
      </c>
      <c r="I41" t="inlineStr">
        <is>
          <t>USD</t>
        </is>
      </c>
      <c r="J41" s="20" t="n">
        <v>1</v>
      </c>
      <c r="K41" s="4" t="n">
        <v>81.58</v>
      </c>
      <c r="L41" t="inlineStr">
        <is>
          <t>documents</t>
        </is>
      </c>
      <c r="M41" s="21" t="inlineStr">
        <is>
          <t>AS-99461</t>
        </is>
      </c>
      <c r="N41" t="inlineStr">
        <is>
          <t>https://drive.google.com/file/d/1oQJmNDemN2VYUTX6QTYyicXd9Jd_sfP9/view?usp=drivesdk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66.73</v>
      </c>
      <c r="H42" t="inlineStr">
        <is>
          <t>USD</t>
        </is>
      </c>
      <c r="I42" t="inlineStr">
        <is>
          <t>USD</t>
        </is>
      </c>
      <c r="J42" s="20" t="n">
        <v>1</v>
      </c>
      <c r="K42" s="4" t="n">
        <v>66.73</v>
      </c>
      <c r="L42" t="inlineStr">
        <is>
          <t>documents</t>
        </is>
      </c>
      <c r="M42" s="21" t="inlineStr">
        <is>
          <t>AS-99636</t>
        </is>
      </c>
      <c r="N42" t="inlineStr">
        <is>
          <t>https://drive.google.com/file/d/1-cHfa02zhjklsbE1q-cLpj5dZxl0FAh1/view?usp=drivesdk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25.5</v>
      </c>
      <c r="H43" t="inlineStr">
        <is>
          <t>USD</t>
        </is>
      </c>
      <c r="I43" t="inlineStr">
        <is>
          <t>USD</t>
        </is>
      </c>
      <c r="J43" s="20" t="n">
        <v>1</v>
      </c>
      <c r="K43" s="4" t="n">
        <v>25.5</v>
      </c>
      <c r="L43" t="inlineStr">
        <is>
          <t>documents</t>
        </is>
      </c>
      <c r="M43" s="21" t="inlineStr">
        <is>
          <t>AS-99795</t>
        </is>
      </c>
      <c r="N43" t="inlineStr">
        <is>
          <t>https://drive.google.com/file/d/1u1gkkYGB0B7zP2eCx87KEw2V5LsGNihA/view?usp=drivesdk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opex</t>
        </is>
      </c>
      <c r="D44" t="inlineStr">
        <is>
          <t>administration</t>
        </is>
      </c>
      <c r="E44" t="inlineStr">
        <is>
          <t>QUICKBOOKS</t>
        </is>
      </c>
      <c r="F44" t="inlineStr">
        <is>
          <t>invoice</t>
        </is>
      </c>
      <c r="G44" s="4" t="n">
        <v>121.9</v>
      </c>
      <c r="H44" t="inlineStr">
        <is>
          <t>USD</t>
        </is>
      </c>
      <c r="I44" t="inlineStr">
        <is>
          <t>USD</t>
        </is>
      </c>
      <c r="J44" s="20" t="n">
        <v>1</v>
      </c>
      <c r="K44" s="4" t="n">
        <v>121.9</v>
      </c>
      <c r="L44" t="inlineStr">
        <is>
          <t>documents</t>
        </is>
      </c>
      <c r="M44" s="21" t="inlineStr">
        <is>
          <t>10001466838914</t>
        </is>
      </c>
      <c r="N44" t="inlineStr">
        <is>
          <t>https://drive.google.com/file/d/1iQV7Ay6VzQkBn1F-2LKdlzE6SlYah9nh/view?usp=drivesdk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opex</t>
        </is>
      </c>
      <c r="D45" t="inlineStr">
        <is>
          <t>administration</t>
        </is>
      </c>
      <c r="E45" t="inlineStr">
        <is>
          <t>REGUS</t>
        </is>
      </c>
      <c r="F45" t="inlineStr">
        <is>
          <t>invoice</t>
        </is>
      </c>
      <c r="G45" s="4" t="n">
        <v>31.8</v>
      </c>
      <c r="H45" t="inlineStr">
        <is>
          <t>USD</t>
        </is>
      </c>
      <c r="I45" t="inlineStr">
        <is>
          <t>USD</t>
        </is>
      </c>
      <c r="J45" s="20" t="n">
        <v>1</v>
      </c>
      <c r="K45" s="4" t="n">
        <v>31.8</v>
      </c>
      <c r="L45" t="inlineStr">
        <is>
          <t>documents</t>
        </is>
      </c>
      <c r="M45" s="21" t="inlineStr">
        <is>
          <t>3313-43718</t>
        </is>
      </c>
      <c r="N45" t="inlineStr">
        <is>
          <t>https://drive.google.com/file/d/1NS01lvut_GaX32JXr0pbMFEHm2VsNjei/view?usp=drivesdk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shared_services</t>
        </is>
      </c>
      <c r="E46" t="inlineStr">
        <is>
          <t>SHAREDSERVICESSL</t>
        </is>
      </c>
      <c r="F46" t="inlineStr">
        <is>
          <t>invoice</t>
        </is>
      </c>
      <c r="G46" s="4" t="n">
        <v>8462.360000000001</v>
      </c>
      <c r="H46" t="inlineStr">
        <is>
          <t>EUR</t>
        </is>
      </c>
      <c r="I46" t="inlineStr">
        <is>
          <t>USD</t>
        </is>
      </c>
      <c r="J46" s="20" t="n">
        <v>1.1805</v>
      </c>
      <c r="K46" s="4" t="n">
        <v>9989.82</v>
      </c>
      <c r="L46" t="inlineStr">
        <is>
          <t>documents</t>
        </is>
      </c>
      <c r="M46" s="21" t="inlineStr">
        <is>
          <t>2026-0014</t>
        </is>
      </c>
      <c r="N46" t="inlineStr">
        <is>
          <t>https://drive.google.com/file/d/1rlqcAuJUaWxt0Udjbpq3E6fP_lfRq58_/view?usp=drivesdk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cogs</t>
        </is>
      </c>
      <c r="D47" t="inlineStr">
        <is>
          <t>logistics</t>
        </is>
      </c>
      <c r="E47" t="inlineStr">
        <is>
          <t>TGI</t>
        </is>
      </c>
      <c r="F47" t="inlineStr">
        <is>
          <t>logistics</t>
        </is>
      </c>
      <c r="G47" s="4" t="n">
        <v>4445.62</v>
      </c>
      <c r="H47" t="inlineStr">
        <is>
          <t>USD</t>
        </is>
      </c>
      <c r="I47" t="inlineStr">
        <is>
          <t>USD</t>
        </is>
      </c>
      <c r="J47" s="20" t="n">
        <v>1</v>
      </c>
      <c r="K47" s="4" t="n">
        <v>4445.62</v>
      </c>
      <c r="L47" t="inlineStr">
        <is>
          <t>documents</t>
        </is>
      </c>
      <c r="M47" s="21" t="inlineStr">
        <is>
          <t>171420</t>
        </is>
      </c>
      <c r="N47" t="inlineStr">
        <is>
          <t>https://drive.google.com/file/d/1InywJ9PnYh3UCqxE9lRE2PWmjWaBcmnD/view?usp=drivesdk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TGI</t>
        </is>
      </c>
      <c r="F48" t="inlineStr">
        <is>
          <t>manufacturing</t>
        </is>
      </c>
      <c r="G48" s="4" t="n">
        <v>2616.28</v>
      </c>
      <c r="H48" t="inlineStr">
        <is>
          <t>USD</t>
        </is>
      </c>
      <c r="I48" t="inlineStr">
        <is>
          <t>USD</t>
        </is>
      </c>
      <c r="J48" s="20" t="n">
        <v>1</v>
      </c>
      <c r="K48" s="4" t="n">
        <v>2616.28</v>
      </c>
      <c r="L48" t="inlineStr">
        <is>
          <t>documents</t>
        </is>
      </c>
      <c r="M48" s="21" t="inlineStr">
        <is>
          <t>171421</t>
        </is>
      </c>
      <c r="N48" t="inlineStr">
        <is>
          <t>https://drive.google.com/file/d/1PO_RD2CHNRNOEBltczl9fkFpwCsNwxPc/view?usp=drivesdk</t>
        </is>
      </c>
    </row>
    <row r="49" ht="12" customHeight="1">
      <c r="A49" t="inlineStr">
        <is>
          <t>202603</t>
        </is>
      </c>
      <c r="B49" t="inlineStr">
        <is>
          <t>INC</t>
        </is>
      </c>
      <c r="C49" t="inlineStr">
        <is>
          <t>opex</t>
        </is>
      </c>
      <c r="D49" t="inlineStr">
        <is>
          <t>administration</t>
        </is>
      </c>
      <c r="E49" t="inlineStr">
        <is>
          <t>CONTINUUM</t>
        </is>
      </c>
      <c r="F49" t="inlineStr">
        <is>
          <t>invoice</t>
        </is>
      </c>
      <c r="G49" s="4" t="n">
        <v>1150</v>
      </c>
      <c r="H49" t="inlineStr">
        <is>
          <t>USD</t>
        </is>
      </c>
      <c r="I49" t="inlineStr">
        <is>
          <t>USD</t>
        </is>
      </c>
      <c r="J49" s="20" t="n">
        <v>1</v>
      </c>
      <c r="K49" s="4" t="n">
        <v>1150</v>
      </c>
      <c r="L49" t="inlineStr">
        <is>
          <t>documents</t>
        </is>
      </c>
      <c r="M49" s="21" t="inlineStr">
        <is>
          <t>1253</t>
        </is>
      </c>
      <c r="N49" t="inlineStr">
        <is>
          <t>https://drive.google.com/file/d/10g4rvQi3froy77rnSdW_9mo36rDSW1U2/view?usp=drivesdk</t>
        </is>
      </c>
    </row>
    <row r="50" ht="12" customHeight="1">
      <c r="A50" t="inlineStr">
        <is>
          <t>202603</t>
        </is>
      </c>
      <c r="B50" t="inlineStr">
        <is>
          <t>INC</t>
        </is>
      </c>
      <c r="C50" t="inlineStr">
        <is>
          <t>opex</t>
        </is>
      </c>
      <c r="D50" t="inlineStr">
        <is>
          <t>administration</t>
        </is>
      </c>
      <c r="E50" t="inlineStr">
        <is>
          <t>DELAWARE</t>
        </is>
      </c>
      <c r="F50" t="inlineStr">
        <is>
          <t>invoice</t>
        </is>
      </c>
      <c r="G50" s="4" t="n">
        <v>49</v>
      </c>
      <c r="H50" t="inlineStr">
        <is>
          <t>USD</t>
        </is>
      </c>
      <c r="I50" t="inlineStr">
        <is>
          <t>USD</t>
        </is>
      </c>
      <c r="J50" s="20" t="n">
        <v>1</v>
      </c>
      <c r="K50" s="4" t="n">
        <v>49</v>
      </c>
      <c r="L50" t="inlineStr">
        <is>
          <t>documents</t>
        </is>
      </c>
      <c r="M50" s="21" t="inlineStr">
        <is>
          <t>29482W6G</t>
        </is>
      </c>
      <c r="N50" t="inlineStr">
        <is>
          <t>https://drive.google.com/file/d/1napS_w2Xc41F-WTfdiiWHEUr-QA9PNbd/view?usp=drivesdk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DELAWARE</t>
        </is>
      </c>
      <c r="F51" t="inlineStr">
        <is>
          <t>invoice</t>
        </is>
      </c>
      <c r="G51" s="4" t="n">
        <v>99</v>
      </c>
      <c r="H51" t="inlineStr">
        <is>
          <t>USD</t>
        </is>
      </c>
      <c r="I51" t="inlineStr">
        <is>
          <t>USD</t>
        </is>
      </c>
      <c r="J51" s="20" t="n">
        <v>1</v>
      </c>
      <c r="K51" s="4" t="n">
        <v>99</v>
      </c>
      <c r="L51" t="inlineStr">
        <is>
          <t>documents</t>
        </is>
      </c>
      <c r="M51" s="21" t="inlineStr">
        <is>
          <t>6FF58AC</t>
        </is>
      </c>
      <c r="N51" t="inlineStr">
        <is>
          <t>https://drive.google.com/file/d/1b3lRk0uvFhmBHXBXSVqk0Z_qtSygPXDE/view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HUSHED</t>
        </is>
      </c>
      <c r="F52" t="inlineStr">
        <is>
          <t>invoice</t>
        </is>
      </c>
      <c r="G52" s="4" t="n">
        <v>4.99</v>
      </c>
      <c r="H52" t="inlineStr">
        <is>
          <t>USD</t>
        </is>
      </c>
      <c r="I52" t="inlineStr">
        <is>
          <t>USD</t>
        </is>
      </c>
      <c r="J52" s="20" t="n">
        <v>1</v>
      </c>
      <c r="K52" s="4" t="n">
        <v>4.99</v>
      </c>
      <c r="L52" t="inlineStr">
        <is>
          <t>documents</t>
        </is>
      </c>
      <c r="M52" s="21" t="inlineStr">
        <is>
          <t>2262-7837</t>
        </is>
      </c>
      <c r="N52" t="inlineStr">
        <is>
          <t>https://drive.google.com/file/d/176yfc70ezTIGdi4KorC09_glKVNPgXHX/view?usp=drivesdk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IPOSTAL</t>
        </is>
      </c>
      <c r="F53" t="inlineStr">
        <is>
          <t>invoice</t>
        </is>
      </c>
      <c r="G53" s="4" t="n">
        <v>14.99</v>
      </c>
      <c r="H53" t="inlineStr">
        <is>
          <t>USD</t>
        </is>
      </c>
      <c r="I53" t="inlineStr">
        <is>
          <t>USD</t>
        </is>
      </c>
      <c r="J53" s="20" t="n">
        <v>1</v>
      </c>
      <c r="K53" s="4" t="n">
        <v>14.99</v>
      </c>
      <c r="L53" t="inlineStr">
        <is>
          <t>documents</t>
        </is>
      </c>
      <c r="M53" s="21" t="inlineStr">
        <is>
          <t>35894810</t>
        </is>
      </c>
      <c r="N53" t="inlineStr">
        <is>
          <t>https://drive.google.com/file/d/1yIsmWVg1oRuboG-zbYrLUho04HzIiIyK/view?usp=drivesdk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20" t="n">
        <v>1</v>
      </c>
      <c r="K54" s="4" t="n">
        <v>1.1</v>
      </c>
      <c r="L54" t="inlineStr">
        <is>
          <t>documents</t>
        </is>
      </c>
      <c r="M54" s="21" t="inlineStr">
        <is>
          <t>35920058</t>
        </is>
      </c>
      <c r="N54" t="inlineStr">
        <is>
          <t>https://drive.google.com/file/d/1wXV9fWvwxyEBQq62-UJe49I7S0KXvaSG/view?usp=drivesdk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1.1</v>
      </c>
      <c r="H55" t="inlineStr">
        <is>
          <t>USD</t>
        </is>
      </c>
      <c r="I55" t="inlineStr">
        <is>
          <t>USD</t>
        </is>
      </c>
      <c r="J55" s="20" t="n">
        <v>1</v>
      </c>
      <c r="K55" s="4" t="n">
        <v>1.1</v>
      </c>
      <c r="L55" t="inlineStr">
        <is>
          <t>documents</t>
        </is>
      </c>
      <c r="M55" s="21" t="inlineStr">
        <is>
          <t>36093781</t>
        </is>
      </c>
      <c r="N55" t="inlineStr">
        <is>
          <t>https://drive.google.com/file/d/12HKshlwi77vzpCgTTirEXD-MZNuhFA-c/view?usp=drivesdk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20" t="n">
        <v>1</v>
      </c>
      <c r="K56" s="4" t="n">
        <v>3.3</v>
      </c>
      <c r="L56" t="inlineStr">
        <is>
          <t>documents</t>
        </is>
      </c>
      <c r="M56" s="21" t="inlineStr">
        <is>
          <t>36265975</t>
        </is>
      </c>
      <c r="N56" t="inlineStr">
        <is>
          <t>https://drive.google.com/file/d/1LmADNjxt37qcWuUuhWGuUTAjIyKHA5TN/view?usp=drivesdk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3.3</v>
      </c>
      <c r="H57" t="inlineStr">
        <is>
          <t>USD</t>
        </is>
      </c>
      <c r="I57" t="inlineStr">
        <is>
          <t>USD</t>
        </is>
      </c>
      <c r="J57" s="20" t="n">
        <v>1</v>
      </c>
      <c r="K57" s="4" t="n">
        <v>3.3</v>
      </c>
      <c r="L57" t="inlineStr">
        <is>
          <t>documents</t>
        </is>
      </c>
      <c r="M57" s="21" t="inlineStr">
        <is>
          <t>36427002</t>
        </is>
      </c>
      <c r="N57" t="inlineStr">
        <is>
          <t>https://drive.google.com/file/d/1T9KWZxBKxvW0g6TR87InMH1N6L7fKbK-/view?usp=drivesdk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10</v>
      </c>
      <c r="H58" t="inlineStr">
        <is>
          <t>USD</t>
        </is>
      </c>
      <c r="I58" t="inlineStr">
        <is>
          <t>USD</t>
        </is>
      </c>
      <c r="J58" s="20" t="n">
        <v>1</v>
      </c>
      <c r="K58" s="4" t="n">
        <v>10</v>
      </c>
      <c r="L58" t="inlineStr">
        <is>
          <t>documents</t>
        </is>
      </c>
      <c r="M58" s="21" t="inlineStr">
        <is>
          <t>36541238</t>
        </is>
      </c>
      <c r="N58" t="inlineStr">
        <is>
          <t>https://drive.google.com/file/d/1q2P_FQTEKlc2oi9V12k0V2g4Ly8j4pcm/view?usp=drivesdk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14.99</v>
      </c>
      <c r="H59" t="inlineStr">
        <is>
          <t>USD</t>
        </is>
      </c>
      <c r="I59" t="inlineStr">
        <is>
          <t>USD</t>
        </is>
      </c>
      <c r="J59" s="20" t="n">
        <v>1</v>
      </c>
      <c r="K59" s="4" t="n">
        <v>14.99</v>
      </c>
      <c r="L59" t="inlineStr">
        <is>
          <t>documents</t>
        </is>
      </c>
      <c r="M59" s="21" t="inlineStr">
        <is>
          <t>36584953</t>
        </is>
      </c>
      <c r="N59" t="inlineStr">
        <is>
          <t>https://drive.google.com/file/d/1qtaz8f1JVhjTszda1jSXMoHUhdimgxN4/view?usp=drivesdk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opex</t>
        </is>
      </c>
      <c r="D60" t="inlineStr">
        <is>
          <t>administration</t>
        </is>
      </c>
      <c r="E60" t="inlineStr">
        <is>
          <t>IPOSTAL</t>
        </is>
      </c>
      <c r="F60" t="inlineStr">
        <is>
          <t>invoice</t>
        </is>
      </c>
      <c r="G60" s="4" t="n">
        <v>1.1</v>
      </c>
      <c r="H60" t="inlineStr">
        <is>
          <t>USD</t>
        </is>
      </c>
      <c r="I60" t="inlineStr">
        <is>
          <t>USD</t>
        </is>
      </c>
      <c r="J60" s="20" t="n">
        <v>1</v>
      </c>
      <c r="K60" s="4" t="n">
        <v>1.1</v>
      </c>
      <c r="L60" t="inlineStr">
        <is>
          <t>documents</t>
        </is>
      </c>
      <c r="M60" s="21" t="inlineStr">
        <is>
          <t>36600953</t>
        </is>
      </c>
      <c r="N60" t="inlineStr">
        <is>
          <t>https://drive.google.com/file/d/148hQ1ctHcLYbkGm3jEcIflExnc5ngCjE/view?usp=drivesdk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invoice</t>
        </is>
      </c>
      <c r="G61" s="4" t="n">
        <v>51.24</v>
      </c>
      <c r="H61" t="inlineStr">
        <is>
          <t>USD</t>
        </is>
      </c>
      <c r="I61" t="inlineStr">
        <is>
          <t>USD</t>
        </is>
      </c>
      <c r="J61" s="20" t="n">
        <v>1</v>
      </c>
      <c r="K61" s="4" t="n">
        <v>51.24</v>
      </c>
      <c r="L61" t="inlineStr">
        <is>
          <t>documents</t>
        </is>
      </c>
      <c r="M61" s="21" t="inlineStr">
        <is>
          <t>AS-100001</t>
        </is>
      </c>
      <c r="N61" t="inlineStr">
        <is>
          <t>https://drive.google.com/file/d/1R0UDJ1fU0jyIr6k39RjCTcQLgDGhaZkb/view?usp=drivesdk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105.64</v>
      </c>
      <c r="H62" t="inlineStr">
        <is>
          <t>USD</t>
        </is>
      </c>
      <c r="I62" t="inlineStr">
        <is>
          <t>USD</t>
        </is>
      </c>
      <c r="J62" s="20" t="n">
        <v>1</v>
      </c>
      <c r="K62" s="4" t="n">
        <v>105.64</v>
      </c>
      <c r="L62" t="inlineStr">
        <is>
          <t>documents</t>
        </is>
      </c>
      <c r="M62" s="21" t="inlineStr">
        <is>
          <t>AS-100189</t>
        </is>
      </c>
      <c r="N62" t="inlineStr">
        <is>
          <t>https://drive.google.com/file/d/1TYtEUECTDsFNrsj6k4o7ceUycXUJdVfz/view?usp=drivesdk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41.81</v>
      </c>
      <c r="H63" t="inlineStr">
        <is>
          <t>USD</t>
        </is>
      </c>
      <c r="I63" t="inlineStr">
        <is>
          <t>USD</t>
        </is>
      </c>
      <c r="J63" s="20" t="n">
        <v>1</v>
      </c>
      <c r="K63" s="4" t="n">
        <v>41.81</v>
      </c>
      <c r="L63" t="inlineStr">
        <is>
          <t>documents</t>
        </is>
      </c>
      <c r="M63" s="21" t="inlineStr">
        <is>
          <t>AS-100208</t>
        </is>
      </c>
      <c r="N63" t="inlineStr">
        <is>
          <t>https://drive.google.com/file/d/1RPIi58UZHvF1QZ2EWIPyyeAqJT4KuHpe/view?usp=drivesdk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52.86</v>
      </c>
      <c r="H64" t="inlineStr">
        <is>
          <t>USD</t>
        </is>
      </c>
      <c r="I64" t="inlineStr">
        <is>
          <t>USD</t>
        </is>
      </c>
      <c r="J64" s="20" t="n">
        <v>1</v>
      </c>
      <c r="K64" s="4" t="n">
        <v>52.86</v>
      </c>
      <c r="L64" t="inlineStr">
        <is>
          <t>documents</t>
        </is>
      </c>
      <c r="M64" s="21" t="inlineStr">
        <is>
          <t>AS-100505</t>
        </is>
      </c>
      <c r="N64" t="inlineStr">
        <is>
          <t>https://drive.google.com/file/d/1zpf3eQjrD-VvbFJf4oilNyE8LTzx-Mkz/view?usp=drivesdk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61.22</v>
      </c>
      <c r="H65" t="inlineStr">
        <is>
          <t>USD</t>
        </is>
      </c>
      <c r="I65" t="inlineStr">
        <is>
          <t>USD</t>
        </is>
      </c>
      <c r="J65" s="20" t="n">
        <v>1</v>
      </c>
      <c r="K65" s="4" t="n">
        <v>61.22</v>
      </c>
      <c r="L65" t="inlineStr">
        <is>
          <t>documents</t>
        </is>
      </c>
      <c r="M65" s="21" t="inlineStr">
        <is>
          <t>AS-100874</t>
        </is>
      </c>
      <c r="N65" t="inlineStr">
        <is>
          <t>https://drive.google.com/file/d/1tXUDS7Y3FysYp6H4r4QDmMELk_P5L6lg/view?usp=drivesdk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manufacturing</t>
        </is>
      </c>
      <c r="G66" s="4" t="n">
        <v>105.64</v>
      </c>
      <c r="H66" t="inlineStr">
        <is>
          <t>USD</t>
        </is>
      </c>
      <c r="I66" t="inlineStr">
        <is>
          <t>USD</t>
        </is>
      </c>
      <c r="J66" s="20" t="n">
        <v>1</v>
      </c>
      <c r="K66" s="4" t="n">
        <v>105.64</v>
      </c>
      <c r="L66" t="inlineStr">
        <is>
          <t>documents</t>
        </is>
      </c>
      <c r="M66" s="21" t="inlineStr">
        <is>
          <t>AS-100996</t>
        </is>
      </c>
      <c r="N66" t="inlineStr">
        <is>
          <t>https://drive.google.com/file/d/1y0K_gBPthDyVzyNsw_YHf-53BN434i9x/view?usp=drivesdk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330.91</v>
      </c>
      <c r="H67" t="inlineStr">
        <is>
          <t>USD</t>
        </is>
      </c>
      <c r="I67" t="inlineStr">
        <is>
          <t>USD</t>
        </is>
      </c>
      <c r="J67" s="20" t="n">
        <v>1</v>
      </c>
      <c r="K67" s="4" t="n">
        <v>330.91</v>
      </c>
      <c r="L67" t="inlineStr">
        <is>
          <t>documents</t>
        </is>
      </c>
      <c r="M67" s="21" t="inlineStr">
        <is>
          <t>AS-101113</t>
        </is>
      </c>
      <c r="N67" t="inlineStr">
        <is>
          <t>https://drive.google.com/file/d/1vdHrWT_SVLcmzDZbOw1DHUWOdXyUqB-p/view?usp=drivesdk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21.88</v>
      </c>
      <c r="H68" t="inlineStr">
        <is>
          <t>USD</t>
        </is>
      </c>
      <c r="I68" t="inlineStr">
        <is>
          <t>USD</t>
        </is>
      </c>
      <c r="J68" s="20" t="n">
        <v>1</v>
      </c>
      <c r="K68" s="4" t="n">
        <v>21.88</v>
      </c>
      <c r="L68" t="inlineStr">
        <is>
          <t>documents</t>
        </is>
      </c>
      <c r="M68" s="21" t="inlineStr">
        <is>
          <t>AS-101200</t>
        </is>
      </c>
      <c r="N68" t="inlineStr">
        <is>
          <t>https://drive.google.com/file/d/1yrn7IddHlYFUVsL9TPovbi5qfWRKqaUh/view?usp=drivesdk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82.73</v>
      </c>
      <c r="H69" t="inlineStr">
        <is>
          <t>USD</t>
        </is>
      </c>
      <c r="I69" t="inlineStr">
        <is>
          <t>USD</t>
        </is>
      </c>
      <c r="J69" s="20" t="n">
        <v>1</v>
      </c>
      <c r="K69" s="4" t="n">
        <v>82.73</v>
      </c>
      <c r="L69" t="inlineStr">
        <is>
          <t>documents</t>
        </is>
      </c>
      <c r="M69" s="21" t="inlineStr">
        <is>
          <t>AS-101203</t>
        </is>
      </c>
      <c r="N69" t="inlineStr">
        <is>
          <t>https://drive.google.com/file/d/1Uc-zN0AmJNB0Ls2D2fQnCv0kC0mYYFfx/view?usp=drivesdk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67.59</v>
      </c>
      <c r="H70" t="inlineStr">
        <is>
          <t>USD</t>
        </is>
      </c>
      <c r="I70" t="inlineStr">
        <is>
          <t>USD</t>
        </is>
      </c>
      <c r="J70" s="20" t="n">
        <v>1</v>
      </c>
      <c r="K70" s="4" t="n">
        <v>67.59</v>
      </c>
      <c r="L70" t="inlineStr">
        <is>
          <t>documents</t>
        </is>
      </c>
      <c r="M70" s="21" t="inlineStr">
        <is>
          <t>AS-101378</t>
        </is>
      </c>
      <c r="N70" t="inlineStr">
        <is>
          <t>https://drive.google.com/file/d/1cNFvFmpmrhSDzJZGxJC4_VbaDQuBnDjq/view?usp=drivesdk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44.54</v>
      </c>
      <c r="H71" t="inlineStr">
        <is>
          <t>USD</t>
        </is>
      </c>
      <c r="I71" t="inlineStr">
        <is>
          <t>USD</t>
        </is>
      </c>
      <c r="J71" s="20" t="n">
        <v>1</v>
      </c>
      <c r="K71" s="4" t="n">
        <v>44.54</v>
      </c>
      <c r="L71" t="inlineStr">
        <is>
          <t>documents</t>
        </is>
      </c>
      <c r="M71" s="21" t="inlineStr">
        <is>
          <t>AS-101565</t>
        </is>
      </c>
      <c r="N71" t="inlineStr">
        <is>
          <t>https://drive.google.com/file/d/1qu0mx5pb241hfjo981F5ydijE7gET8Wx/view?usp=drivesdk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51.95</v>
      </c>
      <c r="H72" t="inlineStr">
        <is>
          <t>USD</t>
        </is>
      </c>
      <c r="I72" t="inlineStr">
        <is>
          <t>USD</t>
        </is>
      </c>
      <c r="J72" s="20" t="n">
        <v>1</v>
      </c>
      <c r="K72" s="4" t="n">
        <v>51.95</v>
      </c>
      <c r="L72" t="inlineStr">
        <is>
          <t>documents</t>
        </is>
      </c>
      <c r="M72" s="21" t="inlineStr">
        <is>
          <t>AS-101625</t>
        </is>
      </c>
      <c r="N72" t="inlineStr">
        <is>
          <t>https://drive.google.com/file/d/1R_MvGhiBksTOJuTVj-PPDWZGUXumyABi/view?usp=drivesdk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51.18</v>
      </c>
      <c r="H73" t="inlineStr">
        <is>
          <t>USD</t>
        </is>
      </c>
      <c r="I73" t="inlineStr">
        <is>
          <t>USD</t>
        </is>
      </c>
      <c r="J73" s="20" t="n">
        <v>1</v>
      </c>
      <c r="K73" s="4" t="n">
        <v>51.18</v>
      </c>
      <c r="L73" t="inlineStr">
        <is>
          <t>documents</t>
        </is>
      </c>
      <c r="M73" s="21" t="inlineStr">
        <is>
          <t>AS-101687</t>
        </is>
      </c>
      <c r="N73" t="inlineStr">
        <is>
          <t>https://drive.google.com/file/d/1Vj2JB3XmkotEZ_rwHLvKFds1VxC0jEtR/view?usp=drivesdk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43.89</v>
      </c>
      <c r="H74" t="inlineStr">
        <is>
          <t>USD</t>
        </is>
      </c>
      <c r="I74" t="inlineStr">
        <is>
          <t>USD</t>
        </is>
      </c>
      <c r="J74" s="20" t="n">
        <v>1</v>
      </c>
      <c r="K74" s="4" t="n">
        <v>43.89</v>
      </c>
      <c r="L74" t="inlineStr">
        <is>
          <t>documents</t>
        </is>
      </c>
      <c r="M74" s="21" t="inlineStr">
        <is>
          <t>AS-101720</t>
        </is>
      </c>
      <c r="N74" t="inlineStr">
        <is>
          <t>https://drive.google.com/file/d/1S2WQJ2d_2BB1eFnFBIic2fGe1zYRAT1y/view?usp=drivesdk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66.27</v>
      </c>
      <c r="H75" t="inlineStr">
        <is>
          <t>USD</t>
        </is>
      </c>
      <c r="I75" t="inlineStr">
        <is>
          <t>USD</t>
        </is>
      </c>
      <c r="J75" s="20" t="n">
        <v>1</v>
      </c>
      <c r="K75" s="4" t="n">
        <v>66.27</v>
      </c>
      <c r="L75" t="inlineStr">
        <is>
          <t>documents</t>
        </is>
      </c>
      <c r="M75" s="21" t="inlineStr">
        <is>
          <t>AS-101875</t>
        </is>
      </c>
      <c r="N75" t="inlineStr">
        <is>
          <t>https://drive.google.com/file/d/1jU9NNf4_wzLCbF1iVHbRHrz-s36y6FNi/view?usp=drivesdk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32.12</v>
      </c>
      <c r="H76" t="inlineStr">
        <is>
          <t>USD</t>
        </is>
      </c>
      <c r="I76" t="inlineStr">
        <is>
          <t>USD</t>
        </is>
      </c>
      <c r="J76" s="20" t="n">
        <v>1</v>
      </c>
      <c r="K76" s="4" t="n">
        <v>32.12</v>
      </c>
      <c r="L76" t="inlineStr">
        <is>
          <t>documents</t>
        </is>
      </c>
      <c r="M76" s="21" t="inlineStr">
        <is>
          <t>AS-101899</t>
        </is>
      </c>
      <c r="N76" t="inlineStr">
        <is>
          <t>https://drive.google.com/file/d/1IwBgxSlGdttKi41ivuvMXvT6Hu8z2E1_/view?usp=drivesdk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64.89</v>
      </c>
      <c r="H77" t="inlineStr">
        <is>
          <t>USD</t>
        </is>
      </c>
      <c r="I77" t="inlineStr">
        <is>
          <t>USD</t>
        </is>
      </c>
      <c r="J77" s="20" t="n">
        <v>1</v>
      </c>
      <c r="K77" s="4" t="n">
        <v>64.89</v>
      </c>
      <c r="L77" t="inlineStr">
        <is>
          <t>documents</t>
        </is>
      </c>
      <c r="M77" s="21" t="inlineStr">
        <is>
          <t>AS-101925</t>
        </is>
      </c>
      <c r="N77" t="inlineStr">
        <is>
          <t>https://drive.google.com/file/d/1rmZW6WMTXdJvVUm26QzTJA94sajDVpWq/view?usp=drivesdk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45.67</v>
      </c>
      <c r="H78" t="inlineStr">
        <is>
          <t>USD</t>
        </is>
      </c>
      <c r="I78" t="inlineStr">
        <is>
          <t>USD</t>
        </is>
      </c>
      <c r="J78" s="20" t="n">
        <v>1</v>
      </c>
      <c r="K78" s="4" t="n">
        <v>45.67</v>
      </c>
      <c r="L78" t="inlineStr">
        <is>
          <t>documents</t>
        </is>
      </c>
      <c r="M78" s="21" t="inlineStr">
        <is>
          <t>AS-101927</t>
        </is>
      </c>
      <c r="N78" t="inlineStr">
        <is>
          <t>https://drive.google.com/file/d/15JRxcPZJ_hVHDLJ8z5Yro4FDJovLx0tK/view?usp=drivesdk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32.49</v>
      </c>
      <c r="H79" t="inlineStr">
        <is>
          <t>USD</t>
        </is>
      </c>
      <c r="I79" t="inlineStr">
        <is>
          <t>USD</t>
        </is>
      </c>
      <c r="J79" s="20" t="n">
        <v>1</v>
      </c>
      <c r="K79" s="4" t="n">
        <v>32.49</v>
      </c>
      <c r="L79" t="inlineStr">
        <is>
          <t>documents</t>
        </is>
      </c>
      <c r="M79" s="21" t="inlineStr">
        <is>
          <t>AS-101932</t>
        </is>
      </c>
      <c r="N79" t="inlineStr">
        <is>
          <t>https://drive.google.com/file/d/13weQ7Y4G8KgjFaRrcenGtTdmOa1WFGMs/view?usp=drivesdk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52.13</v>
      </c>
      <c r="H80" t="inlineStr">
        <is>
          <t>USD</t>
        </is>
      </c>
      <c r="I80" t="inlineStr">
        <is>
          <t>USD</t>
        </is>
      </c>
      <c r="J80" s="20" t="n">
        <v>1</v>
      </c>
      <c r="K80" s="4" t="n">
        <v>52.13</v>
      </c>
      <c r="L80" t="inlineStr">
        <is>
          <t>documents</t>
        </is>
      </c>
      <c r="M80" s="21" t="inlineStr">
        <is>
          <t>AS-102156</t>
        </is>
      </c>
      <c r="N80" t="inlineStr">
        <is>
          <t>https://drive.google.com/file/d/1Hs1vUcuZkelPAwLMKmyLOzZ1ZzxTmpHC/view?usp=drivesdk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65.51000000000001</v>
      </c>
      <c r="H81" t="inlineStr">
        <is>
          <t>USD</t>
        </is>
      </c>
      <c r="I81" t="inlineStr">
        <is>
          <t>USD</t>
        </is>
      </c>
      <c r="J81" s="20" t="n">
        <v>1</v>
      </c>
      <c r="K81" s="4" t="n">
        <v>65.51000000000001</v>
      </c>
      <c r="L81" t="inlineStr">
        <is>
          <t>documents</t>
        </is>
      </c>
      <c r="M81" s="21" t="inlineStr">
        <is>
          <t>AS-102233</t>
        </is>
      </c>
      <c r="N81" t="inlineStr">
        <is>
          <t>https://drive.google.com/file/d/17DD7Tsl8Uzy2qdnX2BWCYhZjUuE7FIC-/view?usp=drivesdk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234.26</v>
      </c>
      <c r="H82" t="inlineStr">
        <is>
          <t>USD</t>
        </is>
      </c>
      <c r="I82" t="inlineStr">
        <is>
          <t>USD</t>
        </is>
      </c>
      <c r="J82" s="20" t="n">
        <v>1</v>
      </c>
      <c r="K82" s="4" t="n">
        <v>234.26</v>
      </c>
      <c r="L82" t="inlineStr">
        <is>
          <t>documents</t>
        </is>
      </c>
      <c r="M82" s="21" t="inlineStr">
        <is>
          <t>AS-102527</t>
        </is>
      </c>
      <c r="N82" t="inlineStr">
        <is>
          <t>https://drive.google.com/file/d/1sdwyLdhMxINaYrTryaUlKirTc2dpG4nL/view?usp=drivesdk</t>
        </is>
      </c>
    </row>
    <row r="83" ht="12" customHeight="1">
      <c r="A83" t="inlineStr">
        <is>
          <t>202603</t>
        </is>
      </c>
      <c r="B83" t="inlineStr">
        <is>
          <t>INC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44.41</v>
      </c>
      <c r="H83" t="inlineStr">
        <is>
          <t>USD</t>
        </is>
      </c>
      <c r="I83" t="inlineStr">
        <is>
          <t>USD</t>
        </is>
      </c>
      <c r="J83" s="20" t="n">
        <v>1</v>
      </c>
      <c r="K83" s="4" t="n">
        <v>44.41</v>
      </c>
      <c r="L83" t="inlineStr">
        <is>
          <t>documents</t>
        </is>
      </c>
      <c r="M83" s="21" t="inlineStr">
        <is>
          <t>AS-102584</t>
        </is>
      </c>
      <c r="N83" t="inlineStr">
        <is>
          <t>https://drive.google.com/file/d/1azySLsSPalq9tOHXPoJoJjvUXrwjOXJr/view?usp=drivesdk</t>
        </is>
      </c>
    </row>
    <row r="84" ht="12" customHeight="1">
      <c r="A84" t="inlineStr">
        <is>
          <t>202603</t>
        </is>
      </c>
      <c r="B84" t="inlineStr">
        <is>
          <t>INC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52.25</v>
      </c>
      <c r="H84" t="inlineStr">
        <is>
          <t>USD</t>
        </is>
      </c>
      <c r="I84" t="inlineStr">
        <is>
          <t>USD</t>
        </is>
      </c>
      <c r="J84" s="20" t="n">
        <v>1</v>
      </c>
      <c r="K84" s="4" t="n">
        <v>52.25</v>
      </c>
      <c r="L84" t="inlineStr">
        <is>
          <t>documents</t>
        </is>
      </c>
      <c r="M84" s="21" t="inlineStr">
        <is>
          <t>AS-102713</t>
        </is>
      </c>
      <c r="N84" t="inlineStr">
        <is>
          <t>https://drive.google.com/file/d/1eR1J45oNqARlNda10Dn0ekyiiE4Y_G-u/view?usp=drivesdk</t>
        </is>
      </c>
    </row>
    <row r="85" ht="12" customHeight="1">
      <c r="A85" t="inlineStr">
        <is>
          <t>202603</t>
        </is>
      </c>
      <c r="B85" t="inlineStr">
        <is>
          <t>INC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106.74</v>
      </c>
      <c r="H85" t="inlineStr">
        <is>
          <t>USD</t>
        </is>
      </c>
      <c r="I85" t="inlineStr">
        <is>
          <t>USD</t>
        </is>
      </c>
      <c r="J85" s="20" t="n">
        <v>1</v>
      </c>
      <c r="K85" s="4" t="n">
        <v>106.74</v>
      </c>
      <c r="L85" t="inlineStr">
        <is>
          <t>documents</t>
        </is>
      </c>
      <c r="M85" s="21" t="inlineStr">
        <is>
          <t>AS-102769</t>
        </is>
      </c>
      <c r="N85" t="inlineStr">
        <is>
          <t>https://drive.google.com/file/d/1ZdC0Tq7ojooTcmbCMMi8VTyd-K_YhzkY/view?usp=drivesdk</t>
        </is>
      </c>
    </row>
    <row r="86" ht="12" customHeight="1">
      <c r="A86" t="inlineStr">
        <is>
          <t>202603</t>
        </is>
      </c>
      <c r="B86" t="inlineStr">
        <is>
          <t>INC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66.27</v>
      </c>
      <c r="H86" t="inlineStr">
        <is>
          <t>USD</t>
        </is>
      </c>
      <c r="I86" t="inlineStr">
        <is>
          <t>USD</t>
        </is>
      </c>
      <c r="J86" s="20" t="n">
        <v>1</v>
      </c>
      <c r="K86" s="4" t="n">
        <v>66.27</v>
      </c>
      <c r="L86" t="inlineStr">
        <is>
          <t>documents</t>
        </is>
      </c>
      <c r="M86" s="21" t="inlineStr">
        <is>
          <t>AS-102793</t>
        </is>
      </c>
      <c r="N86" t="inlineStr">
        <is>
          <t>https://drive.google.com/file/d/1T5CAEz-SGauhipF7HSwaNXRGFzHaHRby/view?usp=drivesdk</t>
        </is>
      </c>
    </row>
    <row r="87" ht="12" customHeight="1">
      <c r="A87" t="inlineStr">
        <is>
          <t>202603</t>
        </is>
      </c>
      <c r="B87" t="inlineStr">
        <is>
          <t>INC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90.17</v>
      </c>
      <c r="H87" t="inlineStr">
        <is>
          <t>USD</t>
        </is>
      </c>
      <c r="I87" t="inlineStr">
        <is>
          <t>USD</t>
        </is>
      </c>
      <c r="J87" s="20" t="n">
        <v>1</v>
      </c>
      <c r="K87" s="4" t="n">
        <v>90.17</v>
      </c>
      <c r="L87" t="inlineStr">
        <is>
          <t>documents</t>
        </is>
      </c>
      <c r="M87" s="21" t="inlineStr">
        <is>
          <t>AS-102814</t>
        </is>
      </c>
      <c r="N87" t="inlineStr">
        <is>
          <t>https://drive.google.com/file/d/1271ZQ4ZHZABB4HidgKNyjLNycqKTZIWp/view?usp=drivesdk</t>
        </is>
      </c>
    </row>
    <row r="88" ht="12" customHeight="1">
      <c r="A88" t="inlineStr">
        <is>
          <t>202603</t>
        </is>
      </c>
      <c r="B88" t="inlineStr">
        <is>
          <t>INC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27.29</v>
      </c>
      <c r="H88" t="inlineStr">
        <is>
          <t>USD</t>
        </is>
      </c>
      <c r="I88" t="inlineStr">
        <is>
          <t>USD</t>
        </is>
      </c>
      <c r="J88" s="20" t="n">
        <v>1</v>
      </c>
      <c r="K88" s="4" t="n">
        <v>27.29</v>
      </c>
      <c r="L88" t="inlineStr">
        <is>
          <t>documents</t>
        </is>
      </c>
      <c r="M88" s="21" t="inlineStr">
        <is>
          <t>AS-99872</t>
        </is>
      </c>
      <c r="N88" t="inlineStr">
        <is>
          <t>https://drive.google.com/file/d/1fz0py0TlKS9CdvqLBj6obnIyKdFd-Ocr/view?usp=drivesdk</t>
        </is>
      </c>
    </row>
    <row r="89" ht="12" customHeight="1">
      <c r="A89" t="inlineStr">
        <is>
          <t>202603</t>
        </is>
      </c>
      <c r="B89" t="inlineStr">
        <is>
          <t>INC</t>
        </is>
      </c>
      <c r="C89" t="inlineStr">
        <is>
          <t>opex</t>
        </is>
      </c>
      <c r="D89" t="inlineStr">
        <is>
          <t>administration</t>
        </is>
      </c>
      <c r="E89" t="inlineStr">
        <is>
          <t>QUICKBOOKS</t>
        </is>
      </c>
      <c r="F89" t="inlineStr">
        <is>
          <t>invoice</t>
        </is>
      </c>
      <c r="G89" s="4" t="n">
        <v>121.9</v>
      </c>
      <c r="H89" t="inlineStr">
        <is>
          <t>USD</t>
        </is>
      </c>
      <c r="I89" t="inlineStr">
        <is>
          <t>USD</t>
        </is>
      </c>
      <c r="J89" s="20" t="n">
        <v>1</v>
      </c>
      <c r="K89" s="4" t="n">
        <v>121.9</v>
      </c>
      <c r="L89" t="inlineStr">
        <is>
          <t>documents</t>
        </is>
      </c>
      <c r="M89" s="21" t="inlineStr">
        <is>
          <t>10001475281494</t>
        </is>
      </c>
      <c r="N89" t="inlineStr">
        <is>
          <t>https://drive.google.com/file/d/1OI4OBm0RC_6F4A459LM3KgrTwDxv30Lf/view?usp=drivesdk</t>
        </is>
      </c>
    </row>
    <row r="90" ht="12" customHeight="1">
      <c r="A90" t="inlineStr">
        <is>
          <t>202603</t>
        </is>
      </c>
      <c r="B90" t="inlineStr">
        <is>
          <t>INC</t>
        </is>
      </c>
      <c r="C90" t="inlineStr">
        <is>
          <t>opex</t>
        </is>
      </c>
      <c r="D90" t="inlineStr">
        <is>
          <t>shared_services</t>
        </is>
      </c>
      <c r="E90" t="inlineStr">
        <is>
          <t>SHAREDSERVICESSL</t>
        </is>
      </c>
      <c r="F90" t="inlineStr">
        <is>
          <t>invoice</t>
        </is>
      </c>
      <c r="G90" s="4" t="n">
        <v>7586.05</v>
      </c>
      <c r="H90" t="inlineStr">
        <is>
          <t>EUR</t>
        </is>
      </c>
      <c r="I90" t="inlineStr">
        <is>
          <t>USD</t>
        </is>
      </c>
      <c r="J90" s="20" t="n">
        <v>1.1498</v>
      </c>
      <c r="K90" s="4" t="n">
        <v>8722.440000000001</v>
      </c>
      <c r="L90" t="inlineStr">
        <is>
          <t>documents</t>
        </is>
      </c>
      <c r="M90" s="21" t="inlineStr">
        <is>
          <t>2026-0017</t>
        </is>
      </c>
      <c r="N90" t="inlineStr">
        <is>
          <t>https://drive.google.com/file/d/1ixVdpnGpB3KUF2QQIt94W1I4J6yD6ybZ/view?usp=drivesdk</t>
        </is>
      </c>
    </row>
    <row r="91" ht="12" customHeight="1">
      <c r="A91" t="inlineStr">
        <is>
          <t>202603</t>
        </is>
      </c>
      <c r="B91" t="inlineStr">
        <is>
          <t>INC</t>
        </is>
      </c>
      <c r="C91" t="inlineStr">
        <is>
          <t>cogs</t>
        </is>
      </c>
      <c r="D91" t="inlineStr">
        <is>
          <t>logistics</t>
        </is>
      </c>
      <c r="E91" t="inlineStr">
        <is>
          <t>TGI</t>
        </is>
      </c>
      <c r="F91" t="inlineStr">
        <is>
          <t>logistics</t>
        </is>
      </c>
      <c r="G91" s="4" t="n">
        <v>4826.94</v>
      </c>
      <c r="H91" t="inlineStr">
        <is>
          <t>USD</t>
        </is>
      </c>
      <c r="I91" t="inlineStr">
        <is>
          <t>USD</t>
        </is>
      </c>
      <c r="J91" s="20" t="n">
        <v>1</v>
      </c>
      <c r="K91" s="4" t="n">
        <v>4826.94</v>
      </c>
      <c r="L91" t="inlineStr">
        <is>
          <t>documents</t>
        </is>
      </c>
      <c r="M91" s="21" t="inlineStr">
        <is>
          <t>171663</t>
        </is>
      </c>
      <c r="N91" t="inlineStr">
        <is>
          <t>https://drive.google.com/file/d/1KMML8lqWHjys5zcY1N68s233Ze6aJrf7/view?usp=drivesdk</t>
        </is>
      </c>
    </row>
    <row r="92" ht="12" customHeight="1">
      <c r="A92" t="inlineStr">
        <is>
          <t>202603</t>
        </is>
      </c>
      <c r="B92" t="inlineStr">
        <is>
          <t>INC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TGI</t>
        </is>
      </c>
      <c r="F92" t="inlineStr">
        <is>
          <t>manufacturing</t>
        </is>
      </c>
      <c r="G92" s="4" t="n">
        <v>2696.59</v>
      </c>
      <c r="H92" t="inlineStr">
        <is>
          <t>USD</t>
        </is>
      </c>
      <c r="I92" t="inlineStr">
        <is>
          <t>USD</t>
        </is>
      </c>
      <c r="J92" s="20" t="n">
        <v>1</v>
      </c>
      <c r="K92" s="4" t="n">
        <v>2696.59</v>
      </c>
      <c r="L92" t="inlineStr">
        <is>
          <t>documents</t>
        </is>
      </c>
      <c r="M92" s="21" t="inlineStr">
        <is>
          <t>171664</t>
        </is>
      </c>
      <c r="N92" t="inlineStr">
        <is>
          <t>https://drive.google.com/file/d/1j6OlS3fo3c7ynAP6XCubZbsputNipz9k/view?usp=drivesdk</t>
        </is>
      </c>
    </row>
    <row r="93" ht="12" customHeight="1">
      <c r="A93" t="inlineStr">
        <is>
          <t>202604</t>
        </is>
      </c>
      <c r="B93" t="inlineStr">
        <is>
          <t>INC</t>
        </is>
      </c>
      <c r="C93" t="inlineStr">
        <is>
          <t>opex</t>
        </is>
      </c>
      <c r="D93" t="inlineStr">
        <is>
          <t>administration</t>
        </is>
      </c>
      <c r="E93" t="inlineStr">
        <is>
          <t>CONTINUUM</t>
        </is>
      </c>
      <c r="F93" t="inlineStr">
        <is>
          <t>invoice</t>
        </is>
      </c>
      <c r="G93" s="4" t="n">
        <v>1150</v>
      </c>
      <c r="H93" t="inlineStr">
        <is>
          <t>USD</t>
        </is>
      </c>
      <c r="I93" t="inlineStr">
        <is>
          <t>USD</t>
        </is>
      </c>
      <c r="J93" s="20" t="n">
        <v>1</v>
      </c>
      <c r="K93" s="4" t="n">
        <v>1150</v>
      </c>
      <c r="L93" t="inlineStr">
        <is>
          <t>documents</t>
        </is>
      </c>
      <c r="M93" s="21" t="inlineStr">
        <is>
          <t>1268</t>
        </is>
      </c>
      <c r="N93" t="inlineStr">
        <is>
          <t>https://drive.google.com/file/d/1IRL2tRQ5R66B1XtT5WF43fvSBNABo2MK/view?usp=drivesdk</t>
        </is>
      </c>
    </row>
    <row r="94" ht="12" customHeight="1">
      <c r="A94" t="inlineStr">
        <is>
          <t>202604</t>
        </is>
      </c>
      <c r="B94" t="inlineStr">
        <is>
          <t>INC</t>
        </is>
      </c>
      <c r="C94" t="inlineStr">
        <is>
          <t>opex</t>
        </is>
      </c>
      <c r="D94" t="inlineStr">
        <is>
          <t>administration</t>
        </is>
      </c>
      <c r="E94" t="inlineStr">
        <is>
          <t>DELAWARE</t>
        </is>
      </c>
      <c r="F94" t="inlineStr">
        <is>
          <t>invoice</t>
        </is>
      </c>
      <c r="G94" s="4" t="n">
        <v>107</v>
      </c>
      <c r="H94" t="inlineStr">
        <is>
          <t>USD</t>
        </is>
      </c>
      <c r="I94" t="inlineStr">
        <is>
          <t>USD</t>
        </is>
      </c>
      <c r="J94" s="20" t="n">
        <v>1</v>
      </c>
      <c r="K94" s="4" t="n">
        <v>107</v>
      </c>
      <c r="L94" t="inlineStr">
        <is>
          <t>documents</t>
        </is>
      </c>
      <c r="M94" s="21" t="inlineStr">
        <is>
          <t>DZWHFH4</t>
        </is>
      </c>
      <c r="N94" t="inlineStr">
        <is>
          <t>https://drive.google.com/file/d/18Bz5GqwljLihnHs4k9hmETmifyo6LER2/view?usp=drivesdk</t>
        </is>
      </c>
    </row>
    <row r="95" ht="12" customHeight="1">
      <c r="A95" t="inlineStr">
        <is>
          <t>202604</t>
        </is>
      </c>
      <c r="B95" t="inlineStr">
        <is>
          <t>INC</t>
        </is>
      </c>
      <c r="C95" t="inlineStr">
        <is>
          <t>opex</t>
        </is>
      </c>
      <c r="D95" t="inlineStr">
        <is>
          <t>administration</t>
        </is>
      </c>
      <c r="E95" t="inlineStr">
        <is>
          <t>IPOSTAL</t>
        </is>
      </c>
      <c r="F95" t="inlineStr">
        <is>
          <t>invoice</t>
        </is>
      </c>
      <c r="G95" s="4" t="n">
        <v>1.1</v>
      </c>
      <c r="H95" t="inlineStr">
        <is>
          <t>USD</t>
        </is>
      </c>
      <c r="I95" t="inlineStr">
        <is>
          <t>USD</t>
        </is>
      </c>
      <c r="J95" s="20" t="n">
        <v>1</v>
      </c>
      <c r="K95" s="4" t="n">
        <v>1.1</v>
      </c>
      <c r="L95" t="inlineStr">
        <is>
          <t>documents</t>
        </is>
      </c>
      <c r="M95" s="21" t="inlineStr">
        <is>
          <t>36752641</t>
        </is>
      </c>
      <c r="N95" t="inlineStr">
        <is>
          <t>https://drive.google.com/file/d/1beC5Hc1W7ij4zZ3P22rXyi55CrvbbPk6/view?usp=drivesdk</t>
        </is>
      </c>
    </row>
    <row r="96" ht="12" customHeight="1">
      <c r="A96" t="inlineStr">
        <is>
          <t>202604</t>
        </is>
      </c>
      <c r="B96" t="inlineStr">
        <is>
          <t>INC</t>
        </is>
      </c>
      <c r="C96" t="inlineStr">
        <is>
          <t>opex</t>
        </is>
      </c>
      <c r="D96" t="inlineStr">
        <is>
          <t>administration</t>
        </is>
      </c>
      <c r="E96" t="inlineStr">
        <is>
          <t>IPOSTAL</t>
        </is>
      </c>
      <c r="F96" t="inlineStr">
        <is>
          <t>invoice</t>
        </is>
      </c>
      <c r="G96" s="4" t="n">
        <v>1.1</v>
      </c>
      <c r="H96" t="inlineStr">
        <is>
          <t>USD</t>
        </is>
      </c>
      <c r="I96" t="inlineStr">
        <is>
          <t>USD</t>
        </is>
      </c>
      <c r="J96" s="20" t="n">
        <v>1</v>
      </c>
      <c r="K96" s="4" t="n">
        <v>1.1</v>
      </c>
      <c r="L96" t="inlineStr">
        <is>
          <t>documents</t>
        </is>
      </c>
      <c r="M96" s="21" t="inlineStr">
        <is>
          <t>36951380</t>
        </is>
      </c>
      <c r="N96" t="inlineStr">
        <is>
          <t>https://drive.google.com/file/d/1wZg-q6ZiTEI0OrQ0TwcfsUWshu0Ux5N9/view?usp=drivesdk</t>
        </is>
      </c>
    </row>
    <row r="97" ht="12" customHeight="1">
      <c r="A97" t="inlineStr">
        <is>
          <t>202604</t>
        </is>
      </c>
      <c r="B97" t="inlineStr">
        <is>
          <t>INC</t>
        </is>
      </c>
      <c r="C97" t="inlineStr">
        <is>
          <t>opex</t>
        </is>
      </c>
      <c r="D97" t="inlineStr">
        <is>
          <t>administration</t>
        </is>
      </c>
      <c r="E97" t="inlineStr">
        <is>
          <t>IPOSTAL</t>
        </is>
      </c>
      <c r="F97" t="inlineStr">
        <is>
          <t>invoice</t>
        </is>
      </c>
      <c r="G97" s="4" t="n">
        <v>5.5</v>
      </c>
      <c r="H97" t="inlineStr">
        <is>
          <t>USD</t>
        </is>
      </c>
      <c r="I97" t="inlineStr">
        <is>
          <t>USD</t>
        </is>
      </c>
      <c r="J97" s="20" t="n">
        <v>1</v>
      </c>
      <c r="K97" s="4" t="n">
        <v>5.5</v>
      </c>
      <c r="L97" t="inlineStr">
        <is>
          <t>documents</t>
        </is>
      </c>
      <c r="M97" s="21" t="inlineStr">
        <is>
          <t>37116827</t>
        </is>
      </c>
      <c r="N97" t="inlineStr">
        <is>
          <t>https://drive.google.com/file/d/1gJoEKOqYovJJtEOg5y94WrVLNsNu15uO/view?usp=drivesdk</t>
        </is>
      </c>
    </row>
    <row r="98" ht="12" customHeight="1">
      <c r="A98" t="inlineStr">
        <is>
          <t>202604</t>
        </is>
      </c>
      <c r="B98" t="inlineStr">
        <is>
          <t>INC</t>
        </is>
      </c>
      <c r="C98" t="inlineStr">
        <is>
          <t>opex</t>
        </is>
      </c>
      <c r="D98" t="inlineStr">
        <is>
          <t>administration</t>
        </is>
      </c>
      <c r="E98" t="inlineStr">
        <is>
          <t>IPOSTAL</t>
        </is>
      </c>
      <c r="F98" t="inlineStr">
        <is>
          <t>invoice</t>
        </is>
      </c>
      <c r="G98" s="4" t="n">
        <v>1.1</v>
      </c>
      <c r="H98" t="inlineStr">
        <is>
          <t>USD</t>
        </is>
      </c>
      <c r="I98" t="inlineStr">
        <is>
          <t>USD</t>
        </is>
      </c>
      <c r="J98" s="20" t="n">
        <v>1</v>
      </c>
      <c r="K98" s="4" t="n">
        <v>1.1</v>
      </c>
      <c r="L98" t="inlineStr">
        <is>
          <t>documents</t>
        </is>
      </c>
      <c r="M98" s="21" t="inlineStr">
        <is>
          <t>37277911</t>
        </is>
      </c>
      <c r="N98" t="inlineStr">
        <is>
          <t>https://drive.google.com/file/d/19f-Id2wfchFV1l6mggY9gSFntEbmAUCB/view?usp=drivesdk</t>
        </is>
      </c>
    </row>
    <row r="99" ht="12" customHeight="1">
      <c r="A99" t="inlineStr">
        <is>
          <t>202604</t>
        </is>
      </c>
      <c r="B99" t="inlineStr">
        <is>
          <t>INC</t>
        </is>
      </c>
      <c r="C99" t="inlineStr">
        <is>
          <t>opex</t>
        </is>
      </c>
      <c r="D99" t="inlineStr">
        <is>
          <t>administration</t>
        </is>
      </c>
      <c r="E99" t="inlineStr">
        <is>
          <t>IPOSTAL</t>
        </is>
      </c>
      <c r="F99" t="inlineStr">
        <is>
          <t>invoice</t>
        </is>
      </c>
      <c r="G99" s="4" t="n">
        <v>14.99</v>
      </c>
      <c r="H99" t="inlineStr">
        <is>
          <t>USD</t>
        </is>
      </c>
      <c r="I99" t="inlineStr">
        <is>
          <t>USD</t>
        </is>
      </c>
      <c r="J99" s="20" t="n">
        <v>1</v>
      </c>
      <c r="K99" s="4" t="n">
        <v>14.99</v>
      </c>
      <c r="L99" t="inlineStr">
        <is>
          <t>documents</t>
        </is>
      </c>
      <c r="M99" s="21" t="inlineStr">
        <is>
          <t>37337792</t>
        </is>
      </c>
      <c r="N99" t="inlineStr">
        <is>
          <t>https://drive.google.com/file/d/1iFHoL9QL0MfsW0zsHp0uT7-lqsQsUJud/view?usp=drivesdk</t>
        </is>
      </c>
    </row>
    <row r="100" ht="12" customHeight="1">
      <c r="A100" t="inlineStr">
        <is>
          <t>202604</t>
        </is>
      </c>
      <c r="B100" t="inlineStr">
        <is>
          <t>INC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68.91</v>
      </c>
      <c r="H100" t="inlineStr">
        <is>
          <t>USD</t>
        </is>
      </c>
      <c r="I100" t="inlineStr">
        <is>
          <t>USD</t>
        </is>
      </c>
      <c r="J100" s="20" t="n">
        <v>1</v>
      </c>
      <c r="K100" s="4" t="n">
        <v>68.91</v>
      </c>
      <c r="L100" t="inlineStr">
        <is>
          <t>documents</t>
        </is>
      </c>
      <c r="M100" s="21" t="inlineStr">
        <is>
          <t>4403771-AS-102981</t>
        </is>
      </c>
      <c r="N100" t="inlineStr">
        <is>
          <t>https://drive.google.com/file/d/1R_pCzyx2C2c_Ox1-25qlNzBtFCapy707/view?usp=drivesdk</t>
        </is>
      </c>
    </row>
    <row r="101" ht="12" customHeight="1">
      <c r="A101" t="inlineStr">
        <is>
          <t>202604</t>
        </is>
      </c>
      <c r="B101" t="inlineStr">
        <is>
          <t>INC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252.42</v>
      </c>
      <c r="H101" t="inlineStr">
        <is>
          <t>USD</t>
        </is>
      </c>
      <c r="I101" t="inlineStr">
        <is>
          <t>USD</t>
        </is>
      </c>
      <c r="J101" s="20" t="n">
        <v>1</v>
      </c>
      <c r="K101" s="4" t="n">
        <v>252.42</v>
      </c>
      <c r="L101" t="inlineStr">
        <is>
          <t>documents</t>
        </is>
      </c>
      <c r="M101" s="21" t="inlineStr">
        <is>
          <t>4403772-AS-102832</t>
        </is>
      </c>
      <c r="N101" t="inlineStr">
        <is>
          <t>https://drive.google.com/file/d/1XcQaIUHTXnUW0SZ4Q-nQWM1Fu3nobuo5/view?usp=drivesdk</t>
        </is>
      </c>
    </row>
    <row r="102" ht="12" customHeight="1">
      <c r="A102" t="inlineStr">
        <is>
          <t>202604</t>
        </is>
      </c>
      <c r="B102" t="inlineStr">
        <is>
          <t>INC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35.4</v>
      </c>
      <c r="H102" t="inlineStr">
        <is>
          <t>USD</t>
        </is>
      </c>
      <c r="I102" t="inlineStr">
        <is>
          <t>USD</t>
        </is>
      </c>
      <c r="J102" s="20" t="n">
        <v>1</v>
      </c>
      <c r="K102" s="4" t="n">
        <v>35.4</v>
      </c>
      <c r="L102" t="inlineStr">
        <is>
          <t>documents</t>
        </is>
      </c>
      <c r="M102" s="21" t="inlineStr">
        <is>
          <t>4409934-AS-103327</t>
        </is>
      </c>
      <c r="N102" t="inlineStr">
        <is>
          <t>https://drive.google.com/file/d/1sQZti--UZu4nwBrtghMiPijn0GFvV8sY/view?usp=drivesdk</t>
        </is>
      </c>
    </row>
    <row r="103" ht="12" customHeight="1">
      <c r="A103" t="inlineStr">
        <is>
          <t>202604</t>
        </is>
      </c>
      <c r="B103" t="inlineStr">
        <is>
          <t>INC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64.54000000000001</v>
      </c>
      <c r="H103" t="inlineStr">
        <is>
          <t>USD</t>
        </is>
      </c>
      <c r="I103" t="inlineStr">
        <is>
          <t>USD</t>
        </is>
      </c>
      <c r="J103" s="20" t="n">
        <v>1</v>
      </c>
      <c r="K103" s="4" t="n">
        <v>64.54000000000001</v>
      </c>
      <c r="L103" t="inlineStr">
        <is>
          <t>documents</t>
        </is>
      </c>
      <c r="M103" s="21" t="inlineStr">
        <is>
          <t>4409935-AS-103109</t>
        </is>
      </c>
      <c r="N103" t="inlineStr">
        <is>
          <t>https://drive.google.com/file/d/1Ua4xn6a6EUB1nJ549lY9ezWCx6XBGm2a/view?usp=drivesdk</t>
        </is>
      </c>
    </row>
    <row r="104" ht="12" customHeight="1">
      <c r="A104" t="inlineStr">
        <is>
          <t>202604</t>
        </is>
      </c>
      <c r="B104" t="inlineStr">
        <is>
          <t>INC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104.02</v>
      </c>
      <c r="H104" t="inlineStr">
        <is>
          <t>USD</t>
        </is>
      </c>
      <c r="I104" t="inlineStr">
        <is>
          <t>USD</t>
        </is>
      </c>
      <c r="J104" s="20" t="n">
        <v>1</v>
      </c>
      <c r="K104" s="4" t="n">
        <v>104.02</v>
      </c>
      <c r="L104" t="inlineStr">
        <is>
          <t>documents</t>
        </is>
      </c>
      <c r="M104" s="21" t="inlineStr">
        <is>
          <t>4411288-AS-103259</t>
        </is>
      </c>
      <c r="N104" t="inlineStr">
        <is>
          <t>https://drive.google.com/file/d/1XnGcYQ3IIFT7ZGTqANTb8CAkE8QwnOv_/view?usp=drivesdk</t>
        </is>
      </c>
    </row>
    <row r="105" ht="12" customHeight="1">
      <c r="A105" t="inlineStr">
        <is>
          <t>202604</t>
        </is>
      </c>
      <c r="B105" t="inlineStr">
        <is>
          <t>INC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44.62</v>
      </c>
      <c r="H105" t="inlineStr">
        <is>
          <t>USD</t>
        </is>
      </c>
      <c r="I105" t="inlineStr">
        <is>
          <t>USD</t>
        </is>
      </c>
      <c r="J105" s="20" t="n">
        <v>1</v>
      </c>
      <c r="K105" s="4" t="n">
        <v>44.62</v>
      </c>
      <c r="L105" t="inlineStr">
        <is>
          <t>documents</t>
        </is>
      </c>
      <c r="M105" s="21" t="inlineStr">
        <is>
          <t>4412390-AS-103601</t>
        </is>
      </c>
      <c r="N105" t="inlineStr">
        <is>
          <t>https://drive.google.com/file/d/1ZqqfTbSpgYbVglUq7h66PqEdTXv7tTOV/view?usp=drivesdk</t>
        </is>
      </c>
    </row>
    <row r="106" ht="12" customHeight="1">
      <c r="A106" t="inlineStr">
        <is>
          <t>202604</t>
        </is>
      </c>
      <c r="B106" t="inlineStr">
        <is>
          <t>INC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31.61</v>
      </c>
      <c r="H106" t="inlineStr">
        <is>
          <t>USD</t>
        </is>
      </c>
      <c r="I106" t="inlineStr">
        <is>
          <t>USD</t>
        </is>
      </c>
      <c r="J106" s="20" t="n">
        <v>1</v>
      </c>
      <c r="K106" s="4" t="n">
        <v>31.61</v>
      </c>
      <c r="L106" t="inlineStr">
        <is>
          <t>documents</t>
        </is>
      </c>
      <c r="M106" s="21" t="inlineStr">
        <is>
          <t>4413197-AS-103687</t>
        </is>
      </c>
      <c r="N106" t="inlineStr">
        <is>
          <t>https://drive.google.com/file/d/1xHkD6qq2E5vMJF4lTz7Ibr_nh-gN-LUA/view?usp=drivesdk</t>
        </is>
      </c>
    </row>
    <row r="107" ht="12" customHeight="1">
      <c r="A107" t="inlineStr">
        <is>
          <t>202604</t>
        </is>
      </c>
      <c r="B107" t="inlineStr">
        <is>
          <t>INC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211.77</v>
      </c>
      <c r="H107" t="inlineStr">
        <is>
          <t>USD</t>
        </is>
      </c>
      <c r="I107" t="inlineStr">
        <is>
          <t>USD</t>
        </is>
      </c>
      <c r="J107" s="20" t="n">
        <v>1</v>
      </c>
      <c r="K107" s="4" t="n">
        <v>211.77</v>
      </c>
      <c r="L107" t="inlineStr">
        <is>
          <t>documents</t>
        </is>
      </c>
      <c r="M107" s="21" t="inlineStr">
        <is>
          <t>4413198-AS-103519</t>
        </is>
      </c>
      <c r="N107" t="inlineStr">
        <is>
          <t>https://drive.google.com/file/d/1Xus5OWdK4Dd3zIuCdPSoCDEoynyGI4Ke/view?usp=drivesdk</t>
        </is>
      </c>
    </row>
    <row r="108" ht="12" customHeight="1">
      <c r="A108" t="inlineStr">
        <is>
          <t>202604</t>
        </is>
      </c>
      <c r="B108" t="inlineStr">
        <is>
          <t>INC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107.6</v>
      </c>
      <c r="H108" t="inlineStr">
        <is>
          <t>USD</t>
        </is>
      </c>
      <c r="I108" t="inlineStr">
        <is>
          <t>USD</t>
        </is>
      </c>
      <c r="J108" s="20" t="n">
        <v>1</v>
      </c>
      <c r="K108" s="4" t="n">
        <v>107.6</v>
      </c>
      <c r="L108" t="inlineStr">
        <is>
          <t>documents</t>
        </is>
      </c>
      <c r="M108" s="21" t="inlineStr">
        <is>
          <t>4416660-AS-103846</t>
        </is>
      </c>
      <c r="N108" t="inlineStr">
        <is>
          <t>https://drive.google.com/file/d/1GIKULHSQWJli1cm93rRRK6EtE3XQ5sbf/view?usp=drivesdk</t>
        </is>
      </c>
    </row>
    <row r="109" ht="12" customHeight="1">
      <c r="A109" t="inlineStr">
        <is>
          <t>202604</t>
        </is>
      </c>
      <c r="B109" t="inlineStr">
        <is>
          <t>INC</t>
        </is>
      </c>
      <c r="C109" t="inlineStr">
        <is>
          <t>cogs</t>
        </is>
      </c>
      <c r="D109" t="inlineStr">
        <is>
          <t>manufacturing</t>
        </is>
      </c>
      <c r="E109" t="inlineStr">
        <is>
          <t>JONDO</t>
        </is>
      </c>
      <c r="F109" t="inlineStr">
        <is>
          <t>invoice</t>
        </is>
      </c>
      <c r="G109" s="4" t="n">
        <v>22.39</v>
      </c>
      <c r="H109" t="inlineStr">
        <is>
          <t>USD</t>
        </is>
      </c>
      <c r="I109" t="inlineStr">
        <is>
          <t>USD</t>
        </is>
      </c>
      <c r="J109" s="20" t="n">
        <v>1</v>
      </c>
      <c r="K109" s="4" t="n">
        <v>22.39</v>
      </c>
      <c r="L109" t="inlineStr">
        <is>
          <t>documents</t>
        </is>
      </c>
      <c r="M109" s="21" t="inlineStr">
        <is>
          <t>4417786-AS-104125</t>
        </is>
      </c>
      <c r="N109" t="inlineStr">
        <is>
          <t>https://drive.google.com/file/d/1BuS0JHOxQkN-NEre26uwmyf2hPhjblk_/view?usp=drivesdk</t>
        </is>
      </c>
    </row>
    <row r="110" ht="12" customHeight="1">
      <c r="A110" t="inlineStr">
        <is>
          <t>202604</t>
        </is>
      </c>
      <c r="B110" t="inlineStr">
        <is>
          <t>INC</t>
        </is>
      </c>
      <c r="C110" t="inlineStr">
        <is>
          <t>cogs</t>
        </is>
      </c>
      <c r="D110" t="inlineStr">
        <is>
          <t>manufacturing</t>
        </is>
      </c>
      <c r="E110" t="inlineStr">
        <is>
          <t>JONDO</t>
        </is>
      </c>
      <c r="F110" t="inlineStr">
        <is>
          <t>invoice</t>
        </is>
      </c>
      <c r="G110" s="4" t="n">
        <v>120.07</v>
      </c>
      <c r="H110" t="inlineStr">
        <is>
          <t>USD</t>
        </is>
      </c>
      <c r="I110" t="inlineStr">
        <is>
          <t>USD</t>
        </is>
      </c>
      <c r="J110" s="20" t="n">
        <v>1</v>
      </c>
      <c r="K110" s="4" t="n">
        <v>120.07</v>
      </c>
      <c r="L110" t="inlineStr">
        <is>
          <t>documents</t>
        </is>
      </c>
      <c r="M110" s="21" t="inlineStr">
        <is>
          <t>4421562-AS-104370</t>
        </is>
      </c>
      <c r="N110" t="inlineStr">
        <is>
          <t>https://drive.google.com/file/d/1Zai5SdpSiYknofu3kYpK3tpoYmgqZkKp/view?usp=drivesdk</t>
        </is>
      </c>
    </row>
    <row r="111" ht="12" customHeight="1">
      <c r="A111" t="inlineStr">
        <is>
          <t>202604</t>
        </is>
      </c>
      <c r="B111" t="inlineStr">
        <is>
          <t>INC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JONDO</t>
        </is>
      </c>
      <c r="F111" t="inlineStr">
        <is>
          <t>invoice</t>
        </is>
      </c>
      <c r="G111" s="4" t="n">
        <v>80.81</v>
      </c>
      <c r="H111" t="inlineStr">
        <is>
          <t>USD</t>
        </is>
      </c>
      <c r="I111" t="inlineStr">
        <is>
          <t>USD</t>
        </is>
      </c>
      <c r="J111" s="20" t="n">
        <v>1</v>
      </c>
      <c r="K111" s="4" t="n">
        <v>80.81</v>
      </c>
      <c r="L111" t="inlineStr">
        <is>
          <t>documents</t>
        </is>
      </c>
      <c r="M111" s="21" t="inlineStr">
        <is>
          <t>4425411-AS-104643</t>
        </is>
      </c>
      <c r="N111" t="inlineStr">
        <is>
          <t>https://drive.google.com/file/d/1i1ip4fPPgQRjDtVAp7qRLlN76V9r3nnP/view?usp=drivesdk</t>
        </is>
      </c>
    </row>
    <row r="112" ht="12" customHeight="1">
      <c r="A112" t="inlineStr">
        <is>
          <t>202604</t>
        </is>
      </c>
      <c r="B112" t="inlineStr">
        <is>
          <t>INC</t>
        </is>
      </c>
      <c r="C112" t="inlineStr">
        <is>
          <t>cogs</t>
        </is>
      </c>
      <c r="D112" t="inlineStr">
        <is>
          <t>manufacturing</t>
        </is>
      </c>
      <c r="E112" t="inlineStr">
        <is>
          <t>JONDO</t>
        </is>
      </c>
      <c r="F112" t="inlineStr">
        <is>
          <t>invoice</t>
        </is>
      </c>
      <c r="G112" s="4" t="n">
        <v>41.82</v>
      </c>
      <c r="H112" t="inlineStr">
        <is>
          <t>USD</t>
        </is>
      </c>
      <c r="I112" t="inlineStr">
        <is>
          <t>USD</t>
        </is>
      </c>
      <c r="J112" s="20" t="n">
        <v>1</v>
      </c>
      <c r="K112" s="4" t="n">
        <v>41.82</v>
      </c>
      <c r="L112" t="inlineStr">
        <is>
          <t>documents</t>
        </is>
      </c>
      <c r="M112" s="21" t="inlineStr">
        <is>
          <t>4425412-AS-104694</t>
        </is>
      </c>
      <c r="N112" t="inlineStr">
        <is>
          <t>https://drive.google.com/file/d/1cU1lwn0ZqrNGS3AOsZh3B1XUFOHMiLnv/view?usp=drivesdk</t>
        </is>
      </c>
    </row>
    <row r="113" ht="12" customHeight="1">
      <c r="A113" t="inlineStr">
        <is>
          <t>202604</t>
        </is>
      </c>
      <c r="B113" t="inlineStr">
        <is>
          <t>INC</t>
        </is>
      </c>
      <c r="C113" t="inlineStr">
        <is>
          <t>cogs</t>
        </is>
      </c>
      <c r="D113" t="inlineStr">
        <is>
          <t>manufacturing</t>
        </is>
      </c>
      <c r="E113" t="inlineStr">
        <is>
          <t>JONDO</t>
        </is>
      </c>
      <c r="F113" t="inlineStr">
        <is>
          <t>invoice</t>
        </is>
      </c>
      <c r="G113" s="4" t="n">
        <v>32.57</v>
      </c>
      <c r="H113" t="inlineStr">
        <is>
          <t>USD</t>
        </is>
      </c>
      <c r="I113" t="inlineStr">
        <is>
          <t>USD</t>
        </is>
      </c>
      <c r="J113" s="20" t="n">
        <v>1</v>
      </c>
      <c r="K113" s="4" t="n">
        <v>32.57</v>
      </c>
      <c r="L113" t="inlineStr">
        <is>
          <t>documents</t>
        </is>
      </c>
      <c r="M113" s="21" t="inlineStr">
        <is>
          <t>4425413-AS-104525</t>
        </is>
      </c>
      <c r="N113" t="inlineStr">
        <is>
          <t>https://drive.google.com/file/d/1tZGByodZoOedJ9bp4seMfPvtDG50xowk/view?usp=drivesdk</t>
        </is>
      </c>
    </row>
    <row r="114" ht="12" customHeight="1">
      <c r="A114" t="inlineStr">
        <is>
          <t>202604</t>
        </is>
      </c>
      <c r="B114" t="inlineStr">
        <is>
          <t>INC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JONDO</t>
        </is>
      </c>
      <c r="F114" t="inlineStr">
        <is>
          <t>invoice</t>
        </is>
      </c>
      <c r="G114" s="4" t="n">
        <v>45.53</v>
      </c>
      <c r="H114" t="inlineStr">
        <is>
          <t>USD</t>
        </is>
      </c>
      <c r="I114" t="inlineStr">
        <is>
          <t>USD</t>
        </is>
      </c>
      <c r="J114" s="20" t="n">
        <v>1</v>
      </c>
      <c r="K114" s="4" t="n">
        <v>45.53</v>
      </c>
      <c r="L114" t="inlineStr">
        <is>
          <t>documents</t>
        </is>
      </c>
      <c r="M114" s="21" t="inlineStr">
        <is>
          <t>4425414-AS-104577</t>
        </is>
      </c>
      <c r="N114" t="inlineStr">
        <is>
          <t>https://drive.google.com/file/d/1B-KNe1kjFcrWmfKL2oaotJFlf8bu4el6/view?usp=drivesdk</t>
        </is>
      </c>
    </row>
    <row r="115" ht="12" customHeight="1">
      <c r="A115" t="inlineStr">
        <is>
          <t>202604</t>
        </is>
      </c>
      <c r="B115" t="inlineStr">
        <is>
          <t>INC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JONDO</t>
        </is>
      </c>
      <c r="F115" t="inlineStr">
        <is>
          <t>invoice</t>
        </is>
      </c>
      <c r="G115" s="4" t="n">
        <v>253</v>
      </c>
      <c r="H115" t="inlineStr">
        <is>
          <t>USD</t>
        </is>
      </c>
      <c r="I115" t="inlineStr">
        <is>
          <t>USD</t>
        </is>
      </c>
      <c r="J115" s="20" t="n">
        <v>1</v>
      </c>
      <c r="K115" s="4" t="n">
        <v>253</v>
      </c>
      <c r="L115" t="inlineStr">
        <is>
          <t>documents</t>
        </is>
      </c>
      <c r="M115" s="21" t="inlineStr">
        <is>
          <t>4426924-AS-104733</t>
        </is>
      </c>
      <c r="N115" t="inlineStr">
        <is>
          <t>https://drive.google.com/file/d/1UW1w6XEqMfhkkfrXEpknj6bwlEJSZE6d/view?usp=drivesdk</t>
        </is>
      </c>
    </row>
    <row r="116" ht="12" customHeight="1">
      <c r="A116" t="inlineStr">
        <is>
          <t>202604</t>
        </is>
      </c>
      <c r="B116" t="inlineStr">
        <is>
          <t>INC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JONDO</t>
        </is>
      </c>
      <c r="F116" t="inlineStr">
        <is>
          <t>invoice</t>
        </is>
      </c>
      <c r="G116" s="4" t="n">
        <v>81.95999999999999</v>
      </c>
      <c r="H116" t="inlineStr">
        <is>
          <t>USD</t>
        </is>
      </c>
      <c r="I116" t="inlineStr">
        <is>
          <t>USD</t>
        </is>
      </c>
      <c r="J116" s="20" t="n">
        <v>1</v>
      </c>
      <c r="K116" s="4" t="n">
        <v>81.95999999999999</v>
      </c>
      <c r="L116" t="inlineStr">
        <is>
          <t>documents</t>
        </is>
      </c>
      <c r="M116" s="21" t="inlineStr">
        <is>
          <t>4426925-AS-104749</t>
        </is>
      </c>
      <c r="N116" t="inlineStr">
        <is>
          <t>https://drive.google.com/file/d/10QuD2vUpYefpRPxZRe7klt_UKHD5wktJ/view?usp=drivesdk</t>
        </is>
      </c>
    </row>
    <row r="117" ht="12" customHeight="1">
      <c r="A117" t="inlineStr">
        <is>
          <t>202604</t>
        </is>
      </c>
      <c r="B117" t="inlineStr">
        <is>
          <t>INC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JONDO</t>
        </is>
      </c>
      <c r="F117" t="inlineStr">
        <is>
          <t>invoice</t>
        </is>
      </c>
      <c r="G117" s="4" t="n">
        <v>32.12</v>
      </c>
      <c r="H117" t="inlineStr">
        <is>
          <t>USD</t>
        </is>
      </c>
      <c r="I117" t="inlineStr">
        <is>
          <t>USD</t>
        </is>
      </c>
      <c r="J117" s="20" t="n">
        <v>1</v>
      </c>
      <c r="K117" s="4" t="n">
        <v>32.12</v>
      </c>
      <c r="L117" t="inlineStr">
        <is>
          <t>documents</t>
        </is>
      </c>
      <c r="M117" s="21" t="inlineStr">
        <is>
          <t>4426926-AS-104768</t>
        </is>
      </c>
      <c r="N117" t="inlineStr">
        <is>
          <t>https://drive.google.com/file/d/1tfuXCU5azBrZ7ndqz7gLnFoZaXNvnU5m/view?usp=drivesdk</t>
        </is>
      </c>
    </row>
    <row r="118" ht="12" customHeight="1">
      <c r="A118" t="inlineStr">
        <is>
          <t>202604</t>
        </is>
      </c>
      <c r="B118" t="inlineStr">
        <is>
          <t>INC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JONDO</t>
        </is>
      </c>
      <c r="F118" t="inlineStr">
        <is>
          <t>invoice</t>
        </is>
      </c>
      <c r="G118" s="4" t="n">
        <v>32.57</v>
      </c>
      <c r="H118" t="inlineStr">
        <is>
          <t>USD</t>
        </is>
      </c>
      <c r="I118" t="inlineStr">
        <is>
          <t>USD</t>
        </is>
      </c>
      <c r="J118" s="20" t="n">
        <v>1</v>
      </c>
      <c r="K118" s="4" t="n">
        <v>32.57</v>
      </c>
      <c r="L118" t="inlineStr">
        <is>
          <t>documents</t>
        </is>
      </c>
      <c r="M118" s="21" t="inlineStr">
        <is>
          <t>4428117-AS-104525</t>
        </is>
      </c>
      <c r="N118" t="inlineStr">
        <is>
          <t>https://drive.google.com/file/d/1OBCFslG-p8k9N2FPNUB0f-gWkszv48Rq/view?usp=drivesdk</t>
        </is>
      </c>
    </row>
    <row r="119" ht="12" customHeight="1">
      <c r="A119" t="inlineStr">
        <is>
          <t>202604</t>
        </is>
      </c>
      <c r="B119" t="inlineStr">
        <is>
          <t>INC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JONDO</t>
        </is>
      </c>
      <c r="F119" t="inlineStr">
        <is>
          <t>invoice</t>
        </is>
      </c>
      <c r="G119" s="4" t="n">
        <v>45.53</v>
      </c>
      <c r="H119" t="inlineStr">
        <is>
          <t>USD</t>
        </is>
      </c>
      <c r="I119" t="inlineStr">
        <is>
          <t>USD</t>
        </is>
      </c>
      <c r="J119" s="20" t="n">
        <v>1</v>
      </c>
      <c r="K119" s="4" t="n">
        <v>45.53</v>
      </c>
      <c r="L119" t="inlineStr">
        <is>
          <t>documents</t>
        </is>
      </c>
      <c r="M119" s="21" t="inlineStr">
        <is>
          <t>4428118-AS-104577</t>
        </is>
      </c>
      <c r="N119" t="inlineStr">
        <is>
          <t>https://drive.google.com/file/d/1dwUPo72sQ9l2-SWtuMQSGPzt5xbk_Cdc/view?usp=drivesdk</t>
        </is>
      </c>
    </row>
    <row r="120" ht="12" customHeight="1">
      <c r="A120" t="inlineStr">
        <is>
          <t>202604</t>
        </is>
      </c>
      <c r="B120" t="inlineStr">
        <is>
          <t>INC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JONDO</t>
        </is>
      </c>
      <c r="F120" t="inlineStr">
        <is>
          <t>invoice</t>
        </is>
      </c>
      <c r="G120" s="4" t="n">
        <v>68.91</v>
      </c>
      <c r="H120" t="inlineStr">
        <is>
          <t>USD</t>
        </is>
      </c>
      <c r="I120" t="inlineStr">
        <is>
          <t>USD</t>
        </is>
      </c>
      <c r="J120" s="20" t="n">
        <v>1</v>
      </c>
      <c r="K120" s="4" t="n">
        <v>68.91</v>
      </c>
      <c r="L120" t="inlineStr">
        <is>
          <t>documents</t>
        </is>
      </c>
      <c r="M120" s="21" t="inlineStr">
        <is>
          <t>4428119-AS-104835</t>
        </is>
      </c>
      <c r="N120" t="inlineStr">
        <is>
          <t>https://drive.google.com/file/d/154e-btvxE-3t50PSJNejD6xc1uR_7YXG/view?usp=drivesdk</t>
        </is>
      </c>
    </row>
    <row r="121" ht="12" customHeight="1">
      <c r="A121" t="inlineStr">
        <is>
          <t>202604</t>
        </is>
      </c>
      <c r="B121" t="inlineStr">
        <is>
          <t>INC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JONDO</t>
        </is>
      </c>
      <c r="F121" t="inlineStr">
        <is>
          <t>invoice</t>
        </is>
      </c>
      <c r="G121" s="4" t="n">
        <v>80.81</v>
      </c>
      <c r="H121" t="inlineStr">
        <is>
          <t>USD</t>
        </is>
      </c>
      <c r="I121" t="inlineStr">
        <is>
          <t>USD</t>
        </is>
      </c>
      <c r="J121" s="20" t="n">
        <v>1</v>
      </c>
      <c r="K121" s="4" t="n">
        <v>80.81</v>
      </c>
      <c r="L121" t="inlineStr">
        <is>
          <t>documents</t>
        </is>
      </c>
      <c r="M121" s="21" t="inlineStr">
        <is>
          <t>4428120-AS-104643</t>
        </is>
      </c>
      <c r="N121" t="inlineStr">
        <is>
          <t>https://drive.google.com/file/d/1cr4hBdcfltS3GKUWeUYHEXSuDC4NkH_y/view?usp=drivesdk</t>
        </is>
      </c>
    </row>
    <row r="122" ht="12" customHeight="1">
      <c r="A122" t="inlineStr">
        <is>
          <t>202604</t>
        </is>
      </c>
      <c r="B122" t="inlineStr">
        <is>
          <t>INC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JONDO</t>
        </is>
      </c>
      <c r="F122" t="inlineStr">
        <is>
          <t>invoice</t>
        </is>
      </c>
      <c r="G122" s="4" t="n">
        <v>41.82</v>
      </c>
      <c r="H122" t="inlineStr">
        <is>
          <t>USD</t>
        </is>
      </c>
      <c r="I122" t="inlineStr">
        <is>
          <t>USD</t>
        </is>
      </c>
      <c r="J122" s="20" t="n">
        <v>1</v>
      </c>
      <c r="K122" s="4" t="n">
        <v>41.82</v>
      </c>
      <c r="L122" t="inlineStr">
        <is>
          <t>documents</t>
        </is>
      </c>
      <c r="M122" s="21" t="inlineStr">
        <is>
          <t>4428121-AS-104694</t>
        </is>
      </c>
      <c r="N122" t="inlineStr">
        <is>
          <t>https://drive.google.com/file/d/17EebwUm28b0ArBmC4spA-YWwFmK0Fbef/view?usp=drivesdk</t>
        </is>
      </c>
    </row>
    <row r="123" ht="12" customHeight="1">
      <c r="A123" t="inlineStr">
        <is>
          <t>202604</t>
        </is>
      </c>
      <c r="B123" t="inlineStr">
        <is>
          <t>INC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JONDO</t>
        </is>
      </c>
      <c r="F123" t="inlineStr">
        <is>
          <t>invoice</t>
        </is>
      </c>
      <c r="G123" s="4" t="n">
        <v>52.05</v>
      </c>
      <c r="H123" t="inlineStr">
        <is>
          <t>USD</t>
        </is>
      </c>
      <c r="I123" t="inlineStr">
        <is>
          <t>USD</t>
        </is>
      </c>
      <c r="J123" s="20" t="n">
        <v>1</v>
      </c>
      <c r="K123" s="4" t="n">
        <v>52.05</v>
      </c>
      <c r="L123" t="inlineStr">
        <is>
          <t>documents</t>
        </is>
      </c>
      <c r="M123" s="21" t="inlineStr">
        <is>
          <t>4428965-AS-104863</t>
        </is>
      </c>
      <c r="N123" t="inlineStr">
        <is>
          <t>https://drive.google.com/file/d/16gmnBEEeBXW_qBiCT7Ri1j7xQ3ucbiRQ/view?usp=drivesdk</t>
        </is>
      </c>
    </row>
    <row r="124" ht="12" customHeight="1">
      <c r="A124" t="inlineStr">
        <is>
          <t>202604</t>
        </is>
      </c>
      <c r="B124" t="inlineStr">
        <is>
          <t>INC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JONDO</t>
        </is>
      </c>
      <c r="F124" t="inlineStr">
        <is>
          <t>invoice</t>
        </is>
      </c>
      <c r="G124" s="4" t="n">
        <v>27.74</v>
      </c>
      <c r="H124" t="inlineStr">
        <is>
          <t>USD</t>
        </is>
      </c>
      <c r="I124" t="inlineStr">
        <is>
          <t>USD</t>
        </is>
      </c>
      <c r="J124" s="20" t="n">
        <v>1</v>
      </c>
      <c r="K124" s="4" t="n">
        <v>27.74</v>
      </c>
      <c r="L124" t="inlineStr">
        <is>
          <t>documents</t>
        </is>
      </c>
      <c r="M124" s="21" t="inlineStr">
        <is>
          <t>4431846-AS-105060</t>
        </is>
      </c>
      <c r="N124" t="inlineStr">
        <is>
          <t>https://drive.google.com/file/d/1p6YTOtsyuA1rDKOTBwgfilqKdiQ-WLt9/view?usp=drivesdk</t>
        </is>
      </c>
    </row>
    <row r="125" ht="12" customHeight="1">
      <c r="A125" t="inlineStr">
        <is>
          <t>202604</t>
        </is>
      </c>
      <c r="B125" t="inlineStr">
        <is>
          <t>INC</t>
        </is>
      </c>
      <c r="C125" t="inlineStr">
        <is>
          <t>cogs</t>
        </is>
      </c>
      <c r="D125" t="inlineStr">
        <is>
          <t>manufacturing</t>
        </is>
      </c>
      <c r="E125" t="inlineStr">
        <is>
          <t>JONDO</t>
        </is>
      </c>
      <c r="F125" t="inlineStr">
        <is>
          <t>invoice</t>
        </is>
      </c>
      <c r="G125" s="4" t="n">
        <v>45.55</v>
      </c>
      <c r="H125" t="inlineStr">
        <is>
          <t>USD</t>
        </is>
      </c>
      <c r="I125" t="inlineStr">
        <is>
          <t>USD</t>
        </is>
      </c>
      <c r="J125" s="20" t="n">
        <v>1</v>
      </c>
      <c r="K125" s="4" t="n">
        <v>45.55</v>
      </c>
      <c r="L125" t="inlineStr">
        <is>
          <t>documents</t>
        </is>
      </c>
      <c r="M125" s="21" t="inlineStr">
        <is>
          <t>4433113-AS-105219</t>
        </is>
      </c>
      <c r="N125" t="inlineStr">
        <is>
          <t>https://drive.google.com/file/d/1d5Bw0js6L-9utZ0FngwFz9rNkgBi7YKn/view?usp=drivesdk</t>
        </is>
      </c>
    </row>
    <row r="126" ht="12" customHeight="1">
      <c r="A126" t="inlineStr">
        <is>
          <t>202604</t>
        </is>
      </c>
      <c r="B126" t="inlineStr">
        <is>
          <t>INC</t>
        </is>
      </c>
      <c r="C126" t="inlineStr">
        <is>
          <t>cogs</t>
        </is>
      </c>
      <c r="D126" t="inlineStr">
        <is>
          <t>manufacturing</t>
        </is>
      </c>
      <c r="E126" t="inlineStr">
        <is>
          <t>JONDO</t>
        </is>
      </c>
      <c r="F126" t="inlineStr">
        <is>
          <t>invoice</t>
        </is>
      </c>
      <c r="G126" s="4" t="n">
        <v>67.19</v>
      </c>
      <c r="H126" t="inlineStr">
        <is>
          <t>USD</t>
        </is>
      </c>
      <c r="I126" t="inlineStr">
        <is>
          <t>USD</t>
        </is>
      </c>
      <c r="J126" s="20" t="n">
        <v>1</v>
      </c>
      <c r="K126" s="4" t="n">
        <v>67.19</v>
      </c>
      <c r="L126" t="inlineStr">
        <is>
          <t>documents</t>
        </is>
      </c>
      <c r="M126" s="21" t="inlineStr">
        <is>
          <t>4433114-AS-105230</t>
        </is>
      </c>
      <c r="N126" t="inlineStr">
        <is>
          <t>https://drive.google.com/file/d/1rcZloBQol8hPQIaUkr2VDiOa51W2wvjA/view?usp=drivesdk</t>
        </is>
      </c>
    </row>
    <row r="127" ht="12" customHeight="1">
      <c r="A127" t="inlineStr">
        <is>
          <t>202604</t>
        </is>
      </c>
      <c r="B127" t="inlineStr">
        <is>
          <t>INC</t>
        </is>
      </c>
      <c r="C127" t="inlineStr">
        <is>
          <t>cogs</t>
        </is>
      </c>
      <c r="D127" t="inlineStr">
        <is>
          <t>manufacturing</t>
        </is>
      </c>
      <c r="E127" t="inlineStr">
        <is>
          <t>JONDO</t>
        </is>
      </c>
      <c r="F127" t="inlineStr">
        <is>
          <t>invoice</t>
        </is>
      </c>
      <c r="G127" s="4" t="n">
        <v>84.06999999999999</v>
      </c>
      <c r="H127" t="inlineStr">
        <is>
          <t>USD</t>
        </is>
      </c>
      <c r="I127" t="inlineStr">
        <is>
          <t>USD</t>
        </is>
      </c>
      <c r="J127" s="20" t="n">
        <v>1</v>
      </c>
      <c r="K127" s="4" t="n">
        <v>84.06999999999999</v>
      </c>
      <c r="L127" t="inlineStr">
        <is>
          <t>documents</t>
        </is>
      </c>
      <c r="M127" s="21" t="inlineStr">
        <is>
          <t>4434438-AS-105257</t>
        </is>
      </c>
      <c r="N127" t="inlineStr">
        <is>
          <t>https://drive.google.com/file/d/1mJ9SCyaQT_oXnM8Zd_g1as5ReVBs9hsn/view?usp=drivesdk</t>
        </is>
      </c>
    </row>
    <row r="128" ht="12" customHeight="1">
      <c r="A128" t="inlineStr">
        <is>
          <t>202604</t>
        </is>
      </c>
      <c r="B128" t="inlineStr">
        <is>
          <t>INC</t>
        </is>
      </c>
      <c r="C128" t="inlineStr">
        <is>
          <t>cogs</t>
        </is>
      </c>
      <c r="D128" t="inlineStr">
        <is>
          <t>manufacturing</t>
        </is>
      </c>
      <c r="E128" t="inlineStr">
        <is>
          <t>JONDO</t>
        </is>
      </c>
      <c r="F128" t="inlineStr">
        <is>
          <t>invoice</t>
        </is>
      </c>
      <c r="G128" s="4" t="n">
        <v>53.48</v>
      </c>
      <c r="H128" t="inlineStr">
        <is>
          <t>USD</t>
        </is>
      </c>
      <c r="I128" t="inlineStr">
        <is>
          <t>USD</t>
        </is>
      </c>
      <c r="J128" s="20" t="n">
        <v>1</v>
      </c>
      <c r="K128" s="4" t="n">
        <v>53.48</v>
      </c>
      <c r="L128" t="inlineStr">
        <is>
          <t>documents</t>
        </is>
      </c>
      <c r="M128" s="21" t="inlineStr">
        <is>
          <t>4434439-AS-105289</t>
        </is>
      </c>
      <c r="N128" t="inlineStr">
        <is>
          <t>https://drive.google.com/file/d/1Y6W36XRUwoNnfx-VuEx3OiTwepETR5f3/view?usp=drivesdk</t>
        </is>
      </c>
    </row>
    <row r="129" ht="12" customHeight="1">
      <c r="A129" t="inlineStr">
        <is>
          <t>202604</t>
        </is>
      </c>
      <c r="B129" t="inlineStr">
        <is>
          <t>INC</t>
        </is>
      </c>
      <c r="C129" t="inlineStr">
        <is>
          <t>cogs</t>
        </is>
      </c>
      <c r="D129" t="inlineStr">
        <is>
          <t>manufacturing</t>
        </is>
      </c>
      <c r="E129" t="inlineStr">
        <is>
          <t>JONDO</t>
        </is>
      </c>
      <c r="F129" t="inlineStr">
        <is>
          <t>invoice</t>
        </is>
      </c>
      <c r="G129" s="4" t="n">
        <v>64.45999999999999</v>
      </c>
      <c r="H129" t="inlineStr">
        <is>
          <t>USD</t>
        </is>
      </c>
      <c r="I129" t="inlineStr">
        <is>
          <t>USD</t>
        </is>
      </c>
      <c r="J129" s="20" t="n">
        <v>1</v>
      </c>
      <c r="K129" s="4" t="n">
        <v>64.45999999999999</v>
      </c>
      <c r="L129" t="inlineStr">
        <is>
          <t>documents</t>
        </is>
      </c>
      <c r="M129" s="21" t="inlineStr">
        <is>
          <t>4436056-AS-105418</t>
        </is>
      </c>
      <c r="N129" t="inlineStr">
        <is>
          <t>https://drive.google.com/file/d/14oDQPyYamGYQx6ufojsP4JJBdxo3N_7w/view?usp=drivesdk</t>
        </is>
      </c>
    </row>
    <row r="130" ht="12" customHeight="1">
      <c r="A130" t="inlineStr">
        <is>
          <t>202604</t>
        </is>
      </c>
      <c r="B130" t="inlineStr">
        <is>
          <t>INC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QUICKBOOKS</t>
        </is>
      </c>
      <c r="F130" t="inlineStr">
        <is>
          <t>invoice</t>
        </is>
      </c>
      <c r="G130" s="4" t="n">
        <v>121.9</v>
      </c>
      <c r="H130" t="inlineStr">
        <is>
          <t>USD</t>
        </is>
      </c>
      <c r="I130" t="inlineStr">
        <is>
          <t>USD</t>
        </is>
      </c>
      <c r="J130" s="20" t="n">
        <v>1</v>
      </c>
      <c r="K130" s="4" t="n">
        <v>121.9</v>
      </c>
      <c r="L130" t="inlineStr">
        <is>
          <t>documents</t>
        </is>
      </c>
      <c r="M130" s="21" t="inlineStr">
        <is>
          <t>10001483675456</t>
        </is>
      </c>
      <c r="N130" t="inlineStr">
        <is>
          <t>https://drive.google.com/file/d/10GMS8QOG0JEzU9zCkW6W7L8sRqY2w6oo/view?usp=drivesdk</t>
        </is>
      </c>
    </row>
    <row r="131" ht="12" customHeight="1">
      <c r="A131" t="inlineStr">
        <is>
          <t>202604</t>
        </is>
      </c>
      <c r="B131" t="inlineStr">
        <is>
          <t>INC</t>
        </is>
      </c>
      <c r="C131" t="inlineStr">
        <is>
          <t>opex</t>
        </is>
      </c>
      <c r="D131" t="inlineStr">
        <is>
          <t>shared_services</t>
        </is>
      </c>
      <c r="E131" t="inlineStr">
        <is>
          <t>SHAREDSERVICESSL</t>
        </is>
      </c>
      <c r="F131" t="inlineStr">
        <is>
          <t>invoice</t>
        </is>
      </c>
      <c r="G131" s="4" t="n">
        <v>6102.34</v>
      </c>
      <c r="H131" t="inlineStr">
        <is>
          <t>EUR</t>
        </is>
      </c>
      <c r="I131" t="inlineStr">
        <is>
          <t>USD</t>
        </is>
      </c>
      <c r="J131" s="20" t="n">
        <v>1.1702</v>
      </c>
      <c r="K131" s="4" t="n">
        <v>7140.96</v>
      </c>
      <c r="L131" t="inlineStr">
        <is>
          <t>documents</t>
        </is>
      </c>
      <c r="M131" s="21" t="inlineStr">
        <is>
          <t>2026-0024</t>
        </is>
      </c>
      <c r="N131" t="inlineStr">
        <is>
          <t>https://drive.google.com/file/d/1nA8pTTvpT0O76zFAg7QOq9o2784L7_T5/view?usp=drivesdk</t>
        </is>
      </c>
    </row>
    <row r="132" ht="12" customHeight="1">
      <c r="A132" t="inlineStr">
        <is>
          <t>202604</t>
        </is>
      </c>
      <c r="B132" t="inlineStr">
        <is>
          <t>INC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TGI</t>
        </is>
      </c>
      <c r="F132" t="inlineStr">
        <is>
          <t>manufacturing</t>
        </is>
      </c>
      <c r="G132" s="4" t="n">
        <v>1620.64</v>
      </c>
      <c r="H132" t="inlineStr">
        <is>
          <t>USD</t>
        </is>
      </c>
      <c r="I132" t="inlineStr">
        <is>
          <t>USD</t>
        </is>
      </c>
      <c r="J132" s="20" t="n">
        <v>1</v>
      </c>
      <c r="K132" s="4" t="n">
        <v>1620.64</v>
      </c>
      <c r="L132" t="inlineStr">
        <is>
          <t>documents</t>
        </is>
      </c>
      <c r="M132" s="21" t="inlineStr">
        <is>
          <t>171902</t>
        </is>
      </c>
      <c r="N132" t="inlineStr">
        <is>
          <t>https://drive.google.com/file/d/1IIuwXzxain1ekEBSznzKVAfF3nKqdIkH/view?usp=drivesdk</t>
        </is>
      </c>
    </row>
    <row r="133" ht="12" customHeight="1">
      <c r="A133" t="inlineStr">
        <is>
          <t>202604</t>
        </is>
      </c>
      <c r="B133" t="inlineStr">
        <is>
          <t>INC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TGI</t>
        </is>
      </c>
      <c r="F133" t="inlineStr">
        <is>
          <t>logistics</t>
        </is>
      </c>
      <c r="G133" s="4" t="n">
        <v>2945.34</v>
      </c>
      <c r="H133" t="inlineStr">
        <is>
          <t>USD</t>
        </is>
      </c>
      <c r="I133" t="inlineStr">
        <is>
          <t>USD</t>
        </is>
      </c>
      <c r="J133" s="20" t="n">
        <v>1</v>
      </c>
      <c r="K133" s="4" t="n">
        <v>2945.34</v>
      </c>
      <c r="L133" t="inlineStr">
        <is>
          <t>documents</t>
        </is>
      </c>
      <c r="M133" s="21" t="inlineStr">
        <is>
          <t>171903</t>
        </is>
      </c>
      <c r="N133" t="inlineStr">
        <is>
          <t>https://drive.google.com/file/d/1x9DKQm2r5Bqa1HKdVtNxxzDN1_WRbLr1/view?usp=drivesdk</t>
        </is>
      </c>
    </row>
    <row r="134" ht="12" customHeight="1">
      <c r="A134" t="inlineStr">
        <is>
          <t>202605</t>
        </is>
      </c>
      <c r="B134" t="inlineStr">
        <is>
          <t>INC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CONTINUUM</t>
        </is>
      </c>
      <c r="F134" t="inlineStr">
        <is>
          <t>invoice</t>
        </is>
      </c>
      <c r="G134" s="4" t="n">
        <v>1150</v>
      </c>
      <c r="H134" t="inlineStr">
        <is>
          <t>USD</t>
        </is>
      </c>
      <c r="I134" t="inlineStr">
        <is>
          <t>USD</t>
        </is>
      </c>
      <c r="J134" s="20" t="n">
        <v>1</v>
      </c>
      <c r="K134" s="4" t="n">
        <v>1150</v>
      </c>
      <c r="L134" t="inlineStr">
        <is>
          <t>documents</t>
        </is>
      </c>
      <c r="M134" s="21" t="inlineStr">
        <is>
          <t>1285</t>
        </is>
      </c>
      <c r="N134" t="inlineStr">
        <is>
          <t>https://drive.google.com/file/d/14RebM9T6okZWl1_QjsKBrKfH_moYj-bx/view?usp=drivesdk</t>
        </is>
      </c>
    </row>
    <row r="135" ht="12" customHeight="1">
      <c r="A135" t="inlineStr">
        <is>
          <t>202605</t>
        </is>
      </c>
      <c r="B135" t="inlineStr">
        <is>
          <t>INC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HUSHED</t>
        </is>
      </c>
      <c r="F135" t="inlineStr">
        <is>
          <t>invoice</t>
        </is>
      </c>
      <c r="G135" s="4" t="n">
        <v>4.99</v>
      </c>
      <c r="H135" t="inlineStr">
        <is>
          <t>USD</t>
        </is>
      </c>
      <c r="I135" t="inlineStr">
        <is>
          <t>USD</t>
        </is>
      </c>
      <c r="J135" s="20" t="n">
        <v>1</v>
      </c>
      <c r="K135" s="4" t="n">
        <v>4.99</v>
      </c>
      <c r="L135" t="inlineStr">
        <is>
          <t>documents</t>
        </is>
      </c>
      <c r="M135" s="21" t="inlineStr">
        <is>
          <t>2264-3993</t>
        </is>
      </c>
      <c r="N135" t="inlineStr">
        <is>
          <t>https://drive.google.com/file/d/1lTXgoeRa-ffxxjQ80n2qLM806BQ5JtD_/view?usp=drivesdk</t>
        </is>
      </c>
    </row>
    <row r="136" ht="12" customHeight="1">
      <c r="A136" t="inlineStr">
        <is>
          <t>202605</t>
        </is>
      </c>
      <c r="B136" t="inlineStr">
        <is>
          <t>INC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IPOSTAL</t>
        </is>
      </c>
      <c r="F136" t="inlineStr">
        <is>
          <t>invoice</t>
        </is>
      </c>
      <c r="G136" s="4" t="n">
        <v>1.1</v>
      </c>
      <c r="H136" t="inlineStr">
        <is>
          <t>USD</t>
        </is>
      </c>
      <c r="I136" t="inlineStr">
        <is>
          <t>USD</t>
        </is>
      </c>
      <c r="J136" s="20" t="n">
        <v>1</v>
      </c>
      <c r="K136" s="4" t="n">
        <v>1.1</v>
      </c>
      <c r="L136" t="inlineStr">
        <is>
          <t>documents</t>
        </is>
      </c>
      <c r="M136" s="21" t="inlineStr">
        <is>
          <t>37443283</t>
        </is>
      </c>
      <c r="N136" t="inlineStr">
        <is>
          <t>https://drive.google.com/file/d/1g2EiF6nXUu4sshH4QYpojPrqD4h4E2sT/view?usp=drivesdk</t>
        </is>
      </c>
    </row>
    <row r="137" ht="12" customHeight="1">
      <c r="A137" t="inlineStr">
        <is>
          <t>202605</t>
        </is>
      </c>
      <c r="B137" t="inlineStr">
        <is>
          <t>INC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IPOSTAL</t>
        </is>
      </c>
      <c r="F137" t="inlineStr">
        <is>
          <t>invoice</t>
        </is>
      </c>
      <c r="G137" s="4" t="n">
        <v>1.1</v>
      </c>
      <c r="H137" t="inlineStr">
        <is>
          <t>USD</t>
        </is>
      </c>
      <c r="I137" t="inlineStr">
        <is>
          <t>USD</t>
        </is>
      </c>
      <c r="J137" s="20" t="n">
        <v>1</v>
      </c>
      <c r="K137" s="4" t="n">
        <v>1.1</v>
      </c>
      <c r="L137" t="inlineStr">
        <is>
          <t>documents</t>
        </is>
      </c>
      <c r="M137" s="21" t="inlineStr">
        <is>
          <t>37611360</t>
        </is>
      </c>
      <c r="N137" t="inlineStr">
        <is>
          <t>https://drive.google.com/file/d/1g2EiF6nXUu4sshH4QYpojPrqD4h4E2sT/view?usp=drivesdk</t>
        </is>
      </c>
    </row>
    <row r="138" ht="12" customHeight="1">
      <c r="A138" t="inlineStr">
        <is>
          <t>202605</t>
        </is>
      </c>
      <c r="B138" t="inlineStr">
        <is>
          <t>INC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IPOSTAL</t>
        </is>
      </c>
      <c r="F138" t="inlineStr">
        <is>
          <t>invoice</t>
        </is>
      </c>
      <c r="G138" s="4" t="n">
        <v>4.4</v>
      </c>
      <c r="H138" t="inlineStr">
        <is>
          <t>USD</t>
        </is>
      </c>
      <c r="I138" t="inlineStr">
        <is>
          <t>USD</t>
        </is>
      </c>
      <c r="J138" s="20" t="n">
        <v>1</v>
      </c>
      <c r="K138" s="4" t="n">
        <v>4.4</v>
      </c>
      <c r="L138" t="inlineStr">
        <is>
          <t>documents</t>
        </is>
      </c>
      <c r="M138" s="21" t="inlineStr">
        <is>
          <t>37772455</t>
        </is>
      </c>
      <c r="N138" t="inlineStr">
        <is>
          <t>https://drive.google.com/file/d/1g2EiF6nXUu4sshH4QYpojPrqD4h4E2sT/view?usp=drivesdk</t>
        </is>
      </c>
    </row>
    <row r="139" ht="12" customHeight="1">
      <c r="A139" t="inlineStr">
        <is>
          <t>202605</t>
        </is>
      </c>
      <c r="B139" t="inlineStr">
        <is>
          <t>INC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IPOSTAL</t>
        </is>
      </c>
      <c r="F139" t="inlineStr">
        <is>
          <t>invoice</t>
        </is>
      </c>
      <c r="G139" s="4" t="n">
        <v>2.2</v>
      </c>
      <c r="H139" t="inlineStr">
        <is>
          <t>USD</t>
        </is>
      </c>
      <c r="I139" t="inlineStr">
        <is>
          <t>USD</t>
        </is>
      </c>
      <c r="J139" s="20" t="n">
        <v>1</v>
      </c>
      <c r="K139" s="4" t="n">
        <v>2.2</v>
      </c>
      <c r="L139" t="inlineStr">
        <is>
          <t>documents</t>
        </is>
      </c>
      <c r="M139" s="21" t="inlineStr">
        <is>
          <t>37933367</t>
        </is>
      </c>
      <c r="N139" t="inlineStr">
        <is>
          <t>https://drive.google.com/file/d/1g2EiF6nXUu4sshH4QYpojPrqD4h4E2sT/view?usp=drivesdk</t>
        </is>
      </c>
    </row>
    <row r="140" ht="12" customHeight="1">
      <c r="A140" t="inlineStr">
        <is>
          <t>202605</t>
        </is>
      </c>
      <c r="B140" t="inlineStr">
        <is>
          <t>INC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IPOSTAL</t>
        </is>
      </c>
      <c r="F140" t="inlineStr">
        <is>
          <t>invoice</t>
        </is>
      </c>
      <c r="G140" s="4" t="n">
        <v>14.99</v>
      </c>
      <c r="H140" t="inlineStr">
        <is>
          <t>USD</t>
        </is>
      </c>
      <c r="I140" t="inlineStr">
        <is>
          <t>USD</t>
        </is>
      </c>
      <c r="J140" s="20" t="n">
        <v>1</v>
      </c>
      <c r="K140" s="4" t="n">
        <v>14.99</v>
      </c>
      <c r="L140" t="inlineStr">
        <is>
          <t>documents</t>
        </is>
      </c>
      <c r="M140" s="21" t="inlineStr">
        <is>
          <t>38027880</t>
        </is>
      </c>
      <c r="N140" t="inlineStr">
        <is>
          <t>https://drive.google.com/file/d/1g2EiF6nXUu4sshH4QYpojPrqD4h4E2sT/view?usp=drivesdk</t>
        </is>
      </c>
    </row>
    <row r="141" ht="12" customHeight="1">
      <c r="A141" t="inlineStr">
        <is>
          <t>202605</t>
        </is>
      </c>
      <c r="B141" t="inlineStr">
        <is>
          <t>INC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IPOSTAL</t>
        </is>
      </c>
      <c r="F141" t="inlineStr">
        <is>
          <t>invoice</t>
        </is>
      </c>
      <c r="G141" s="4" t="n">
        <v>2.2</v>
      </c>
      <c r="H141" t="inlineStr">
        <is>
          <t>USD</t>
        </is>
      </c>
      <c r="I141" t="inlineStr">
        <is>
          <t>USD</t>
        </is>
      </c>
      <c r="J141" s="20" t="n">
        <v>1</v>
      </c>
      <c r="K141" s="4" t="n">
        <v>2.2</v>
      </c>
      <c r="L141" t="inlineStr">
        <is>
          <t>documents</t>
        </is>
      </c>
      <c r="M141" s="21" t="inlineStr">
        <is>
          <t>38088985</t>
        </is>
      </c>
      <c r="N141" t="inlineStr">
        <is>
          <t>https://drive.google.com/file/d/1g2EiF6nXUu4sshH4QYpojPrqD4h4E2sT/view?usp=drivesdk</t>
        </is>
      </c>
    </row>
    <row r="142" ht="12" customHeight="1">
      <c r="A142" t="inlineStr">
        <is>
          <t>202605</t>
        </is>
      </c>
      <c r="B142" t="inlineStr">
        <is>
          <t>INC</t>
        </is>
      </c>
      <c r="C142" t="inlineStr">
        <is>
          <t>cogs</t>
        </is>
      </c>
      <c r="D142" t="inlineStr">
        <is>
          <t>manufacturing</t>
        </is>
      </c>
      <c r="E142" t="inlineStr">
        <is>
          <t>JONDO</t>
        </is>
      </c>
      <c r="F142" t="inlineStr">
        <is>
          <t>invoice</t>
        </is>
      </c>
      <c r="G142" s="4" t="n">
        <v>53.38</v>
      </c>
      <c r="H142" t="inlineStr">
        <is>
          <t>USD</t>
        </is>
      </c>
      <c r="I142" t="inlineStr">
        <is>
          <t>USD</t>
        </is>
      </c>
      <c r="J142" s="20" t="n">
        <v>1</v>
      </c>
      <c r="K142" s="4" t="n">
        <v>53.38</v>
      </c>
      <c r="L142" t="inlineStr">
        <is>
          <t>documents</t>
        </is>
      </c>
      <c r="M142" s="21" t="inlineStr">
        <is>
          <t>4440069-AS-105667</t>
        </is>
      </c>
      <c r="N142" t="inlineStr">
        <is>
          <t>https://drive.google.com/file/d/18ytOGToIkXy-rzjApFltun5Y-yDDg-xX/view?usp=drivesdk</t>
        </is>
      </c>
    </row>
    <row r="143" ht="12" customHeight="1">
      <c r="A143" t="inlineStr">
        <is>
          <t>202605</t>
        </is>
      </c>
      <c r="B143" t="inlineStr">
        <is>
          <t>INC</t>
        </is>
      </c>
      <c r="C143" t="inlineStr">
        <is>
          <t>cogs</t>
        </is>
      </c>
      <c r="D143" t="inlineStr">
        <is>
          <t>manufacturing</t>
        </is>
      </c>
      <c r="E143" t="inlineStr">
        <is>
          <t>JONDO</t>
        </is>
      </c>
      <c r="F143" t="inlineStr">
        <is>
          <t>invoice</t>
        </is>
      </c>
      <c r="G143" s="4" t="n">
        <v>45.78</v>
      </c>
      <c r="H143" t="inlineStr">
        <is>
          <t>USD</t>
        </is>
      </c>
      <c r="I143" t="inlineStr">
        <is>
          <t>USD</t>
        </is>
      </c>
      <c r="J143" s="20" t="n">
        <v>1</v>
      </c>
      <c r="K143" s="4" t="n">
        <v>45.78</v>
      </c>
      <c r="L143" t="inlineStr">
        <is>
          <t>documents</t>
        </is>
      </c>
      <c r="M143" s="21" t="inlineStr">
        <is>
          <t>4440070-AS-105581</t>
        </is>
      </c>
      <c r="N143" t="inlineStr">
        <is>
          <t>https://drive.google.com/file/d/19xkE4EKEDrW6VhIr2PHTTjwZNo4nmknC/view?usp=drivesdk</t>
        </is>
      </c>
    </row>
    <row r="144" ht="12" customHeight="1">
      <c r="A144" t="inlineStr">
        <is>
          <t>202605</t>
        </is>
      </c>
      <c r="B144" t="inlineStr">
        <is>
          <t>INC</t>
        </is>
      </c>
      <c r="C144" t="inlineStr">
        <is>
          <t>cogs</t>
        </is>
      </c>
      <c r="D144" t="inlineStr">
        <is>
          <t>manufacturing</t>
        </is>
      </c>
      <c r="E144" t="inlineStr">
        <is>
          <t>JONDO</t>
        </is>
      </c>
      <c r="F144" t="inlineStr">
        <is>
          <t>invoice</t>
        </is>
      </c>
      <c r="G144" s="4" t="n">
        <v>65.51000000000001</v>
      </c>
      <c r="H144" t="inlineStr">
        <is>
          <t>USD</t>
        </is>
      </c>
      <c r="I144" t="inlineStr">
        <is>
          <t>USD</t>
        </is>
      </c>
      <c r="J144" s="20" t="n">
        <v>1</v>
      </c>
      <c r="K144" s="4" t="n">
        <v>65.51000000000001</v>
      </c>
      <c r="L144" t="inlineStr">
        <is>
          <t>documents</t>
        </is>
      </c>
      <c r="M144" s="21" t="inlineStr">
        <is>
          <t>4441419-AS-105876</t>
        </is>
      </c>
      <c r="N144" t="inlineStr">
        <is>
          <t>https://drive.google.com/file/d/17KMdk_KQoPW4qcuYLIv-W5NpLcne46Vn/view?usp=drivesdk</t>
        </is>
      </c>
    </row>
    <row r="145" ht="12" customHeight="1">
      <c r="A145" t="inlineStr">
        <is>
          <t>202605</t>
        </is>
      </c>
      <c r="B145" t="inlineStr">
        <is>
          <t>INC</t>
        </is>
      </c>
      <c r="C145" t="inlineStr">
        <is>
          <t>cogs</t>
        </is>
      </c>
      <c r="D145" t="inlineStr">
        <is>
          <t>manufacturing</t>
        </is>
      </c>
      <c r="E145" t="inlineStr">
        <is>
          <t>JONDO</t>
        </is>
      </c>
      <c r="F145" t="inlineStr">
        <is>
          <t>invoice</t>
        </is>
      </c>
      <c r="G145" s="4" t="n">
        <v>105.23</v>
      </c>
      <c r="H145" t="inlineStr">
        <is>
          <t>USD</t>
        </is>
      </c>
      <c r="I145" t="inlineStr">
        <is>
          <t>USD</t>
        </is>
      </c>
      <c r="J145" s="20" t="n">
        <v>1</v>
      </c>
      <c r="K145" s="4" t="n">
        <v>105.23</v>
      </c>
      <c r="L145" t="inlineStr">
        <is>
          <t>documents</t>
        </is>
      </c>
      <c r="M145" s="21" t="inlineStr">
        <is>
          <t>4441420-AS-105890</t>
        </is>
      </c>
      <c r="N145" t="inlineStr">
        <is>
          <t>https://drive.google.com/file/d/1JvQz5kd2zSXcECkVsBiH2y6EP_8GLqp8/view?usp=drivesdk</t>
        </is>
      </c>
    </row>
    <row r="146" ht="12" customHeight="1">
      <c r="A146" t="inlineStr">
        <is>
          <t>202605</t>
        </is>
      </c>
      <c r="B146" t="inlineStr">
        <is>
          <t>INC</t>
        </is>
      </c>
      <c r="C146" t="inlineStr">
        <is>
          <t>cogs</t>
        </is>
      </c>
      <c r="D146" t="inlineStr">
        <is>
          <t>manufacturing</t>
        </is>
      </c>
      <c r="E146" t="inlineStr">
        <is>
          <t>JONDO</t>
        </is>
      </c>
      <c r="F146" t="inlineStr">
        <is>
          <t>invoice</t>
        </is>
      </c>
      <c r="G146" s="4" t="n">
        <v>61.22</v>
      </c>
      <c r="H146" t="inlineStr">
        <is>
          <t>USD</t>
        </is>
      </c>
      <c r="I146" t="inlineStr">
        <is>
          <t>USD</t>
        </is>
      </c>
      <c r="J146" s="20" t="n">
        <v>1</v>
      </c>
      <c r="K146" s="4" t="n">
        <v>61.22</v>
      </c>
      <c r="L146" t="inlineStr">
        <is>
          <t>documents</t>
        </is>
      </c>
      <c r="M146" s="21" t="inlineStr">
        <is>
          <t>4449620-AS-106379</t>
        </is>
      </c>
      <c r="N146" t="inlineStr">
        <is>
          <t>https://drive.google.com/file/d/1HJ8QjOhaLLh82RoqUU3DWka0odw6tSIj/view?usp=drivesdk</t>
        </is>
      </c>
    </row>
    <row r="147" ht="12" customHeight="1">
      <c r="A147" t="inlineStr">
        <is>
          <t>202605</t>
        </is>
      </c>
      <c r="B147" t="inlineStr">
        <is>
          <t>INC</t>
        </is>
      </c>
      <c r="C147" t="inlineStr">
        <is>
          <t>cogs</t>
        </is>
      </c>
      <c r="D147" t="inlineStr">
        <is>
          <t>manufacturing</t>
        </is>
      </c>
      <c r="E147" t="inlineStr">
        <is>
          <t>JONDO</t>
        </is>
      </c>
      <c r="F147" t="inlineStr">
        <is>
          <t>invoice</t>
        </is>
      </c>
      <c r="G147" s="4" t="n">
        <v>81.95999999999999</v>
      </c>
      <c r="H147" t="inlineStr">
        <is>
          <t>USD</t>
        </is>
      </c>
      <c r="I147" t="inlineStr">
        <is>
          <t>USD</t>
        </is>
      </c>
      <c r="J147" s="20" t="n">
        <v>1</v>
      </c>
      <c r="K147" s="4" t="n">
        <v>81.95999999999999</v>
      </c>
      <c r="L147" t="inlineStr">
        <is>
          <t>documents</t>
        </is>
      </c>
      <c r="M147" s="21" t="inlineStr">
        <is>
          <t>4454774-AS-106751</t>
        </is>
      </c>
      <c r="N147" t="inlineStr">
        <is>
          <t>https://drive.google.com/file/d/1E2t3d44nZ0rcRZQJYHuM2lSkSoeOjrGt/view?usp=drivesdk</t>
        </is>
      </c>
    </row>
    <row r="148" ht="12" customHeight="1">
      <c r="A148" t="inlineStr">
        <is>
          <t>202605</t>
        </is>
      </c>
      <c r="B148" t="inlineStr">
        <is>
          <t>INC</t>
        </is>
      </c>
      <c r="C148" t="inlineStr">
        <is>
          <t>cogs</t>
        </is>
      </c>
      <c r="D148" t="inlineStr">
        <is>
          <t>manufacturing</t>
        </is>
      </c>
      <c r="E148" t="inlineStr">
        <is>
          <t>JONDO</t>
        </is>
      </c>
      <c r="F148" t="inlineStr">
        <is>
          <t>invoice</t>
        </is>
      </c>
      <c r="G148" s="4" t="n">
        <v>82.54000000000001</v>
      </c>
      <c r="H148" t="inlineStr">
        <is>
          <t>USD</t>
        </is>
      </c>
      <c r="I148" t="inlineStr">
        <is>
          <t>USD</t>
        </is>
      </c>
      <c r="J148" s="20" t="n">
        <v>1</v>
      </c>
      <c r="K148" s="4" t="n">
        <v>82.54000000000001</v>
      </c>
      <c r="L148" t="inlineStr">
        <is>
          <t>documents</t>
        </is>
      </c>
      <c r="M148" s="21" t="inlineStr">
        <is>
          <t>4456204-AS-106912</t>
        </is>
      </c>
      <c r="N148" t="inlineStr">
        <is>
          <t>https://drive.google.com/file/d/1-M3UeiZ-lBUr2eTUu9ZAQR7lNZFWGxu5/view?usp=drivesdk</t>
        </is>
      </c>
    </row>
    <row r="149" ht="12" customHeight="1">
      <c r="A149" t="inlineStr">
        <is>
          <t>202605</t>
        </is>
      </c>
      <c r="B149" t="inlineStr">
        <is>
          <t>INC</t>
        </is>
      </c>
      <c r="C149" t="inlineStr">
        <is>
          <t>cogs</t>
        </is>
      </c>
      <c r="D149" t="inlineStr">
        <is>
          <t>manufacturing</t>
        </is>
      </c>
      <c r="E149" t="inlineStr">
        <is>
          <t>JONDO</t>
        </is>
      </c>
      <c r="F149" t="inlineStr">
        <is>
          <t>invoice</t>
        </is>
      </c>
      <c r="G149" s="4" t="n">
        <v>31.61</v>
      </c>
      <c r="H149" t="inlineStr">
        <is>
          <t>USD</t>
        </is>
      </c>
      <c r="I149" t="inlineStr">
        <is>
          <t>USD</t>
        </is>
      </c>
      <c r="J149" s="20" t="n">
        <v>1</v>
      </c>
      <c r="K149" s="4" t="n">
        <v>31.61</v>
      </c>
      <c r="L149" t="inlineStr">
        <is>
          <t>documents</t>
        </is>
      </c>
      <c r="M149" s="21" t="inlineStr">
        <is>
          <t>4456205-AS-106971</t>
        </is>
      </c>
      <c r="N149" t="inlineStr">
        <is>
          <t>https://drive.google.com/file/d/1fzIL6_Ck9TmFnHmfABlrljqJSn9umQZL/view?usp=drivesdk</t>
        </is>
      </c>
    </row>
    <row r="150" ht="12" customHeight="1">
      <c r="A150" t="inlineStr">
        <is>
          <t>202605</t>
        </is>
      </c>
      <c r="B150" t="inlineStr">
        <is>
          <t>INC</t>
        </is>
      </c>
      <c r="C150" t="inlineStr">
        <is>
          <t>cogs</t>
        </is>
      </c>
      <c r="D150" t="inlineStr">
        <is>
          <t>manufacturing</t>
        </is>
      </c>
      <c r="E150" t="inlineStr">
        <is>
          <t>JONDO</t>
        </is>
      </c>
      <c r="F150" t="inlineStr">
        <is>
          <t>invoice</t>
        </is>
      </c>
      <c r="G150" s="4" t="n">
        <v>27.76</v>
      </c>
      <c r="H150" t="inlineStr">
        <is>
          <t>USD</t>
        </is>
      </c>
      <c r="I150" t="inlineStr">
        <is>
          <t>USD</t>
        </is>
      </c>
      <c r="J150" s="20" t="n">
        <v>1</v>
      </c>
      <c r="K150" s="4" t="n">
        <v>27.76</v>
      </c>
      <c r="L150" t="inlineStr">
        <is>
          <t>documents</t>
        </is>
      </c>
      <c r="M150" s="21" t="inlineStr">
        <is>
          <t>4456326-AS-106477</t>
        </is>
      </c>
      <c r="N150" t="inlineStr">
        <is>
          <t>https://drive.google.com/file/d/1lY2TLOZwSa50IcGd1mCLZcyFMPOOPGaj/view?usp=drivesdk</t>
        </is>
      </c>
    </row>
    <row r="151" ht="12" customHeight="1">
      <c r="A151" t="inlineStr">
        <is>
          <t>202605</t>
        </is>
      </c>
      <c r="B151" t="inlineStr">
        <is>
          <t>INC</t>
        </is>
      </c>
      <c r="C151" t="inlineStr">
        <is>
          <t>cogs</t>
        </is>
      </c>
      <c r="D151" t="inlineStr">
        <is>
          <t>manufacturing</t>
        </is>
      </c>
      <c r="E151" t="inlineStr">
        <is>
          <t>JONDO</t>
        </is>
      </c>
      <c r="F151" t="inlineStr">
        <is>
          <t>invoice</t>
        </is>
      </c>
      <c r="G151" s="4" t="n">
        <v>106.13</v>
      </c>
      <c r="H151" t="inlineStr">
        <is>
          <t>USD</t>
        </is>
      </c>
      <c r="I151" t="inlineStr">
        <is>
          <t>USD</t>
        </is>
      </c>
      <c r="J151" s="20" t="n">
        <v>1</v>
      </c>
      <c r="K151" s="4" t="n">
        <v>106.13</v>
      </c>
      <c r="L151" t="inlineStr">
        <is>
          <t>documents</t>
        </is>
      </c>
      <c r="M151" s="21" t="inlineStr">
        <is>
          <t>4460094-AS-107180</t>
        </is>
      </c>
      <c r="N151" t="inlineStr">
        <is>
          <t>https://drive.google.com/file/d/14apJ2TElnvKrdgfkXbtk8Ih75xMX0lBn/view?usp=drivesdk</t>
        </is>
      </c>
    </row>
    <row r="152" ht="12" customHeight="1">
      <c r="A152" t="inlineStr">
        <is>
          <t>202605</t>
        </is>
      </c>
      <c r="B152" t="inlineStr">
        <is>
          <t>INC</t>
        </is>
      </c>
      <c r="C152" t="inlineStr">
        <is>
          <t>cogs</t>
        </is>
      </c>
      <c r="D152" t="inlineStr">
        <is>
          <t>manufacturing</t>
        </is>
      </c>
      <c r="E152" t="inlineStr">
        <is>
          <t>JONDO</t>
        </is>
      </c>
      <c r="F152" t="inlineStr">
        <is>
          <t>invoice</t>
        </is>
      </c>
      <c r="G152" s="4" t="n">
        <v>51.24</v>
      </c>
      <c r="H152" t="inlineStr">
        <is>
          <t>USD</t>
        </is>
      </c>
      <c r="I152" t="inlineStr">
        <is>
          <t>USD</t>
        </is>
      </c>
      <c r="J152" s="20" t="n">
        <v>1</v>
      </c>
      <c r="K152" s="4" t="n">
        <v>51.24</v>
      </c>
      <c r="L152" t="inlineStr">
        <is>
          <t>documents</t>
        </is>
      </c>
      <c r="M152" s="21" t="inlineStr">
        <is>
          <t>4469149-AS-107648</t>
        </is>
      </c>
      <c r="N152" t="inlineStr">
        <is>
          <t>https://drive.google.com/file/d/1qcV3CaZbFZBXAH7Xw1ekKOFK-1ZajK-I/view?usp=drivesdk</t>
        </is>
      </c>
    </row>
    <row r="153" ht="12" customHeight="1">
      <c r="A153" t="inlineStr">
        <is>
          <t>202605</t>
        </is>
      </c>
      <c r="B153" t="inlineStr">
        <is>
          <t>INC</t>
        </is>
      </c>
      <c r="C153" t="inlineStr">
        <is>
          <t>cogs</t>
        </is>
      </c>
      <c r="D153" t="inlineStr">
        <is>
          <t>manufacturing</t>
        </is>
      </c>
      <c r="E153" t="inlineStr">
        <is>
          <t>JONDO</t>
        </is>
      </c>
      <c r="F153" t="inlineStr">
        <is>
          <t>invoice</t>
        </is>
      </c>
      <c r="G153" s="4" t="n">
        <v>50</v>
      </c>
      <c r="H153" t="inlineStr">
        <is>
          <t>USD</t>
        </is>
      </c>
      <c r="I153" t="inlineStr">
        <is>
          <t>USD</t>
        </is>
      </c>
      <c r="J153" s="20" t="n">
        <v>1</v>
      </c>
      <c r="K153" s="4" t="n">
        <v>50</v>
      </c>
      <c r="L153" t="inlineStr">
        <is>
          <t>documents</t>
        </is>
      </c>
      <c r="M153" s="21" t="inlineStr">
        <is>
          <t>4469150-AS-107705</t>
        </is>
      </c>
      <c r="N153" t="inlineStr">
        <is>
          <t>https://drive.google.com/file/d/127G6UiRiwC5wo6L3vJZ1PQlZZDOrXbzk/view?usp=drivesdk</t>
        </is>
      </c>
    </row>
    <row r="154" ht="12" customHeight="1">
      <c r="A154" t="inlineStr">
        <is>
          <t>202605</t>
        </is>
      </c>
      <c r="B154" t="inlineStr">
        <is>
          <t>INC</t>
        </is>
      </c>
      <c r="C154" t="inlineStr">
        <is>
          <t>cogs</t>
        </is>
      </c>
      <c r="D154" t="inlineStr">
        <is>
          <t>manufacturing</t>
        </is>
      </c>
      <c r="E154" t="inlineStr">
        <is>
          <t>JONDO</t>
        </is>
      </c>
      <c r="F154" t="inlineStr">
        <is>
          <t>invoice</t>
        </is>
      </c>
      <c r="G154" s="4" t="n">
        <v>50.47</v>
      </c>
      <c r="H154" t="inlineStr">
        <is>
          <t>USD</t>
        </is>
      </c>
      <c r="I154" t="inlineStr">
        <is>
          <t>USD</t>
        </is>
      </c>
      <c r="J154" s="20" t="n">
        <v>1</v>
      </c>
      <c r="K154" s="4" t="n">
        <v>50.47</v>
      </c>
      <c r="L154" t="inlineStr">
        <is>
          <t>documents</t>
        </is>
      </c>
      <c r="M154" s="21" t="inlineStr">
        <is>
          <t>4469151-AS-107615</t>
        </is>
      </c>
      <c r="N154" t="inlineStr">
        <is>
          <t>https://drive.google.com/file/d/17_S1U0moA_aoJvpm9JkajhW65yuDGt02/view?usp=drivesdk</t>
        </is>
      </c>
    </row>
    <row r="155" ht="12" customHeight="1">
      <c r="A155" t="inlineStr">
        <is>
          <t>202605</t>
        </is>
      </c>
      <c r="B155" t="inlineStr">
        <is>
          <t>INC</t>
        </is>
      </c>
      <c r="C155" t="inlineStr">
        <is>
          <t>opex</t>
        </is>
      </c>
      <c r="D155" t="inlineStr">
        <is>
          <t>administration</t>
        </is>
      </c>
      <c r="E155" t="inlineStr">
        <is>
          <t>QUICKBOOKS</t>
        </is>
      </c>
      <c r="F155" t="inlineStr">
        <is>
          <t>invoice</t>
        </is>
      </c>
      <c r="G155" s="4" t="n">
        <v>121.9</v>
      </c>
      <c r="H155" t="inlineStr">
        <is>
          <t>USD</t>
        </is>
      </c>
      <c r="I155" t="inlineStr">
        <is>
          <t>USD</t>
        </is>
      </c>
      <c r="J155" s="20" t="n">
        <v>1</v>
      </c>
      <c r="K155" s="4" t="n">
        <v>121.9</v>
      </c>
      <c r="L155" t="inlineStr">
        <is>
          <t>documents</t>
        </is>
      </c>
      <c r="M155" s="21" t="inlineStr">
        <is>
          <t>10001492157742</t>
        </is>
      </c>
      <c r="N155" t="inlineStr">
        <is>
          <t>https://drive.google.com/file/d/1LMooejyToaDm4lXdjBAu5jHazJdu-AFF/view?usp=drivesdk</t>
        </is>
      </c>
    </row>
    <row r="156" ht="12" customHeight="1">
      <c r="A156" t="inlineStr">
        <is>
          <t>202605</t>
        </is>
      </c>
      <c r="B156" t="inlineStr">
        <is>
          <t>INC</t>
        </is>
      </c>
      <c r="C156" t="inlineStr">
        <is>
          <t>opex</t>
        </is>
      </c>
      <c r="D156" t="inlineStr">
        <is>
          <t>shared_services</t>
        </is>
      </c>
      <c r="E156" t="inlineStr">
        <is>
          <t>SHAREDSERVICESSL</t>
        </is>
      </c>
      <c r="F156" t="inlineStr">
        <is>
          <t>invoice</t>
        </is>
      </c>
      <c r="G156" s="4" t="n">
        <v>5381.74</v>
      </c>
      <c r="H156" t="inlineStr">
        <is>
          <t>EUR</t>
        </is>
      </c>
      <c r="I156" t="inlineStr">
        <is>
          <t>USD</t>
        </is>
      </c>
      <c r="J156" s="20" t="n">
        <v>1.1644</v>
      </c>
      <c r="K156" s="4" t="n">
        <v>6266.5</v>
      </c>
      <c r="L156" t="inlineStr">
        <is>
          <t>documents</t>
        </is>
      </c>
      <c r="M156" s="21" t="inlineStr">
        <is>
          <t>2026-0028</t>
        </is>
      </c>
      <c r="N156" t="inlineStr">
        <is>
          <t>https://drive.google.com/file/d/1ndoIxnRCHpafl83Lsyq-PVVCI1_lzXKu/view?usp=drivesdk</t>
        </is>
      </c>
    </row>
    <row r="157" ht="12" customHeight="1">
      <c r="A157" t="inlineStr">
        <is>
          <t>202605</t>
        </is>
      </c>
      <c r="B157" t="inlineStr">
        <is>
          <t>INC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TGI</t>
        </is>
      </c>
      <c r="F157" t="inlineStr">
        <is>
          <t>manufacturing</t>
        </is>
      </c>
      <c r="G157" s="4" t="n">
        <v>1118.02</v>
      </c>
      <c r="H157" t="inlineStr">
        <is>
          <t>USD</t>
        </is>
      </c>
      <c r="I157" t="inlineStr">
        <is>
          <t>USD</t>
        </is>
      </c>
      <c r="J157" s="20" t="n">
        <v>1</v>
      </c>
      <c r="K157" s="4" t="n">
        <v>1118.02</v>
      </c>
      <c r="L157" t="inlineStr">
        <is>
          <t>documents</t>
        </is>
      </c>
      <c r="M157" s="21" t="inlineStr">
        <is>
          <t>172168</t>
        </is>
      </c>
      <c r="N157" t="inlineStr">
        <is>
          <t>https://drive.google.com/file/d/1KgZpq5GTcSkNG0Z8yhHdmceFrnVtmJB4/view?usp=drivesdk</t>
        </is>
      </c>
    </row>
    <row r="158" ht="12" customHeight="1">
      <c r="A158" t="inlineStr">
        <is>
          <t>202605</t>
        </is>
      </c>
      <c r="B158" t="inlineStr">
        <is>
          <t>INC</t>
        </is>
      </c>
      <c r="C158" t="inlineStr">
        <is>
          <t>cogs</t>
        </is>
      </c>
      <c r="D158" t="inlineStr">
        <is>
          <t>logistics</t>
        </is>
      </c>
      <c r="E158" t="inlineStr">
        <is>
          <t>TGI</t>
        </is>
      </c>
      <c r="F158" t="inlineStr">
        <is>
          <t>logistics</t>
        </is>
      </c>
      <c r="G158" s="4" t="n">
        <v>2254.01</v>
      </c>
      <c r="H158" t="inlineStr">
        <is>
          <t>USD</t>
        </is>
      </c>
      <c r="I158" t="inlineStr">
        <is>
          <t>USD</t>
        </is>
      </c>
      <c r="J158" s="20" t="n">
        <v>1</v>
      </c>
      <c r="K158" s="4" t="n">
        <v>2254.01</v>
      </c>
      <c r="L158" t="inlineStr">
        <is>
          <t>documents</t>
        </is>
      </c>
      <c r="M158" s="21" t="inlineStr">
        <is>
          <t>172169</t>
        </is>
      </c>
      <c r="N158" t="inlineStr">
        <is>
          <t>https://drive.google.com/file/d/14slKePE5MrbI5HvPO9RR5jqgyaSQ6ha3/view?usp=drivesdk</t>
        </is>
      </c>
    </row>
    <row r="159" ht="12" customHeight="1">
      <c r="A159" t="inlineStr">
        <is>
          <t>202606</t>
        </is>
      </c>
      <c r="B159" t="inlineStr">
        <is>
          <t>INC</t>
        </is>
      </c>
      <c r="C159" t="inlineStr">
        <is>
          <t>opex</t>
        </is>
      </c>
      <c r="D159" t="inlineStr">
        <is>
          <t>administration</t>
        </is>
      </c>
      <c r="E159" t="inlineStr">
        <is>
          <t>CONTINUUM</t>
        </is>
      </c>
      <c r="F159" t="inlineStr">
        <is>
          <t>invoice</t>
        </is>
      </c>
      <c r="G159" s="4" t="n">
        <v>1150</v>
      </c>
      <c r="H159" t="inlineStr">
        <is>
          <t>USD</t>
        </is>
      </c>
      <c r="I159" t="inlineStr">
        <is>
          <t>USD</t>
        </is>
      </c>
      <c r="J159" s="20" t="n">
        <v>1</v>
      </c>
      <c r="K159" s="4" t="n">
        <v>1150</v>
      </c>
      <c r="L159" t="inlineStr">
        <is>
          <t>documents</t>
        </is>
      </c>
      <c r="M159" s="21" t="inlineStr">
        <is>
          <t>1303</t>
        </is>
      </c>
      <c r="N159" t="inlineStr">
        <is>
          <t>https://drive.google.com/file/d/1dlT0oaH49H6SzXdPc93LiGqgpg1InGRH/view?usp=drivesdk</t>
        </is>
      </c>
    </row>
    <row r="160" ht="12" customHeight="1">
      <c r="A160" t="inlineStr">
        <is>
          <t>202606</t>
        </is>
      </c>
      <c r="B160" t="inlineStr">
        <is>
          <t>INC</t>
        </is>
      </c>
      <c r="C160" t="inlineStr">
        <is>
          <t>opex</t>
        </is>
      </c>
      <c r="D160" t="inlineStr">
        <is>
          <t>administration</t>
        </is>
      </c>
      <c r="E160" t="inlineStr">
        <is>
          <t>HUSHED</t>
        </is>
      </c>
      <c r="F160" t="inlineStr">
        <is>
          <t>invoice</t>
        </is>
      </c>
      <c r="G160" s="4" t="n">
        <v>4.99</v>
      </c>
      <c r="H160" t="inlineStr">
        <is>
          <t>USD</t>
        </is>
      </c>
      <c r="I160" t="inlineStr">
        <is>
          <t>USD</t>
        </is>
      </c>
      <c r="J160" s="20" t="n">
        <v>1</v>
      </c>
      <c r="K160" s="4" t="n">
        <v>4.99</v>
      </c>
      <c r="L160" t="inlineStr">
        <is>
          <t>documents</t>
        </is>
      </c>
      <c r="M160" s="21" t="inlineStr">
        <is>
          <t>2329-7934</t>
        </is>
      </c>
      <c r="N160" t="inlineStr">
        <is>
          <t>https://drive.google.com/file/d/12xteUNS_Og9n0_pSo2XUdraP4aCiWdaH/view?usp=drivesdk</t>
        </is>
      </c>
    </row>
    <row r="161" ht="12" customHeight="1">
      <c r="A161" t="inlineStr">
        <is>
          <t>202606</t>
        </is>
      </c>
      <c r="B161" t="inlineStr">
        <is>
          <t>INC</t>
        </is>
      </c>
      <c r="C161" t="inlineStr">
        <is>
          <t>opex</t>
        </is>
      </c>
      <c r="D161" t="inlineStr">
        <is>
          <t>administration</t>
        </is>
      </c>
      <c r="E161" t="inlineStr">
        <is>
          <t>IPOSTAL</t>
        </is>
      </c>
      <c r="F161" t="inlineStr">
        <is>
          <t>invoice</t>
        </is>
      </c>
      <c r="G161" s="4" t="n">
        <v>1.1</v>
      </c>
      <c r="H161" t="inlineStr">
        <is>
          <t>USD</t>
        </is>
      </c>
      <c r="I161" t="inlineStr">
        <is>
          <t>USD</t>
        </is>
      </c>
      <c r="J161" s="20" t="n">
        <v>1</v>
      </c>
      <c r="K161" s="4" t="n">
        <v>1.1</v>
      </c>
      <c r="L161" t="inlineStr">
        <is>
          <t>documents</t>
        </is>
      </c>
      <c r="M161" s="21" t="inlineStr">
        <is>
          <t>38249783</t>
        </is>
      </c>
      <c r="N161" t="inlineStr">
        <is>
          <t>https://drive.google.com/file/d/17m8kSIeiAdYSWAqbHFRlME7QimAZLgpF/view?usp=drivesdk</t>
        </is>
      </c>
    </row>
    <row r="162" ht="12" customHeight="1">
      <c r="A162" t="inlineStr">
        <is>
          <t>202606</t>
        </is>
      </c>
      <c r="B162" t="inlineStr">
        <is>
          <t>INC</t>
        </is>
      </c>
      <c r="C162" t="inlineStr">
        <is>
          <t>opex</t>
        </is>
      </c>
      <c r="D162" t="inlineStr">
        <is>
          <t>administration</t>
        </is>
      </c>
      <c r="E162" t="inlineStr">
        <is>
          <t>IPOSTAL</t>
        </is>
      </c>
      <c r="F162" t="inlineStr">
        <is>
          <t>invoice</t>
        </is>
      </c>
      <c r="G162" s="4" t="n">
        <v>3.3</v>
      </c>
      <c r="H162" t="inlineStr">
        <is>
          <t>USD</t>
        </is>
      </c>
      <c r="I162" t="inlineStr">
        <is>
          <t>USD</t>
        </is>
      </c>
      <c r="J162" s="20" t="n">
        <v>1</v>
      </c>
      <c r="K162" s="4" t="n">
        <v>3.3</v>
      </c>
      <c r="L162" t="inlineStr">
        <is>
          <t>documents</t>
        </is>
      </c>
      <c r="M162" s="21" t="inlineStr">
        <is>
          <t>38415356</t>
        </is>
      </c>
      <c r="N162" t="inlineStr">
        <is>
          <t>https://drive.google.com/file/d/17m8kSIeiAdYSWAqbHFRlME7QimAZLgpF/view?usp=drivesdk</t>
        </is>
      </c>
    </row>
    <row r="163" ht="12" customHeight="1">
      <c r="A163" t="inlineStr">
        <is>
          <t>202606</t>
        </is>
      </c>
      <c r="B163" t="inlineStr">
        <is>
          <t>INC</t>
        </is>
      </c>
      <c r="C163" t="inlineStr">
        <is>
          <t>cogs</t>
        </is>
      </c>
      <c r="D163" t="inlineStr">
        <is>
          <t>manufacturing</t>
        </is>
      </c>
      <c r="E163" t="inlineStr">
        <is>
          <t>JONDO</t>
        </is>
      </c>
      <c r="F163" t="inlineStr">
        <is>
          <t>invoice</t>
        </is>
      </c>
      <c r="G163" s="4" t="n">
        <v>27.6</v>
      </c>
      <c r="H163" t="inlineStr">
        <is>
          <t>USD</t>
        </is>
      </c>
      <c r="I163" t="inlineStr">
        <is>
          <t>USD</t>
        </is>
      </c>
      <c r="J163" s="20" t="n">
        <v>1</v>
      </c>
      <c r="K163" s="4" t="n">
        <v>27.6</v>
      </c>
      <c r="L163" t="inlineStr">
        <is>
          <t>documents</t>
        </is>
      </c>
      <c r="M163" s="21" t="inlineStr">
        <is>
          <t>4473263-AS-108173</t>
        </is>
      </c>
      <c r="N163" t="inlineStr">
        <is>
          <t>https://drive.google.com/file/d/1jZrrBG-rlRIRRt7poZwUx2oDCk202lX9/view?usp=drivesdk</t>
        </is>
      </c>
    </row>
    <row r="164" ht="12" customHeight="1">
      <c r="A164" t="inlineStr">
        <is>
          <t>202606</t>
        </is>
      </c>
      <c r="B164" t="inlineStr">
        <is>
          <t>INC</t>
        </is>
      </c>
      <c r="C164" t="inlineStr">
        <is>
          <t>cogs</t>
        </is>
      </c>
      <c r="D164" t="inlineStr">
        <is>
          <t>manufacturing</t>
        </is>
      </c>
      <c r="E164" t="inlineStr">
        <is>
          <t>JONDO</t>
        </is>
      </c>
      <c r="F164" t="inlineStr">
        <is>
          <t>invoice</t>
        </is>
      </c>
      <c r="G164" s="4" t="n">
        <v>151.43</v>
      </c>
      <c r="H164" t="inlineStr">
        <is>
          <t>USD</t>
        </is>
      </c>
      <c r="I164" t="inlineStr">
        <is>
          <t>USD</t>
        </is>
      </c>
      <c r="J164" s="20" t="n">
        <v>1</v>
      </c>
      <c r="K164" s="4" t="n">
        <v>151.43</v>
      </c>
      <c r="L164" t="inlineStr">
        <is>
          <t>documents</t>
        </is>
      </c>
      <c r="M164" s="21" t="inlineStr">
        <is>
          <t>4473264-AS-108192</t>
        </is>
      </c>
      <c r="N164" t="inlineStr">
        <is>
          <t>https://drive.google.com/file/d/1oUkZPf09DxdP6K_FrOYUTaRt0GcHY0jA/view?usp=drivesdk</t>
        </is>
      </c>
    </row>
    <row r="165" ht="12" customHeight="1">
      <c r="A165" t="inlineStr">
        <is>
          <t>202606</t>
        </is>
      </c>
      <c r="B165" t="inlineStr">
        <is>
          <t>INC</t>
        </is>
      </c>
      <c r="C165" t="inlineStr">
        <is>
          <t>cogs</t>
        </is>
      </c>
      <c r="D165" t="inlineStr">
        <is>
          <t>manufacturing</t>
        </is>
      </c>
      <c r="E165" t="inlineStr">
        <is>
          <t>JONDO</t>
        </is>
      </c>
      <c r="F165" t="inlineStr">
        <is>
          <t>invoice</t>
        </is>
      </c>
      <c r="G165" s="4" t="n">
        <v>235.68</v>
      </c>
      <c r="H165" t="inlineStr">
        <is>
          <t>USD</t>
        </is>
      </c>
      <c r="I165" t="inlineStr">
        <is>
          <t>USD</t>
        </is>
      </c>
      <c r="J165" s="20" t="n">
        <v>1</v>
      </c>
      <c r="K165" s="4" t="n">
        <v>235.68</v>
      </c>
      <c r="L165" t="inlineStr">
        <is>
          <t>documents</t>
        </is>
      </c>
      <c r="M165" s="21" t="inlineStr">
        <is>
          <t>4473265-AS-108268</t>
        </is>
      </c>
      <c r="N165" t="inlineStr">
        <is>
          <t>https://drive.google.com/file/d/1H5JO5VKG-PHCqPtkiwTxIB_r2_8zwlAX/view?usp=drivesdk</t>
        </is>
      </c>
    </row>
    <row r="166" ht="12" customHeight="1">
      <c r="A166" t="inlineStr">
        <is>
          <t>202606</t>
        </is>
      </c>
      <c r="B166" t="inlineStr">
        <is>
          <t>INC</t>
        </is>
      </c>
      <c r="C166" t="inlineStr">
        <is>
          <t>cogs</t>
        </is>
      </c>
      <c r="D166" t="inlineStr">
        <is>
          <t>manufacturing</t>
        </is>
      </c>
      <c r="E166" t="inlineStr">
        <is>
          <t>JONDO</t>
        </is>
      </c>
      <c r="F166" t="inlineStr">
        <is>
          <t>invoice</t>
        </is>
      </c>
      <c r="G166" s="4" t="n">
        <v>27.03</v>
      </c>
      <c r="H166" t="inlineStr">
        <is>
          <t>USD</t>
        </is>
      </c>
      <c r="I166" t="inlineStr">
        <is>
          <t>USD</t>
        </is>
      </c>
      <c r="J166" s="20" t="n">
        <v>1</v>
      </c>
      <c r="K166" s="4" t="n">
        <v>27.03</v>
      </c>
      <c r="L166" t="inlineStr">
        <is>
          <t>documents</t>
        </is>
      </c>
      <c r="M166" s="21" t="inlineStr">
        <is>
          <t>4473266-AS-108012</t>
        </is>
      </c>
      <c r="N166" t="inlineStr">
        <is>
          <t>https://drive.google.com/file/d/1ceYda0HLmh5TOzo35GFxiM7nGCUXSE4e/view?usp=drivesdk</t>
        </is>
      </c>
    </row>
    <row r="167" ht="12" customHeight="1">
      <c r="A167" t="inlineStr">
        <is>
          <t>202606</t>
        </is>
      </c>
      <c r="B167" t="inlineStr">
        <is>
          <t>INC</t>
        </is>
      </c>
      <c r="C167" t="inlineStr">
        <is>
          <t>cogs</t>
        </is>
      </c>
      <c r="D167" t="inlineStr">
        <is>
          <t>manufacturing</t>
        </is>
      </c>
      <c r="E167" t="inlineStr">
        <is>
          <t>JONDO</t>
        </is>
      </c>
      <c r="F167" t="inlineStr">
        <is>
          <t>invoice</t>
        </is>
      </c>
      <c r="G167" s="4" t="n">
        <v>50.35</v>
      </c>
      <c r="H167" t="inlineStr">
        <is>
          <t>USD</t>
        </is>
      </c>
      <c r="I167" t="inlineStr">
        <is>
          <t>USD</t>
        </is>
      </c>
      <c r="J167" s="20" t="n">
        <v>1</v>
      </c>
      <c r="K167" s="4" t="n">
        <v>50.35</v>
      </c>
      <c r="L167" t="inlineStr">
        <is>
          <t>documents</t>
        </is>
      </c>
      <c r="M167" s="21" t="inlineStr">
        <is>
          <t>4476206-AS-108439</t>
        </is>
      </c>
      <c r="N167" t="inlineStr">
        <is>
          <t>https://drive.google.com/file/d/1z_0Lvkv-nnNxOERVANmmKFakIieqGvhV/view?usp=drivesdk</t>
        </is>
      </c>
    </row>
    <row r="168" ht="12" customHeight="1">
      <c r="A168" t="inlineStr">
        <is>
          <t>202606</t>
        </is>
      </c>
      <c r="B168" t="inlineStr">
        <is>
          <t>INC</t>
        </is>
      </c>
      <c r="C168" t="inlineStr">
        <is>
          <t>cogs</t>
        </is>
      </c>
      <c r="D168" t="inlineStr">
        <is>
          <t>manufacturing</t>
        </is>
      </c>
      <c r="E168" t="inlineStr">
        <is>
          <t>JONDO</t>
        </is>
      </c>
      <c r="F168" t="inlineStr">
        <is>
          <t>invoice</t>
        </is>
      </c>
      <c r="G168" s="4" t="n">
        <v>106.13</v>
      </c>
      <c r="H168" t="inlineStr">
        <is>
          <t>USD</t>
        </is>
      </c>
      <c r="I168" t="inlineStr">
        <is>
          <t>USD</t>
        </is>
      </c>
      <c r="J168" s="20" t="n">
        <v>1</v>
      </c>
      <c r="K168" s="4" t="n">
        <v>106.13</v>
      </c>
      <c r="L168" t="inlineStr">
        <is>
          <t>documents</t>
        </is>
      </c>
      <c r="M168" s="21" t="inlineStr">
        <is>
          <t>4478432-AS-108770</t>
        </is>
      </c>
      <c r="N168" t="inlineStr">
        <is>
          <t>https://drive.google.com/file/d/1qnQm1l4mtJBBDGH6o3dm_I-CnVL_inlX/view?usp=drivesdk</t>
        </is>
      </c>
    </row>
    <row r="169" ht="12" customHeight="1">
      <c r="A169" t="inlineStr">
        <is>
          <t>202606</t>
        </is>
      </c>
      <c r="B169" t="inlineStr">
        <is>
          <t>INC</t>
        </is>
      </c>
      <c r="C169" t="inlineStr">
        <is>
          <t>cogs</t>
        </is>
      </c>
      <c r="D169" t="inlineStr">
        <is>
          <t>manufacturing</t>
        </is>
      </c>
      <c r="E169" t="inlineStr">
        <is>
          <t>JONDO</t>
        </is>
      </c>
      <c r="F169" t="inlineStr">
        <is>
          <t>invoice</t>
        </is>
      </c>
      <c r="G169" s="4" t="n">
        <v>65.66</v>
      </c>
      <c r="H169" t="inlineStr">
        <is>
          <t>USD</t>
        </is>
      </c>
      <c r="I169" t="inlineStr">
        <is>
          <t>USD</t>
        </is>
      </c>
      <c r="J169" s="20" t="n">
        <v>1</v>
      </c>
      <c r="K169" s="4" t="n">
        <v>65.66</v>
      </c>
      <c r="L169" t="inlineStr">
        <is>
          <t>documents</t>
        </is>
      </c>
      <c r="M169" s="21" t="inlineStr">
        <is>
          <t>4478433-AS-108794</t>
        </is>
      </c>
      <c r="N169" t="inlineStr">
        <is>
          <t>https://drive.google.com/file/d/1Q7OyD3ACFmNuYyC56I4Yi7WfzkxtxeOi/view?usp=drivesdk</t>
        </is>
      </c>
    </row>
    <row r="170" ht="12" customHeight="1">
      <c r="A170" t="inlineStr">
        <is>
          <t>202606</t>
        </is>
      </c>
      <c r="B170" t="inlineStr">
        <is>
          <t>INC</t>
        </is>
      </c>
      <c r="C170" t="inlineStr">
        <is>
          <t>cogs</t>
        </is>
      </c>
      <c r="D170" t="inlineStr">
        <is>
          <t>manufacturing</t>
        </is>
      </c>
      <c r="E170" t="inlineStr">
        <is>
          <t>JONDO</t>
        </is>
      </c>
      <c r="F170" t="inlineStr">
        <is>
          <t>invoice</t>
        </is>
      </c>
      <c r="G170" s="4" t="n">
        <v>245.89</v>
      </c>
      <c r="H170" t="inlineStr">
        <is>
          <t>USD</t>
        </is>
      </c>
      <c r="I170" t="inlineStr">
        <is>
          <t>USD</t>
        </is>
      </c>
      <c r="J170" s="20" t="n">
        <v>1</v>
      </c>
      <c r="K170" s="4" t="n">
        <v>245.89</v>
      </c>
      <c r="L170" t="inlineStr">
        <is>
          <t>documents</t>
        </is>
      </c>
      <c r="M170" s="21" t="inlineStr">
        <is>
          <t>4478436-AS-108633</t>
        </is>
      </c>
      <c r="N170" t="inlineStr">
        <is>
          <t>https://drive.google.com/file/d/1J9TrKraaGJx5L1OFAmQVNRWX52fY9v7T/view?usp=drivesdk</t>
        </is>
      </c>
    </row>
    <row r="171" ht="12" customHeight="1">
      <c r="A171" t="inlineStr">
        <is>
          <t>202606</t>
        </is>
      </c>
      <c r="B171" t="inlineStr">
        <is>
          <t>INC</t>
        </is>
      </c>
      <c r="C171" t="inlineStr">
        <is>
          <t>cogs</t>
        </is>
      </c>
      <c r="D171" t="inlineStr">
        <is>
          <t>manufacturing</t>
        </is>
      </c>
      <c r="E171" t="inlineStr">
        <is>
          <t>JONDO</t>
        </is>
      </c>
      <c r="F171" t="inlineStr">
        <is>
          <t>invoice</t>
        </is>
      </c>
      <c r="G171" s="4" t="n">
        <v>81.95999999999999</v>
      </c>
      <c r="H171" t="inlineStr">
        <is>
          <t>USD</t>
        </is>
      </c>
      <c r="I171" t="inlineStr">
        <is>
          <t>USD</t>
        </is>
      </c>
      <c r="J171" s="20" t="n">
        <v>1</v>
      </c>
      <c r="K171" s="4" t="n">
        <v>81.95999999999999</v>
      </c>
      <c r="L171" t="inlineStr">
        <is>
          <t>documents</t>
        </is>
      </c>
      <c r="M171" s="21" t="inlineStr">
        <is>
          <t>4478438-AS-108725</t>
        </is>
      </c>
      <c r="N171" t="inlineStr">
        <is>
          <t>https://drive.google.com/file/d/19u0mhg2M_DQA4RfLfUm_1SVHBd_r5UHr/view?usp=drivesdk</t>
        </is>
      </c>
    </row>
    <row r="172" ht="12" customHeight="1">
      <c r="A172" t="inlineStr">
        <is>
          <t>202606</t>
        </is>
      </c>
      <c r="B172" t="inlineStr">
        <is>
          <t>INC</t>
        </is>
      </c>
      <c r="C172" t="inlineStr">
        <is>
          <t>cogs</t>
        </is>
      </c>
      <c r="D172" t="inlineStr">
        <is>
          <t>manufacturing</t>
        </is>
      </c>
      <c r="E172" t="inlineStr">
        <is>
          <t>JONDO</t>
        </is>
      </c>
      <c r="F172" t="inlineStr">
        <is>
          <t>invoice</t>
        </is>
      </c>
      <c r="G172" s="4" t="n">
        <v>612.9</v>
      </c>
      <c r="H172" t="inlineStr">
        <is>
          <t>USD</t>
        </is>
      </c>
      <c r="I172" t="inlineStr">
        <is>
          <t>USD</t>
        </is>
      </c>
      <c r="J172" s="20" t="n">
        <v>1</v>
      </c>
      <c r="K172" s="4" t="n">
        <v>612.9</v>
      </c>
      <c r="L172" t="inlineStr">
        <is>
          <t>documents</t>
        </is>
      </c>
      <c r="M172" s="21" t="inlineStr">
        <is>
          <t>4478674-AS-108419</t>
        </is>
      </c>
      <c r="N172" t="inlineStr">
        <is>
          <t>https://drive.google.com/file/d/1ZHMUVacc68SwkPfNg4i7zITrVMRZwEev/view?usp=drivesdk</t>
        </is>
      </c>
    </row>
    <row r="173" ht="12" customHeight="1">
      <c r="A173" t="inlineStr">
        <is>
          <t>202606</t>
        </is>
      </c>
      <c r="B173" t="inlineStr">
        <is>
          <t>INC</t>
        </is>
      </c>
      <c r="C173" t="inlineStr">
        <is>
          <t>cogs</t>
        </is>
      </c>
      <c r="D173" t="inlineStr">
        <is>
          <t>manufacturing</t>
        </is>
      </c>
      <c r="E173" t="inlineStr">
        <is>
          <t>JONDO</t>
        </is>
      </c>
      <c r="F173" t="inlineStr">
        <is>
          <t>invoice</t>
        </is>
      </c>
      <c r="G173" s="4" t="n">
        <v>31.9</v>
      </c>
      <c r="H173" t="inlineStr">
        <is>
          <t>USD</t>
        </is>
      </c>
      <c r="I173" t="inlineStr">
        <is>
          <t>USD</t>
        </is>
      </c>
      <c r="J173" s="20" t="n">
        <v>1</v>
      </c>
      <c r="K173" s="4" t="n">
        <v>31.9</v>
      </c>
      <c r="L173" t="inlineStr">
        <is>
          <t>documents</t>
        </is>
      </c>
      <c r="M173" s="21" t="inlineStr">
        <is>
          <t>4479450-AS-108886</t>
        </is>
      </c>
      <c r="N173" t="inlineStr">
        <is>
          <t>https://drive.google.com/file/d/1uKuOxw3fOCW3HDpVqiEdH4qXsNrnvwUC/view?usp=drivesdk</t>
        </is>
      </c>
    </row>
    <row r="174" ht="12" customHeight="1">
      <c r="A174" t="inlineStr">
        <is>
          <t>202606</t>
        </is>
      </c>
      <c r="B174" t="inlineStr">
        <is>
          <t>INC</t>
        </is>
      </c>
      <c r="C174" t="inlineStr">
        <is>
          <t>cogs</t>
        </is>
      </c>
      <c r="D174" t="inlineStr">
        <is>
          <t>manufacturing</t>
        </is>
      </c>
      <c r="E174" t="inlineStr">
        <is>
          <t>JONDO</t>
        </is>
      </c>
      <c r="F174" t="inlineStr">
        <is>
          <t>invoice</t>
        </is>
      </c>
      <c r="G174" s="4" t="n">
        <v>137.82</v>
      </c>
      <c r="H174" t="inlineStr">
        <is>
          <t>USD</t>
        </is>
      </c>
      <c r="I174" t="inlineStr">
        <is>
          <t>USD</t>
        </is>
      </c>
      <c r="J174" s="20" t="n">
        <v>1</v>
      </c>
      <c r="K174" s="4" t="n">
        <v>137.82</v>
      </c>
      <c r="L174" t="inlineStr">
        <is>
          <t>documents</t>
        </is>
      </c>
      <c r="M174" s="21" t="inlineStr">
        <is>
          <t>4480313-AS-108991</t>
        </is>
      </c>
      <c r="N174" t="inlineStr">
        <is>
          <t>https://drive.google.com/file/d/1EPDx0aAQZZBGvXOr-tsVZagvlQehDY1Y/view?usp=drivesdk</t>
        </is>
      </c>
    </row>
    <row r="175" ht="12" customHeight="1">
      <c r="A175" t="inlineStr">
        <is>
          <t>202606</t>
        </is>
      </c>
      <c r="B175" t="inlineStr">
        <is>
          <t>INC</t>
        </is>
      </c>
      <c r="C175" t="inlineStr">
        <is>
          <t>cogs</t>
        </is>
      </c>
      <c r="D175" t="inlineStr">
        <is>
          <t>manufacturing</t>
        </is>
      </c>
      <c r="E175" t="inlineStr">
        <is>
          <t>JONDO</t>
        </is>
      </c>
      <c r="F175" t="inlineStr">
        <is>
          <t>invoice</t>
        </is>
      </c>
      <c r="G175" s="4" t="n">
        <v>73.04000000000001</v>
      </c>
      <c r="H175" t="inlineStr">
        <is>
          <t>USD</t>
        </is>
      </c>
      <c r="I175" t="inlineStr">
        <is>
          <t>USD</t>
        </is>
      </c>
      <c r="J175" s="20" t="n">
        <v>1</v>
      </c>
      <c r="K175" s="4" t="n">
        <v>73.04000000000001</v>
      </c>
      <c r="L175" t="inlineStr">
        <is>
          <t>documents</t>
        </is>
      </c>
      <c r="M175" s="21" t="inlineStr">
        <is>
          <t>4481152-AS-109059</t>
        </is>
      </c>
      <c r="N175" t="inlineStr">
        <is>
          <t>https://drive.google.com/file/d/1tdRduclMEKBCmzucqzPxFdO5d3Abt0p3/view?usp=drivesdk</t>
        </is>
      </c>
    </row>
    <row r="176" ht="12" customHeight="1">
      <c r="A176" t="inlineStr">
        <is>
          <t>202606</t>
        </is>
      </c>
      <c r="B176" t="inlineStr">
        <is>
          <t>INC</t>
        </is>
      </c>
      <c r="C176" t="inlineStr">
        <is>
          <t>cogs</t>
        </is>
      </c>
      <c r="D176" t="inlineStr">
        <is>
          <t>manufacturing</t>
        </is>
      </c>
      <c r="E176" t="inlineStr">
        <is>
          <t>JONDO</t>
        </is>
      </c>
      <c r="F176" t="inlineStr">
        <is>
          <t>invoice</t>
        </is>
      </c>
      <c r="G176" s="4" t="n">
        <v>50.71</v>
      </c>
      <c r="H176" t="inlineStr">
        <is>
          <t>USD</t>
        </is>
      </c>
      <c r="I176" t="inlineStr">
        <is>
          <t>USD</t>
        </is>
      </c>
      <c r="J176" s="20" t="n">
        <v>1</v>
      </c>
      <c r="K176" s="4" t="n">
        <v>50.71</v>
      </c>
      <c r="L176" t="inlineStr">
        <is>
          <t>documents</t>
        </is>
      </c>
      <c r="M176" s="21" t="inlineStr">
        <is>
          <t>4484741-AS-109219</t>
        </is>
      </c>
      <c r="N176" t="inlineStr">
        <is>
          <t>https://drive.google.com/file/d/1-BDdxjNx5o6lHfhx-4gXIFtUiLzauJfA/view?usp=drivesdk</t>
        </is>
      </c>
    </row>
    <row r="177" ht="12" customHeight="1">
      <c r="A177" t="inlineStr">
        <is>
          <t>202606</t>
        </is>
      </c>
      <c r="B177" t="inlineStr">
        <is>
          <t>INC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JONDO</t>
        </is>
      </c>
      <c r="F177" t="inlineStr">
        <is>
          <t>invoice</t>
        </is>
      </c>
      <c r="G177" s="4" t="n">
        <v>187.02</v>
      </c>
      <c r="H177" t="inlineStr">
        <is>
          <t>USD</t>
        </is>
      </c>
      <c r="I177" t="inlineStr">
        <is>
          <t>USD</t>
        </is>
      </c>
      <c r="J177" s="20" t="n">
        <v>1</v>
      </c>
      <c r="K177" s="4" t="n">
        <v>187.02</v>
      </c>
      <c r="L177" t="inlineStr">
        <is>
          <t>documents</t>
        </is>
      </c>
      <c r="M177" s="21" t="inlineStr">
        <is>
          <t>4484745-AS-109054</t>
        </is>
      </c>
      <c r="N177" t="inlineStr">
        <is>
          <t>https://drive.google.com/file/d/1-TzEIRusUlMzfqcTAJZMNI07sOnoRkSV/view?usp=drivesdk</t>
        </is>
      </c>
    </row>
    <row r="178" ht="12" customHeight="1">
      <c r="A178" t="inlineStr">
        <is>
          <t>202606</t>
        </is>
      </c>
      <c r="B178" t="inlineStr">
        <is>
          <t>INC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JONDO</t>
        </is>
      </c>
      <c r="F178" t="inlineStr">
        <is>
          <t>invoice</t>
        </is>
      </c>
      <c r="G178" s="4" t="n">
        <v>98.04000000000001</v>
      </c>
      <c r="H178" t="inlineStr">
        <is>
          <t>USD</t>
        </is>
      </c>
      <c r="I178" t="inlineStr">
        <is>
          <t>USD</t>
        </is>
      </c>
      <c r="J178" s="20" t="n">
        <v>1</v>
      </c>
      <c r="K178" s="4" t="n">
        <v>98.04000000000001</v>
      </c>
      <c r="L178" t="inlineStr">
        <is>
          <t>documents</t>
        </is>
      </c>
      <c r="M178" s="21" t="inlineStr">
        <is>
          <t>4487374-AS-108398</t>
        </is>
      </c>
      <c r="N178" t="inlineStr">
        <is>
          <t>https://drive.google.com/file/d/14RU9qe4qCsbjqSEjh0PA9X6dbLWP8zqp/view?usp=drivesdk</t>
        </is>
      </c>
    </row>
    <row r="179" ht="12" customHeight="1">
      <c r="A179" t="inlineStr">
        <is>
          <t>202606</t>
        </is>
      </c>
      <c r="B179" t="inlineStr">
        <is>
          <t>INC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JONDO</t>
        </is>
      </c>
      <c r="F179" t="inlineStr">
        <is>
          <t>invoice</t>
        </is>
      </c>
      <c r="G179" s="4" t="n">
        <v>65.11</v>
      </c>
      <c r="H179" t="inlineStr">
        <is>
          <t>USD</t>
        </is>
      </c>
      <c r="I179" t="inlineStr">
        <is>
          <t>USD</t>
        </is>
      </c>
      <c r="J179" s="20" t="n">
        <v>1</v>
      </c>
      <c r="K179" s="4" t="n">
        <v>65.11</v>
      </c>
      <c r="L179" t="inlineStr">
        <is>
          <t>documents</t>
        </is>
      </c>
      <c r="M179" s="21" t="inlineStr">
        <is>
          <t>4489467-AS-109600</t>
        </is>
      </c>
      <c r="N179" t="inlineStr">
        <is>
          <t>https://drive.google.com/file/d/1-Ayz50h4xJFn4kQpcu5-40az6D-zd3QP/view?usp=drivesdk</t>
        </is>
      </c>
    </row>
    <row r="180" ht="12" customHeight="1">
      <c r="A180" t="inlineStr">
        <is>
          <t>202606</t>
        </is>
      </c>
      <c r="B180" t="inlineStr">
        <is>
          <t>INC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JONDO</t>
        </is>
      </c>
      <c r="F180" t="inlineStr">
        <is>
          <t>invoice</t>
        </is>
      </c>
      <c r="G180" s="4" t="n">
        <v>45.27</v>
      </c>
      <c r="H180" t="inlineStr">
        <is>
          <t>USD</t>
        </is>
      </c>
      <c r="I180" t="inlineStr">
        <is>
          <t>USD</t>
        </is>
      </c>
      <c r="J180" s="20" t="n">
        <v>1</v>
      </c>
      <c r="K180" s="4" t="n">
        <v>45.27</v>
      </c>
      <c r="L180" t="inlineStr">
        <is>
          <t>documents</t>
        </is>
      </c>
      <c r="M180" s="21" t="inlineStr">
        <is>
          <t>4489492-AS-109897</t>
        </is>
      </c>
      <c r="N180" t="inlineStr">
        <is>
          <t>https://drive.google.com/file/d/1oxSSo3c3w9Dfu_viitzb6uhhl7JKE55S/view?usp=drivesdk</t>
        </is>
      </c>
    </row>
    <row r="181" ht="12" customHeight="1">
      <c r="A181" t="inlineStr">
        <is>
          <t>202606</t>
        </is>
      </c>
      <c r="B181" t="inlineStr">
        <is>
          <t>INC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JONDO</t>
        </is>
      </c>
      <c r="F181" t="inlineStr">
        <is>
          <t>invoice</t>
        </is>
      </c>
      <c r="G181" s="4" t="n">
        <v>84.06999999999999</v>
      </c>
      <c r="H181" t="inlineStr">
        <is>
          <t>USD</t>
        </is>
      </c>
      <c r="I181" t="inlineStr">
        <is>
          <t>USD</t>
        </is>
      </c>
      <c r="J181" s="20" t="n">
        <v>1</v>
      </c>
      <c r="K181" s="4" t="n">
        <v>84.06999999999999</v>
      </c>
      <c r="L181" t="inlineStr">
        <is>
          <t>documents</t>
        </is>
      </c>
      <c r="M181" s="21" t="inlineStr">
        <is>
          <t>4489493-AS-109730</t>
        </is>
      </c>
      <c r="N181" t="inlineStr">
        <is>
          <t>https://drive.google.com/file/d/1EizwuN5-bmoWi9Xs0ACO0tqNxzSJEB78/view?usp=drivesdk</t>
        </is>
      </c>
    </row>
    <row r="182" ht="12" customHeight="1">
      <c r="A182" t="inlineStr">
        <is>
          <t>202606</t>
        </is>
      </c>
      <c r="B182" t="inlineStr">
        <is>
          <t>INC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JONDO</t>
        </is>
      </c>
      <c r="F182" t="inlineStr">
        <is>
          <t>invoice</t>
        </is>
      </c>
      <c r="G182" s="4" t="n">
        <v>50</v>
      </c>
      <c r="H182" t="inlineStr">
        <is>
          <t>USD</t>
        </is>
      </c>
      <c r="I182" t="inlineStr">
        <is>
          <t>USD</t>
        </is>
      </c>
      <c r="J182" s="20" t="n">
        <v>1</v>
      </c>
      <c r="K182" s="4" t="n">
        <v>50</v>
      </c>
      <c r="L182" t="inlineStr">
        <is>
          <t>documents</t>
        </is>
      </c>
      <c r="M182" s="21" t="inlineStr">
        <is>
          <t>4490302-AS-109750</t>
        </is>
      </c>
      <c r="N182" t="inlineStr">
        <is>
          <t>https://drive.google.com/file/d/1gNleHwFopbvNbvlE1fgJ-UmyvOWE6SGi/view?usp=drivesdk</t>
        </is>
      </c>
    </row>
    <row r="183" ht="12" customHeight="1">
      <c r="A183" t="inlineStr">
        <is>
          <t>202606</t>
        </is>
      </c>
      <c r="B183" t="inlineStr">
        <is>
          <t>INC</t>
        </is>
      </c>
      <c r="C183" t="inlineStr">
        <is>
          <t>cogs</t>
        </is>
      </c>
      <c r="D183" t="inlineStr">
        <is>
          <t>manufacturing</t>
        </is>
      </c>
      <c r="E183" t="inlineStr">
        <is>
          <t>JONDO</t>
        </is>
      </c>
      <c r="F183" t="inlineStr">
        <is>
          <t>invoice</t>
        </is>
      </c>
      <c r="G183" s="4" t="n">
        <v>104.62</v>
      </c>
      <c r="H183" t="inlineStr">
        <is>
          <t>USD</t>
        </is>
      </c>
      <c r="I183" t="inlineStr">
        <is>
          <t>USD</t>
        </is>
      </c>
      <c r="J183" s="20" t="n">
        <v>1</v>
      </c>
      <c r="K183" s="4" t="n">
        <v>104.62</v>
      </c>
      <c r="L183" t="inlineStr">
        <is>
          <t>documents</t>
        </is>
      </c>
      <c r="M183" s="21" t="inlineStr">
        <is>
          <t>4492194-AS-109976</t>
        </is>
      </c>
      <c r="N183" t="inlineStr">
        <is>
          <t>https://drive.google.com/file/d/1V2FYDYVo-2OhYmdYSQW3bMD3El8E20MR/view?usp=drivesdk</t>
        </is>
      </c>
    </row>
    <row r="184" ht="12" customHeight="1">
      <c r="A184" t="inlineStr">
        <is>
          <t>202606</t>
        </is>
      </c>
      <c r="B184" t="inlineStr">
        <is>
          <t>INC</t>
        </is>
      </c>
      <c r="C184" t="inlineStr">
        <is>
          <t>cogs</t>
        </is>
      </c>
      <c r="D184" t="inlineStr">
        <is>
          <t>manufacturing</t>
        </is>
      </c>
      <c r="E184" t="inlineStr">
        <is>
          <t>JONDO</t>
        </is>
      </c>
      <c r="F184" t="inlineStr">
        <is>
          <t>invoice</t>
        </is>
      </c>
      <c r="G184" s="4" t="n">
        <v>36.16</v>
      </c>
      <c r="H184" t="inlineStr">
        <is>
          <t>USD</t>
        </is>
      </c>
      <c r="I184" t="inlineStr">
        <is>
          <t>USD</t>
        </is>
      </c>
      <c r="J184" s="20" t="n">
        <v>1</v>
      </c>
      <c r="K184" s="4" t="n">
        <v>36.16</v>
      </c>
      <c r="L184" t="inlineStr">
        <is>
          <t>documents</t>
        </is>
      </c>
      <c r="M184" s="21" t="inlineStr">
        <is>
          <t>4492195-AS-110005</t>
        </is>
      </c>
      <c r="N184" t="inlineStr">
        <is>
          <t>https://drive.google.com/file/d/1y3L_9mKgGCW65bvuH1MatF39lrjKFifi/view?usp=drivesdk</t>
        </is>
      </c>
    </row>
    <row r="185" ht="12" customHeight="1">
      <c r="A185" t="inlineStr">
        <is>
          <t>202606</t>
        </is>
      </c>
      <c r="B185" t="inlineStr">
        <is>
          <t>INC</t>
        </is>
      </c>
      <c r="C185" t="inlineStr">
        <is>
          <t>cogs</t>
        </is>
      </c>
      <c r="D185" t="inlineStr">
        <is>
          <t>manufacturing</t>
        </is>
      </c>
      <c r="E185" t="inlineStr">
        <is>
          <t>JONDO</t>
        </is>
      </c>
      <c r="F185" t="inlineStr">
        <is>
          <t>invoice</t>
        </is>
      </c>
      <c r="G185" s="4" t="n">
        <v>27.6</v>
      </c>
      <c r="H185" t="inlineStr">
        <is>
          <t>USD</t>
        </is>
      </c>
      <c r="I185" t="inlineStr">
        <is>
          <t>USD</t>
        </is>
      </c>
      <c r="J185" s="20" t="n">
        <v>1</v>
      </c>
      <c r="K185" s="4" t="n">
        <v>27.6</v>
      </c>
      <c r="L185" t="inlineStr">
        <is>
          <t>documents</t>
        </is>
      </c>
      <c r="M185" s="21" t="inlineStr">
        <is>
          <t>4493889-AS-110166</t>
        </is>
      </c>
      <c r="N185" t="inlineStr">
        <is>
          <t>https://drive.google.com/file/d/1f3vOXV99xTZLrBaWGOdO6ZNaf_xHUxKb/view?usp=drivesdk</t>
        </is>
      </c>
    </row>
    <row r="186" ht="12" customHeight="1">
      <c r="A186" t="inlineStr">
        <is>
          <t>202606</t>
        </is>
      </c>
      <c r="B186" t="inlineStr">
        <is>
          <t>INC</t>
        </is>
      </c>
      <c r="C186" t="inlineStr">
        <is>
          <t>cogs</t>
        </is>
      </c>
      <c r="D186" t="inlineStr">
        <is>
          <t>manufacturing</t>
        </is>
      </c>
      <c r="E186" t="inlineStr">
        <is>
          <t>JONDO</t>
        </is>
      </c>
      <c r="F186" t="inlineStr">
        <is>
          <t>invoice</t>
        </is>
      </c>
      <c r="G186" s="4" t="n">
        <v>50.47</v>
      </c>
      <c r="H186" t="inlineStr">
        <is>
          <t>USD</t>
        </is>
      </c>
      <c r="I186" t="inlineStr">
        <is>
          <t>USD</t>
        </is>
      </c>
      <c r="J186" s="20" t="n">
        <v>1</v>
      </c>
      <c r="K186" s="4" t="n">
        <v>50.47</v>
      </c>
      <c r="L186" t="inlineStr">
        <is>
          <t>documents</t>
        </is>
      </c>
      <c r="M186" s="21" t="inlineStr">
        <is>
          <t>4493890-AS-110181</t>
        </is>
      </c>
      <c r="N186" t="inlineStr">
        <is>
          <t>https://drive.google.com/file/d/1nS9eN-g06nXbQ_AJLuOhCGaJH0FkLlqy/view?usp=drivesdk</t>
        </is>
      </c>
    </row>
    <row r="187" ht="12" customHeight="1">
      <c r="A187" t="inlineStr">
        <is>
          <t>202606</t>
        </is>
      </c>
      <c r="B187" t="inlineStr">
        <is>
          <t>INC</t>
        </is>
      </c>
      <c r="C187" t="inlineStr">
        <is>
          <t>cogs</t>
        </is>
      </c>
      <c r="D187" t="inlineStr">
        <is>
          <t>manufacturing</t>
        </is>
      </c>
      <c r="E187" t="inlineStr">
        <is>
          <t>JONDO</t>
        </is>
      </c>
      <c r="F187" t="inlineStr">
        <is>
          <t>invoice</t>
        </is>
      </c>
      <c r="G187" s="4" t="n">
        <v>203.62</v>
      </c>
      <c r="H187" t="inlineStr">
        <is>
          <t>USD</t>
        </is>
      </c>
      <c r="I187" t="inlineStr">
        <is>
          <t>USD</t>
        </is>
      </c>
      <c r="J187" s="20" t="n">
        <v>1</v>
      </c>
      <c r="K187" s="4" t="n">
        <v>203.62</v>
      </c>
      <c r="L187" t="inlineStr">
        <is>
          <t>documents</t>
        </is>
      </c>
      <c r="M187" s="21" t="inlineStr">
        <is>
          <t>4494780-AS-110429</t>
        </is>
      </c>
      <c r="N187" t="inlineStr">
        <is>
          <t>https://drive.google.com/file/d/1gDlXSOBmNi1XBMv1CaZs-JRodZrH-Gfy/view?usp=drivesdk</t>
        </is>
      </c>
    </row>
    <row r="188" ht="12" customHeight="1">
      <c r="A188" t="inlineStr">
        <is>
          <t>202606</t>
        </is>
      </c>
      <c r="B188" t="inlineStr">
        <is>
          <t>INC</t>
        </is>
      </c>
      <c r="C188" t="inlineStr">
        <is>
          <t>opex</t>
        </is>
      </c>
      <c r="D188" t="inlineStr">
        <is>
          <t>administration</t>
        </is>
      </c>
      <c r="E188" t="inlineStr">
        <is>
          <t>QUICKBOOKS</t>
        </is>
      </c>
      <c r="F188" t="inlineStr">
        <is>
          <t>invoice</t>
        </is>
      </c>
      <c r="G188" s="4" t="n">
        <v>121.9</v>
      </c>
      <c r="H188" t="inlineStr">
        <is>
          <t>USD</t>
        </is>
      </c>
      <c r="I188" t="inlineStr">
        <is>
          <t>USD</t>
        </is>
      </c>
      <c r="J188" s="20" t="n">
        <v>1</v>
      </c>
      <c r="K188" s="4" t="n">
        <v>121.9</v>
      </c>
      <c r="L188" t="inlineStr">
        <is>
          <t>documents</t>
        </is>
      </c>
      <c r="M188" s="21" t="inlineStr">
        <is>
          <t>10001500801887</t>
        </is>
      </c>
      <c r="N188" t="inlineStr">
        <is>
          <t>https://drive.google.com/file/d/1ktcUt_dmZ3EGuVsSemWSXxpTV7osW_Xt/view?usp=drivesdk</t>
        </is>
      </c>
    </row>
    <row r="189" ht="12" customHeight="1">
      <c r="A189" t="inlineStr">
        <is>
          <t>202606</t>
        </is>
      </c>
      <c r="B189" t="inlineStr">
        <is>
          <t>INC</t>
        </is>
      </c>
      <c r="C189" t="inlineStr">
        <is>
          <t>opex</t>
        </is>
      </c>
      <c r="D189" t="inlineStr">
        <is>
          <t>shared_services</t>
        </is>
      </c>
      <c r="E189" t="inlineStr">
        <is>
          <t>SHAREDSERVICESSL</t>
        </is>
      </c>
      <c r="F189" t="inlineStr">
        <is>
          <t>invoice</t>
        </is>
      </c>
      <c r="G189" s="4" t="n">
        <v>4876.31</v>
      </c>
      <c r="H189" t="inlineStr">
        <is>
          <t>EUR</t>
        </is>
      </c>
      <c r="I189" t="inlineStr">
        <is>
          <t>USD</t>
        </is>
      </c>
      <c r="J189" s="20" t="n">
        <v>1.1394</v>
      </c>
      <c r="K189" s="4" t="n">
        <v>5556.07</v>
      </c>
      <c r="L189" t="inlineStr">
        <is>
          <t>documents</t>
        </is>
      </c>
      <c r="M189" s="21" t="inlineStr">
        <is>
          <t>2026-0030</t>
        </is>
      </c>
      <c r="N189" t="inlineStr">
        <is>
          <t>https://drive.google.com/file/d/12EthxatXwUiNej1AC0mO-nrxJnB0sWHC/view?usp=drivesdk</t>
        </is>
      </c>
    </row>
    <row r="190" ht="12" customHeight="1">
      <c r="A190" t="inlineStr">
        <is>
          <t>202606</t>
        </is>
      </c>
      <c r="B190" t="inlineStr">
        <is>
          <t>INC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TGI</t>
        </is>
      </c>
      <c r="F190" t="inlineStr">
        <is>
          <t>logistics</t>
        </is>
      </c>
      <c r="G190" s="4" t="n">
        <v>2614.92</v>
      </c>
      <c r="H190" t="inlineStr">
        <is>
          <t>USD</t>
        </is>
      </c>
      <c r="I190" t="inlineStr">
        <is>
          <t>USD</t>
        </is>
      </c>
      <c r="J190" s="20" t="n">
        <v>1</v>
      </c>
      <c r="K190" s="4" t="n">
        <v>2614.92</v>
      </c>
      <c r="L190" t="inlineStr">
        <is>
          <t>documents</t>
        </is>
      </c>
      <c r="M190" s="21" t="inlineStr">
        <is>
          <t>172285</t>
        </is>
      </c>
      <c r="N190" t="inlineStr">
        <is>
          <t>https://drive.google.com/file/d/1W57xoWWg1bALUWDmBPUhZIRPN6MXmlBh/view?usp=drivesdk</t>
        </is>
      </c>
    </row>
    <row r="191" ht="12" customHeight="1">
      <c r="A191" t="inlineStr">
        <is>
          <t>202606</t>
        </is>
      </c>
      <c r="B191" t="inlineStr">
        <is>
          <t>INC</t>
        </is>
      </c>
      <c r="C191" t="inlineStr">
        <is>
          <t>cogs</t>
        </is>
      </c>
      <c r="D191" t="inlineStr">
        <is>
          <t>manufacturing</t>
        </is>
      </c>
      <c r="E191" t="inlineStr">
        <is>
          <t>TGI</t>
        </is>
      </c>
      <c r="F191" t="inlineStr">
        <is>
          <t>manufacturing</t>
        </is>
      </c>
      <c r="G191" s="4" t="n">
        <v>1506.6</v>
      </c>
      <c r="H191" t="inlineStr">
        <is>
          <t>USD</t>
        </is>
      </c>
      <c r="I191" t="inlineStr">
        <is>
          <t>USD</t>
        </is>
      </c>
      <c r="J191" s="20" t="n">
        <v>1</v>
      </c>
      <c r="K191" s="4" t="n">
        <v>1506.6</v>
      </c>
      <c r="L191" t="inlineStr">
        <is>
          <t>documents</t>
        </is>
      </c>
      <c r="M191" s="21" t="inlineStr">
        <is>
          <t>172285</t>
        </is>
      </c>
      <c r="N191" t="inlineStr">
        <is>
          <t>https://drive.google.com/file/d/1W57xoWWg1bALUWDmBPUhZIRPN6MXmlBh/view?usp=drivesdk</t>
        </is>
      </c>
    </row>
    <row r="192" ht="12" customHeight="1">
      <c r="A192" t="inlineStr">
        <is>
          <t>202607</t>
        </is>
      </c>
      <c r="B192" t="inlineStr">
        <is>
          <t>INC</t>
        </is>
      </c>
      <c r="C192" t="inlineStr">
        <is>
          <t>opex</t>
        </is>
      </c>
      <c r="D192" t="inlineStr">
        <is>
          <t>administration</t>
        </is>
      </c>
      <c r="E192" t="inlineStr">
        <is>
          <t>CONTINUUM</t>
        </is>
      </c>
      <c r="F192" t="inlineStr">
        <is>
          <t>invoice</t>
        </is>
      </c>
      <c r="G192" s="4" t="n">
        <v>1150</v>
      </c>
      <c r="H192" t="inlineStr">
        <is>
          <t>USD</t>
        </is>
      </c>
      <c r="I192" t="inlineStr">
        <is>
          <t>USD</t>
        </is>
      </c>
      <c r="J192" s="20" t="n">
        <v>1</v>
      </c>
      <c r="K192" s="4" t="n">
        <v>1150</v>
      </c>
      <c r="L192" t="inlineStr">
        <is>
          <t>documents</t>
        </is>
      </c>
      <c r="M192" s="21" t="inlineStr">
        <is>
          <t>1323</t>
        </is>
      </c>
      <c r="N192" t="inlineStr">
        <is>
          <t>https://drive.google.com/file/d/1Ryi7Zwj4y4RO16Nj-b3j6D60nZ68M6wK/view?usp=drivesdk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entity</t>
        </is>
      </c>
      <c r="C2" s="19" t="inlineStr">
        <is>
          <t>supplier_code</t>
        </is>
      </c>
      <c r="D2" s="19" t="inlineStr">
        <is>
          <t>amount_original</t>
        </is>
      </c>
      <c r="E2" s="19" t="inlineStr">
        <is>
          <t>currency_original</t>
        </is>
      </c>
      <c r="F2" s="19" t="inlineStr">
        <is>
          <t>reporting_currency</t>
        </is>
      </c>
      <c r="G2" s="19" t="inlineStr">
        <is>
          <t>fx_rate</t>
        </is>
      </c>
      <c r="H2" s="19" t="inlineStr">
        <is>
          <t>amount_reporting</t>
        </is>
      </c>
      <c r="I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20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20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20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466.64</v>
      </c>
      <c r="E6" t="inlineStr">
        <is>
          <t>USD</t>
        </is>
      </c>
      <c r="F6" t="inlineStr">
        <is>
          <t>USD</t>
        </is>
      </c>
      <c r="G6" s="20" t="n">
        <v>1</v>
      </c>
      <c r="H6" s="4" t="n">
        <v>466.64</v>
      </c>
      <c r="I6" t="inlineStr">
        <is>
          <t>payment_fee_monthly_summary</t>
        </is>
      </c>
    </row>
    <row r="7" ht="12" customHeight="1">
      <c r="A7" t="inlineStr">
        <is>
          <t>202605</t>
        </is>
      </c>
      <c r="B7" t="inlineStr">
        <is>
          <t>INC</t>
        </is>
      </c>
      <c r="C7" t="inlineStr">
        <is>
          <t>SHOPIFY</t>
        </is>
      </c>
      <c r="D7" s="4" t="n">
        <v>362.95</v>
      </c>
      <c r="E7" t="inlineStr">
        <is>
          <t>USD</t>
        </is>
      </c>
      <c r="F7" t="inlineStr">
        <is>
          <t>USD</t>
        </is>
      </c>
      <c r="G7" s="20" t="n">
        <v>1</v>
      </c>
      <c r="H7" s="4" t="n">
        <v>362.95</v>
      </c>
      <c r="I7" t="inlineStr">
        <is>
          <t>payment_fee_monthly_summary</t>
        </is>
      </c>
    </row>
    <row r="8" ht="12" customHeight="1">
      <c r="A8" t="inlineStr">
        <is>
          <t>202606</t>
        </is>
      </c>
      <c r="B8" t="inlineStr">
        <is>
          <t>INC</t>
        </is>
      </c>
      <c r="C8" t="inlineStr">
        <is>
          <t>SHOPIFY</t>
        </is>
      </c>
      <c r="D8" s="4" t="n">
        <v>474.77</v>
      </c>
      <c r="E8" t="inlineStr">
        <is>
          <t>USD</t>
        </is>
      </c>
      <c r="F8" t="inlineStr">
        <is>
          <t>USD</t>
        </is>
      </c>
      <c r="G8" s="20" t="n">
        <v>1</v>
      </c>
      <c r="H8" s="4" t="n">
        <v>474.77</v>
      </c>
      <c r="I8" t="inlineStr">
        <is>
          <t>payment_fee_monthly_summary</t>
        </is>
      </c>
    </row>
    <row r="9" ht="12" customHeight="1">
      <c r="A9" t="inlineStr">
        <is>
          <t>202607</t>
        </is>
      </c>
      <c r="B9" t="inlineStr">
        <is>
          <t>INC</t>
        </is>
      </c>
      <c r="C9" t="inlineStr">
        <is>
          <t>SHOPIFY</t>
        </is>
      </c>
      <c r="D9" s="4" t="n">
        <v>354.62</v>
      </c>
      <c r="E9" t="inlineStr">
        <is>
          <t>USD</t>
        </is>
      </c>
      <c r="F9" t="inlineStr">
        <is>
          <t>USD</t>
        </is>
      </c>
      <c r="G9" s="20" t="n">
        <v>1</v>
      </c>
      <c r="H9" s="4" t="n">
        <v>354.62</v>
      </c>
      <c r="I9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yyyymm</t>
        </is>
      </c>
      <c r="B2" s="19" t="inlineStr">
        <is>
          <t>rate_date</t>
        </is>
      </c>
      <c r="C2" s="19" t="inlineStr">
        <is>
          <t>currency_original</t>
        </is>
      </c>
      <c r="D2" s="19" t="inlineStr">
        <is>
          <t>reporting_currency</t>
        </is>
      </c>
      <c r="E2" s="19" t="inlineStr">
        <is>
          <t>reference_rate</t>
        </is>
      </c>
      <c r="F2" s="19" t="inlineStr">
        <is>
          <t>fx_rate</t>
        </is>
      </c>
      <c r="G2" s="1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20" t="n">
        <v>1</v>
      </c>
      <c r="F3" s="20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20" t="n">
        <v>1</v>
      </c>
      <c r="F4" s="20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20" t="n">
        <v>1</v>
      </c>
      <c r="F5" s="20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20" t="n">
        <v>1</v>
      </c>
      <c r="F6" s="20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USD</t>
        </is>
      </c>
      <c r="E7" s="20" t="n">
        <v>1</v>
      </c>
      <c r="F7" s="20" t="n">
        <v>1.1498</v>
      </c>
      <c r="G7" t="inlineStr">
        <is>
          <t>identity -&gt; https://www.ecb.europa.eu/stats/eurofxref/eurofxref-hist.xml</t>
        </is>
      </c>
    </row>
    <row r="8" ht="12" customHeight="1">
      <c r="A8" t="inlineStr">
        <is>
          <t>202603</t>
        </is>
      </c>
      <c r="B8" t="inlineStr">
        <is>
          <t>2026-03-01</t>
        </is>
      </c>
      <c r="C8" t="inlineStr">
        <is>
          <t>USD</t>
        </is>
      </c>
      <c r="D8" t="inlineStr">
        <is>
          <t>USD</t>
        </is>
      </c>
      <c r="E8" s="20" t="n">
        <v>1</v>
      </c>
      <c r="F8" s="20" t="n">
        <v>1</v>
      </c>
      <c r="G8" t="inlineStr">
        <is>
          <t>identity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EUR</t>
        </is>
      </c>
      <c r="D9" t="inlineStr">
        <is>
          <t>USD</t>
        </is>
      </c>
      <c r="E9" s="20" t="n">
        <v>1</v>
      </c>
      <c r="F9" s="20" t="n">
        <v>1.1702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202604</t>
        </is>
      </c>
      <c r="B10" t="inlineStr">
        <is>
          <t>2026-04-01</t>
        </is>
      </c>
      <c r="C10" t="inlineStr">
        <is>
          <t>USD</t>
        </is>
      </c>
      <c r="D10" t="inlineStr">
        <is>
          <t>USD</t>
        </is>
      </c>
      <c r="E10" s="20" t="n">
        <v>1</v>
      </c>
      <c r="F10" s="20" t="n">
        <v>1</v>
      </c>
      <c r="G10" t="inlineStr">
        <is>
          <t>identity</t>
        </is>
      </c>
    </row>
    <row r="11" ht="12" customHeight="1">
      <c r="A11" t="inlineStr">
        <is>
          <t>202605</t>
        </is>
      </c>
      <c r="B11" t="inlineStr">
        <is>
          <t>2026-05-01</t>
        </is>
      </c>
      <c r="C11" t="inlineStr">
        <is>
          <t>EUR</t>
        </is>
      </c>
      <c r="D11" t="inlineStr">
        <is>
          <t>USD</t>
        </is>
      </c>
      <c r="E11" s="20" t="n">
        <v>1</v>
      </c>
      <c r="F11" s="20" t="n">
        <v>1.1644</v>
      </c>
      <c r="G11" t="inlineStr">
        <is>
          <t>identity -&gt; https://www.ecb.europa.eu/stats/eurofxref/eurofxref-hist.xml</t>
        </is>
      </c>
    </row>
    <row r="12" ht="12" customHeight="1">
      <c r="A12" t="inlineStr">
        <is>
          <t>202605</t>
        </is>
      </c>
      <c r="B12" t="inlineStr">
        <is>
          <t>2026-05-01</t>
        </is>
      </c>
      <c r="C12" t="inlineStr">
        <is>
          <t>USD</t>
        </is>
      </c>
      <c r="D12" t="inlineStr">
        <is>
          <t>USD</t>
        </is>
      </c>
      <c r="E12" s="20" t="n">
        <v>1</v>
      </c>
      <c r="F12" s="20" t="n">
        <v>1</v>
      </c>
      <c r="G12" t="inlineStr">
        <is>
          <t>identity</t>
        </is>
      </c>
    </row>
    <row r="13" ht="12" customHeight="1">
      <c r="A13" t="inlineStr">
        <is>
          <t>202606</t>
        </is>
      </c>
      <c r="B13" t="inlineStr">
        <is>
          <t>2026-06-01</t>
        </is>
      </c>
      <c r="C13" t="inlineStr">
        <is>
          <t>EUR</t>
        </is>
      </c>
      <c r="D13" t="inlineStr">
        <is>
          <t>USD</t>
        </is>
      </c>
      <c r="E13" s="20" t="n">
        <v>1</v>
      </c>
      <c r="F13" s="20" t="n">
        <v>1.1394</v>
      </c>
      <c r="G13" t="inlineStr">
        <is>
          <t>identity -&gt; https://www.ecb.europa.eu/stats/eurofxref/eurofxref-hist.xml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USD</t>
        </is>
      </c>
      <c r="D14" t="inlineStr">
        <is>
          <t>USD</t>
        </is>
      </c>
      <c r="E14" s="20" t="n">
        <v>1</v>
      </c>
      <c r="F14" s="20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USD</t>
        </is>
      </c>
      <c r="D15" t="inlineStr">
        <is>
          <t>USD</t>
        </is>
      </c>
      <c r="E15" s="20" t="n">
        <v>1</v>
      </c>
      <c r="F15" s="20" t="n">
        <v>1</v>
      </c>
      <c r="G15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8" t="inlineStr">
        <is>
          <t>&lt;- Volver a P&amp;G-INC</t>
        </is>
      </c>
    </row>
    <row r="2" ht="12" customHeight="1">
      <c r="A2" s="19" t="inlineStr">
        <is>
          <t>supplier_code</t>
        </is>
      </c>
      <c r="B2" s="19" t="inlineStr">
        <is>
          <t>supplier_name</t>
        </is>
      </c>
      <c r="C2" s="19" t="inlineStr">
        <is>
          <t>current_folder</t>
        </is>
      </c>
      <c r="D2" s="19" t="inlineStr">
        <is>
          <t>destination_path</t>
        </is>
      </c>
      <c r="E2" s="19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</t>
        </is>
      </c>
      <c r="C6" t="inlineStr">
        <is>
          <t>Delaware</t>
        </is>
      </c>
      <c r="D6" t="inlineStr">
        <is>
          <t>expenses/opex/administration</t>
        </is>
      </c>
      <c r="E6" t="inlineStr">
        <is>
          <t>US filing and registered office services</t>
        </is>
      </c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2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3" t="inlineStr">
        <is>
          <t>Turnover</t>
        </is>
      </c>
      <c r="B4" s="24" t="n"/>
      <c r="C4" s="24" t="n"/>
      <c r="D4" s="24" t="n">
        <v>1</v>
      </c>
      <c r="E4" s="24" t="n">
        <v>1</v>
      </c>
      <c r="F4" s="24" t="n">
        <v>1</v>
      </c>
      <c r="G4" s="24" t="n">
        <v>1</v>
      </c>
      <c r="H4" s="24" t="n">
        <v>1</v>
      </c>
      <c r="I4" s="24" t="n">
        <v>1</v>
      </c>
      <c r="J4" s="24" t="n">
        <v>1</v>
      </c>
      <c r="K4" s="24" t="n">
        <v>0</v>
      </c>
      <c r="L4" s="24" t="n">
        <v>0</v>
      </c>
      <c r="M4" s="24" t="n">
        <v>0</v>
      </c>
      <c r="N4" s="24" t="n">
        <v>0</v>
      </c>
      <c r="O4" s="24" t="n">
        <v>0</v>
      </c>
      <c r="P4" s="24" t="n">
        <v>7</v>
      </c>
      <c r="Q4" s="24" t="n"/>
    </row>
    <row r="5" ht="12" customHeight="1">
      <c r="A5" s="25" t="n"/>
      <c r="B5" s="26" t="inlineStr">
        <is>
          <t>Product sales</t>
        </is>
      </c>
      <c r="C5" s="25" t="n"/>
      <c r="D5" s="25" t="n">
        <v>1</v>
      </c>
      <c r="E5" s="25" t="n">
        <v>1</v>
      </c>
      <c r="F5" s="25" t="n">
        <v>1</v>
      </c>
      <c r="G5" s="25" t="n">
        <v>1</v>
      </c>
      <c r="H5" s="25" t="n">
        <v>1</v>
      </c>
      <c r="I5" s="25" t="n">
        <v>1</v>
      </c>
      <c r="J5" s="25" t="n">
        <v>1</v>
      </c>
      <c r="K5" s="25" t="n">
        <v>0</v>
      </c>
      <c r="L5" s="25" t="n">
        <v>0</v>
      </c>
      <c r="M5" s="25" t="n">
        <v>0</v>
      </c>
      <c r="N5" s="25" t="n">
        <v>0</v>
      </c>
      <c r="O5" s="25" t="n">
        <v>0</v>
      </c>
      <c r="P5" s="25" t="n">
        <v>7</v>
      </c>
      <c r="Q5" s="25" t="n"/>
    </row>
    <row r="6" ht="12" customHeight="1">
      <c r="A6" s="27" t="n"/>
      <c r="B6" s="27" t="n"/>
      <c r="C6" s="9" t="inlineStr">
        <is>
          <t>Shopify</t>
        </is>
      </c>
      <c r="D6" s="27" t="n">
        <v>1</v>
      </c>
      <c r="E6" s="27" t="n">
        <v>1</v>
      </c>
      <c r="F6" s="27" t="n">
        <v>1</v>
      </c>
      <c r="G6" s="27" t="n">
        <v>1</v>
      </c>
      <c r="H6" s="27" t="n">
        <v>1</v>
      </c>
      <c r="I6" s="27" t="n">
        <v>1</v>
      </c>
      <c r="J6" s="27" t="n">
        <v>1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7</v>
      </c>
      <c r="Q6" s="27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7</v>
      </c>
    </row>
    <row r="8" ht="12" customHeight="1">
      <c r="A8" s="25" t="n"/>
      <c r="B8" s="26" t="inlineStr">
        <is>
          <t>Services</t>
        </is>
      </c>
      <c r="C8" s="25" t="n"/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/>
    </row>
    <row r="9" ht="12" customHeight="1">
      <c r="A9" s="27" t="n"/>
      <c r="B9" s="9" t="inlineStr">
        <is>
          <t>Uncategorized income</t>
        </is>
      </c>
      <c r="C9" s="27" t="n"/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/>
    </row>
    <row r="10" ht="12" customHeight="1"/>
    <row r="11" ht="12" customHeight="1">
      <c r="A11" s="23" t="inlineStr">
        <is>
          <t>Expenses</t>
        </is>
      </c>
      <c r="B11" s="24" t="n"/>
      <c r="C11" s="24" t="n"/>
      <c r="D11" s="24" t="n">
        <v>19</v>
      </c>
      <c r="E11" s="24" t="n">
        <v>29</v>
      </c>
      <c r="F11" s="24" t="n">
        <v>45</v>
      </c>
      <c r="G11" s="24" t="n">
        <v>42</v>
      </c>
      <c r="H11" s="24" t="n">
        <v>26</v>
      </c>
      <c r="I11" s="24" t="n">
        <v>34</v>
      </c>
      <c r="J11" s="24" t="n">
        <v>2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0</v>
      </c>
      <c r="P11" s="24" t="n">
        <v>197</v>
      </c>
      <c r="Q11" s="24" t="n"/>
    </row>
    <row r="12" ht="12" customHeight="1">
      <c r="A12" s="25" t="n"/>
      <c r="B12" s="26" t="inlineStr">
        <is>
          <t>COGS</t>
        </is>
      </c>
      <c r="C12" s="25" t="n"/>
      <c r="D12" s="25" t="n">
        <v>10</v>
      </c>
      <c r="E12" s="25" t="n">
        <v>21</v>
      </c>
      <c r="F12" s="25" t="n">
        <v>31</v>
      </c>
      <c r="G12" s="25" t="n">
        <v>33</v>
      </c>
      <c r="H12" s="25" t="n">
        <v>16</v>
      </c>
      <c r="I12" s="25" t="n">
        <v>28</v>
      </c>
      <c r="J12" s="25" t="n">
        <v>1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140</v>
      </c>
      <c r="Q12" s="25" t="n"/>
    </row>
    <row r="13" ht="12" customHeight="1">
      <c r="A13" s="27" t="n"/>
      <c r="B13" s="27" t="n"/>
      <c r="C13" s="9" t="inlineStr">
        <is>
          <t>Manufacturing</t>
        </is>
      </c>
      <c r="D13" s="27" t="n">
        <v>8</v>
      </c>
      <c r="E13" s="27" t="n">
        <v>19</v>
      </c>
      <c r="F13" s="27" t="n">
        <v>29</v>
      </c>
      <c r="G13" s="27" t="n">
        <v>31</v>
      </c>
      <c r="H13" s="27" t="n">
        <v>14</v>
      </c>
      <c r="I13" s="27" t="n">
        <v>26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127</v>
      </c>
      <c r="Q13" s="27" t="n"/>
    </row>
    <row r="14" ht="12" customHeight="1">
      <c r="C14" t="inlineStr">
        <is>
          <t>JONDO</t>
        </is>
      </c>
      <c r="D14" t="n">
        <v>7</v>
      </c>
      <c r="E14" t="n">
        <v>18</v>
      </c>
      <c r="F14" t="n">
        <v>28</v>
      </c>
      <c r="G14" t="n">
        <v>30</v>
      </c>
      <c r="H14" t="n">
        <v>13</v>
      </c>
      <c r="I14" t="n">
        <v>25</v>
      </c>
      <c r="J14" s="28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121</v>
      </c>
    </row>
    <row r="15" ht="12" customHeight="1">
      <c r="C15" t="inlineStr">
        <is>
          <t>TGI</t>
        </is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s="28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6</v>
      </c>
    </row>
    <row r="16" ht="12" customHeight="1">
      <c r="A16" s="27" t="n"/>
      <c r="B16" s="27" t="n"/>
      <c r="C16" s="9" t="inlineStr">
        <is>
          <t>Logistics</t>
        </is>
      </c>
      <c r="D16" s="27" t="n">
        <v>1</v>
      </c>
      <c r="E16" s="27" t="n">
        <v>1</v>
      </c>
      <c r="F16" s="27" t="n">
        <v>1</v>
      </c>
      <c r="G16" s="27" t="n">
        <v>1</v>
      </c>
      <c r="H16" s="27" t="n">
        <v>1</v>
      </c>
      <c r="I16" s="27" t="n">
        <v>1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6</v>
      </c>
      <c r="Q16" s="27" t="n"/>
    </row>
    <row r="17" ht="12" customHeight="1">
      <c r="C17" t="inlineStr">
        <is>
          <t>TGI</t>
        </is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s="28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A18" s="27" t="n"/>
      <c r="B18" s="27" t="n"/>
      <c r="C18" s="9" t="inlineStr">
        <is>
          <t>Payment fees</t>
        </is>
      </c>
      <c r="D18" s="27" t="n">
        <v>1</v>
      </c>
      <c r="E18" s="27" t="n">
        <v>1</v>
      </c>
      <c r="F18" s="27" t="n">
        <v>1</v>
      </c>
      <c r="G18" s="27" t="n">
        <v>1</v>
      </c>
      <c r="H18" s="27" t="n">
        <v>1</v>
      </c>
      <c r="I18" s="27" t="n">
        <v>1</v>
      </c>
      <c r="J18" s="27" t="n">
        <v>1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7</v>
      </c>
      <c r="Q18" s="27" t="n"/>
    </row>
    <row r="19" ht="12" customHeight="1">
      <c r="C19" t="inlineStr">
        <is>
          <t>SHOPIFY</t>
        </is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7</v>
      </c>
    </row>
    <row r="20" ht="12" customHeight="1"/>
    <row r="21" ht="12" customHeight="1">
      <c r="A21" s="25" t="n"/>
      <c r="B21" s="26" t="inlineStr">
        <is>
          <t>Opex</t>
        </is>
      </c>
      <c r="C21" s="25" t="n"/>
      <c r="D21" s="25" t="n">
        <v>9</v>
      </c>
      <c r="E21" s="25" t="n">
        <v>8</v>
      </c>
      <c r="F21" s="25" t="n">
        <v>14</v>
      </c>
      <c r="G21" s="25" t="n">
        <v>9</v>
      </c>
      <c r="H21" s="25" t="n">
        <v>10</v>
      </c>
      <c r="I21" s="25" t="n">
        <v>6</v>
      </c>
      <c r="J21" s="25" t="n">
        <v>1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57</v>
      </c>
      <c r="Q21" s="25" t="n"/>
    </row>
    <row r="22" ht="12" customHeight="1">
      <c r="A22" s="27" t="n"/>
      <c r="B22" s="27" t="n"/>
      <c r="C22" s="9" t="inlineStr">
        <is>
          <t>Shared services</t>
        </is>
      </c>
      <c r="D22" s="27" t="n">
        <v>1</v>
      </c>
      <c r="E22" s="27" t="n">
        <v>1</v>
      </c>
      <c r="F22" s="27" t="n">
        <v>1</v>
      </c>
      <c r="G22" s="27" t="n">
        <v>1</v>
      </c>
      <c r="H22" s="27" t="n">
        <v>1</v>
      </c>
      <c r="I22" s="27" t="n">
        <v>1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6</v>
      </c>
      <c r="Q22" s="27" t="n"/>
    </row>
    <row r="23" ht="12" customHeight="1">
      <c r="C23" t="inlineStr">
        <is>
          <t>SHAREDSERVICESSL</t>
        </is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s="28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6</v>
      </c>
    </row>
    <row r="24" ht="12" customHeight="1">
      <c r="A24" s="27" t="n"/>
      <c r="B24" s="27" t="n"/>
      <c r="C24" s="9" t="inlineStr">
        <is>
          <t>Administration</t>
        </is>
      </c>
      <c r="D24" s="27" t="n">
        <v>8</v>
      </c>
      <c r="E24" s="27" t="n">
        <v>7</v>
      </c>
      <c r="F24" s="27" t="n">
        <v>13</v>
      </c>
      <c r="G24" s="27" t="n">
        <v>8</v>
      </c>
      <c r="H24" s="27" t="n">
        <v>9</v>
      </c>
      <c r="I24" s="27" t="n">
        <v>5</v>
      </c>
      <c r="J24" s="27" t="n">
        <v>1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51</v>
      </c>
      <c r="Q24" s="27" t="n"/>
    </row>
    <row r="25" ht="12" customHeight="1">
      <c r="C25" t="inlineStr">
        <is>
          <t>CONTINUUM</t>
        </is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7</v>
      </c>
    </row>
    <row r="26" ht="12" customHeight="1">
      <c r="C26" t="inlineStr">
        <is>
          <t>DELAWARE</t>
        </is>
      </c>
      <c r="D26" t="n">
        <v>0</v>
      </c>
      <c r="E26" t="n">
        <v>0</v>
      </c>
      <c r="F26" t="n">
        <v>2</v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3</v>
      </c>
    </row>
    <row r="27" ht="12" customHeight="1">
      <c r="C27" t="inlineStr">
        <is>
          <t>HUSHED</t>
        </is>
      </c>
      <c r="D27" t="n">
        <v>1</v>
      </c>
      <c r="E27" t="n">
        <v>1</v>
      </c>
      <c r="F27" t="n">
        <v>1</v>
      </c>
      <c r="G27" t="n">
        <v>0</v>
      </c>
      <c r="H27" t="n">
        <v>1</v>
      </c>
      <c r="I27" t="n">
        <v>1</v>
      </c>
      <c r="J27" s="28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5</v>
      </c>
    </row>
    <row r="28" ht="12" customHeight="1">
      <c r="C28" t="inlineStr">
        <is>
          <t>IPOSTAL</t>
        </is>
      </c>
      <c r="D28" t="n">
        <v>4</v>
      </c>
      <c r="E28" t="n">
        <v>3</v>
      </c>
      <c r="F28" t="n">
        <v>8</v>
      </c>
      <c r="G28" t="n">
        <v>5</v>
      </c>
      <c r="H28" t="n">
        <v>6</v>
      </c>
      <c r="I28" t="n">
        <v>2</v>
      </c>
      <c r="J28" s="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28</v>
      </c>
    </row>
    <row r="29" ht="12" customHeight="1">
      <c r="C29" t="inlineStr">
        <is>
          <t>QUICKBOOKS</t>
        </is>
      </c>
      <c r="D29" t="n">
        <v>1</v>
      </c>
      <c r="E29" t="n">
        <v>1</v>
      </c>
      <c r="F29" t="n">
        <v>1</v>
      </c>
      <c r="G29" t="n">
        <v>1</v>
      </c>
      <c r="H29" t="n">
        <v>1</v>
      </c>
      <c r="I29" t="n">
        <v>1</v>
      </c>
      <c r="J29" s="28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>
      <c r="C30" t="inlineStr">
        <is>
          <t>REGUS</t>
        </is>
      </c>
      <c r="D30" t="n">
        <v>1</v>
      </c>
      <c r="E30" t="n">
        <v>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2</v>
      </c>
    </row>
    <row r="31" ht="12" customHeight="1">
      <c r="A31" s="27" t="n"/>
      <c r="B31" s="27" t="n"/>
      <c r="C31" s="9" t="inlineStr">
        <is>
          <t>Technology</t>
        </is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/>
    </row>
    <row r="32" ht="12" customHeight="1">
      <c r="C32" t="inlineStr">
        <is>
          <t>REVER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 ht="12" customHeight="1">
      <c r="A33" s="27" t="n"/>
      <c r="B33" s="27" t="n"/>
      <c r="C33" s="9" t="inlineStr">
        <is>
          <t>Uncategorized Expenses</t>
        </is>
      </c>
      <c r="D33" s="27" t="n">
        <v>0</v>
      </c>
      <c r="E33" s="27" t="n">
        <v>0</v>
      </c>
      <c r="F33" s="27" t="n">
        <v>0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/>
    </row>
    <row r="34" ht="12" customHeight="1">
      <c r="A34" s="27" t="n"/>
      <c r="B34" s="9" t="inlineStr">
        <is>
          <t>Currency Adjustment</t>
        </is>
      </c>
      <c r="C34" s="27" t="n"/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2026-07-31T07:48:06Z</dcterms:created>
  <dcterms:modified xmlns:dcterms="http://purl.org/dc/terms/" xmlns:xsi="http://www.w3.org/2001/XMLSchema-instance" xsi:type="dcterms:W3CDTF">2026-07-31T07:48:06Z</dcterms:modified>
</cp:coreProperties>
</file>