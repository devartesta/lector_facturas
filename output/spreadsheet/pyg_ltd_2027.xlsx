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&amp;G-LTD" sheetId="1" state="visible" r:id="rId1"/>
    <sheet name="params" sheetId="2" state="visible" r:id="rId2"/>
    <sheet name="i-shopify-ltd" sheetId="3" state="visible" r:id="rId3"/>
    <sheet name="g-expenses-ltd" sheetId="4" state="visible" r:id="rId4"/>
    <sheet name="g-payment-fees-ltd" sheetId="5" state="visible" r:id="rId5"/>
    <sheet name="fx-rates" sheetId="6" state="visible" r:id="rId6"/>
    <sheet name="catalog-ltd" sheetId="7" state="visible" r:id="rId7"/>
    <sheet name="Nº Facturas-LTD" sheetId="8" state="visible" r:id="rId8"/>
  </sheets>
  <definedNames/>
  <calcPr calcId="124519" fullCalcOnLoad="1" forceFullCalc="1"/>
</workbook>
</file>

<file path=xl/styles.xml><?xml version="1.0" encoding="utf-8"?>
<styleSheet xmlns="http://schemas.openxmlformats.org/spreadsheetml/2006/main">
  <numFmts count="3">
    <numFmt numFmtId="164" formatCode="#,##0.00;[Red](#,##0.00);-"/>
    <numFmt numFmtId="165" formatCode="0.00000000"/>
    <numFmt numFmtId="166" formatCode="0.0%;[Red](0.0%);-"/>
  </numFmts>
  <fonts count="8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2"/>
    </font>
    <font>
      <i val="1"/>
      <color rgb="00666666"/>
      <sz val="9"/>
    </font>
    <font>
      <b val="1"/>
    </font>
    <font>
      <i val="1"/>
      <color rgb="00666666"/>
    </font>
    <font>
      <b val="1"/>
      <color rgb="001F1F1F"/>
    </font>
    <font>
      <name val="Calibri"/>
      <family val="2"/>
      <color theme="10"/>
      <sz val="12"/>
      <scheme val="minor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AF3F8"/>
      </patternFill>
    </fill>
    <fill>
      <patternFill patternType="solid">
        <fgColor rgb="00FFF2CC"/>
      </patternFill>
    </fill>
    <fill>
      <patternFill patternType="solid">
        <fgColor rgb="00F3F6F8"/>
      </patternFill>
    </fill>
  </fills>
  <borders count="3">
    <border>
      <left/>
      <right/>
      <top/>
      <bottom/>
      <diagonal/>
    </border>
    <border>
      <top style="medium">
        <color rgb="007F7F7F"/>
      </top>
    </border>
    <border>
      <top style="thin">
        <color rgb="00A6A6A6"/>
      </top>
    </border>
  </borders>
  <cellStyleXfs count="2">
    <xf numFmtId="0" fontId="0" fillId="0" borderId="0"/>
    <xf numFmtId="0" fontId="7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  <xf numFmtId="164" fontId="0" fillId="0" borderId="0" pivotButton="0" quotePrefix="0" xfId="0"/>
    <xf numFmtId="0" fontId="4" fillId="3" borderId="1" pivotButton="0" quotePrefix="0" xfId="0"/>
    <xf numFmtId="164" fontId="0" fillId="3" borderId="1" pivotButton="0" quotePrefix="0" xfId="0"/>
    <xf numFmtId="0" fontId="4" fillId="4" borderId="2" pivotButton="0" quotePrefix="0" xfId="0"/>
    <xf numFmtId="164" fontId="0" fillId="4" borderId="2" pivotButton="0" quotePrefix="0" xfId="0"/>
    <xf numFmtId="0" fontId="4" fillId="4" borderId="0" pivotButton="0" quotePrefix="0" xfId="0"/>
    <xf numFmtId="164" fontId="0" fillId="4" borderId="0" pivotButton="0" quotePrefix="0" xfId="0"/>
    <xf numFmtId="0" fontId="5" fillId="0" borderId="0" pivotButton="0" quotePrefix="0" xfId="0"/>
    <xf numFmtId="166" fontId="0" fillId="0" borderId="0" pivotButton="0" quotePrefix="0" xfId="0"/>
    <xf numFmtId="0" fontId="4" fillId="5" borderId="1" pivotButton="0" quotePrefix="0" xfId="0"/>
    <xf numFmtId="164" fontId="0" fillId="5" borderId="1" pivotButton="0" quotePrefix="0" xfId="0"/>
    <xf numFmtId="0" fontId="4" fillId="0" borderId="0" pivotButton="0" quotePrefix="0" xfId="0"/>
    <xf numFmtId="0" fontId="6" fillId="6" borderId="0" applyAlignment="1" pivotButton="0" quotePrefix="0" xfId="0">
      <alignment horizontal="left" vertical="center"/>
    </xf>
    <xf numFmtId="0" fontId="1" fillId="2" borderId="0" pivotButton="0" quotePrefix="0" xfId="0"/>
    <xf numFmtId="165" fontId="0" fillId="0" borderId="0" pivotButton="0" quotePrefix="0" xfId="0"/>
    <xf numFmtId="0" fontId="7" fillId="0" borderId="0" pivotButton="0" quotePrefix="0" xfId="1"/>
    <xf numFmtId="0" fontId="2" fillId="2" borderId="0" applyAlignment="1" pivotButton="0" quotePrefix="0" xfId="0">
      <alignment horizontal="left" vertical="center"/>
    </xf>
    <xf numFmtId="0" fontId="4" fillId="3" borderId="0" pivotButton="0" quotePrefix="0" xfId="0"/>
    <xf numFmtId="0" fontId="0" fillId="3" borderId="0" pivotButton="0" quotePrefix="0" xfId="0"/>
    <xf numFmtId="0" fontId="0" fillId="6" borderId="0" pivotButton="0" quotePrefix="0" xfId="0"/>
    <xf numFmtId="0" fontId="4" fillId="6" borderId="0" pivotButton="0" quotePrefix="0" xfId="0"/>
    <xf numFmtId="0" fontId="0" fillId="4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hyperlink" Target="https://drive.google.com/file/d/1OHftZDVQsfubhNFSoSD7IPplIl-waEKz/view?usp=drivesdk" TargetMode="External" Id="rId1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Q46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hidden="1" width="2" customWidth="1" min="2" max="2"/>
    <col hidden="1" width="2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3" customWidth="1" min="17" max="17"/>
  </cols>
  <sheetData>
    <row r="1" hidden="1">
      <c r="A1" s="1" t="n"/>
      <c r="B1" s="1" t="n"/>
      <c r="C1" s="1" t="n"/>
      <c r="D1" s="1" t="inlineStr">
        <is>
          <t>202701</t>
        </is>
      </c>
      <c r="E1" s="1" t="inlineStr">
        <is>
          <t>202702</t>
        </is>
      </c>
      <c r="F1" s="1" t="inlineStr">
        <is>
          <t>202703</t>
        </is>
      </c>
      <c r="G1" s="1" t="inlineStr">
        <is>
          <t>202704</t>
        </is>
      </c>
      <c r="H1" s="1" t="inlineStr">
        <is>
          <t>202705</t>
        </is>
      </c>
      <c r="I1" s="1" t="inlineStr">
        <is>
          <t>202706</t>
        </is>
      </c>
      <c r="J1" s="1" t="inlineStr">
        <is>
          <t>202707</t>
        </is>
      </c>
      <c r="K1" s="1" t="inlineStr">
        <is>
          <t>202708</t>
        </is>
      </c>
      <c r="L1" s="1" t="inlineStr">
        <is>
          <t>202709</t>
        </is>
      </c>
      <c r="M1" s="1" t="inlineStr">
        <is>
          <t>202710</t>
        </is>
      </c>
      <c r="N1" s="1" t="inlineStr">
        <is>
          <t>202711</t>
        </is>
      </c>
      <c r="O1" s="1" t="inlineStr">
        <is>
          <t>202712</t>
        </is>
      </c>
      <c r="P1" s="1" t="inlineStr">
        <is>
          <t>TOTAL</t>
        </is>
      </c>
      <c r="Q1" s="1" t="inlineStr"/>
    </row>
    <row r="2" ht="12" customHeight="1">
      <c r="A2" s="2" t="inlineStr">
        <is>
          <t>P&amp;G LTD 2027</t>
        </is>
      </c>
      <c r="B2" s="1" t="n"/>
      <c r="C2" s="1" t="n"/>
      <c r="D2" s="1" t="inlineStr">
        <is>
          <t>Enero</t>
        </is>
      </c>
      <c r="E2" s="1" t="inlineStr">
        <is>
          <t>Febrero</t>
        </is>
      </c>
      <c r="F2" s="1" t="inlineStr">
        <is>
          <t>Marzo</t>
        </is>
      </c>
      <c r="G2" s="1" t="inlineStr">
        <is>
          <t>Abril</t>
        </is>
      </c>
      <c r="H2" s="1" t="inlineStr">
        <is>
          <t>Mayo</t>
        </is>
      </c>
      <c r="I2" s="1" t="inlineStr">
        <is>
          <t>Junio</t>
        </is>
      </c>
      <c r="J2" s="1" t="inlineStr">
        <is>
          <t>Julio</t>
        </is>
      </c>
      <c r="K2" s="1" t="inlineStr">
        <is>
          <t>Agosto</t>
        </is>
      </c>
      <c r="L2" s="1" t="inlineStr">
        <is>
          <t>Septiembre</t>
        </is>
      </c>
      <c r="M2" s="1" t="inlineStr">
        <is>
          <t>Octubre</t>
        </is>
      </c>
      <c r="N2" s="1" t="inlineStr">
        <is>
          <t>Noviembre</t>
        </is>
      </c>
      <c r="O2" s="1" t="inlineStr">
        <is>
          <t>Diciembre</t>
        </is>
      </c>
      <c r="P2" s="1" t="inlineStr">
        <is>
          <t>Total</t>
        </is>
      </c>
      <c r="Q2" s="1" t="inlineStr"/>
    </row>
    <row r="3" ht="12" customHeight="1">
      <c r="A3" s="3" t="inlineStr">
        <is>
          <t>Actualizado: 30/03/2026 17:09 h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</row>
    <row r="4" ht="12" customHeight="1">
      <c r="A4" s="5" t="inlineStr">
        <is>
          <t>Turnover</t>
        </is>
      </c>
      <c r="B4" s="6" t="n"/>
      <c r="C4" s="6" t="n"/>
      <c r="D4" s="6">
        <f>D5+D8</f>
        <v/>
      </c>
      <c r="E4" s="6">
        <f>E5+E8</f>
        <v/>
      </c>
      <c r="F4" s="6">
        <f>F5+F8</f>
        <v/>
      </c>
      <c r="G4" s="6">
        <f>G5+G8</f>
        <v/>
      </c>
      <c r="H4" s="6">
        <f>H5+H8</f>
        <v/>
      </c>
      <c r="I4" s="6">
        <f>I5+I8</f>
        <v/>
      </c>
      <c r="J4" s="6">
        <f>J5+J8</f>
        <v/>
      </c>
      <c r="K4" s="6">
        <f>K5+K8</f>
        <v/>
      </c>
      <c r="L4" s="6">
        <f>L5+L8</f>
        <v/>
      </c>
      <c r="M4" s="6">
        <f>M5+M8</f>
        <v/>
      </c>
      <c r="N4" s="6">
        <f>N5+N8</f>
        <v/>
      </c>
      <c r="O4" s="6">
        <f>O5+O8</f>
        <v/>
      </c>
      <c r="P4" s="6">
        <f>SUM(D4:O4)</f>
        <v/>
      </c>
      <c r="Q4" s="6" t="n"/>
    </row>
    <row r="5" outlineLevel="1" ht="12" customHeight="1">
      <c r="A5" s="7" t="inlineStr">
        <is>
          <t xml:space="preserve">  Product sales</t>
        </is>
      </c>
      <c r="B5" s="8" t="n"/>
      <c r="C5" s="8" t="n"/>
      <c r="D5" s="8">
        <f>D6</f>
        <v/>
      </c>
      <c r="E5" s="8">
        <f>E6</f>
        <v/>
      </c>
      <c r="F5" s="8">
        <f>F6</f>
        <v/>
      </c>
      <c r="G5" s="8">
        <f>G6</f>
        <v/>
      </c>
      <c r="H5" s="8">
        <f>H6</f>
        <v/>
      </c>
      <c r="I5" s="8">
        <f>I6</f>
        <v/>
      </c>
      <c r="J5" s="8">
        <f>J6</f>
        <v/>
      </c>
      <c r="K5" s="8">
        <f>K6</f>
        <v/>
      </c>
      <c r="L5" s="8">
        <f>L6</f>
        <v/>
      </c>
      <c r="M5" s="8">
        <f>M6</f>
        <v/>
      </c>
      <c r="N5" s="8">
        <f>N6</f>
        <v/>
      </c>
      <c r="O5" s="8">
        <f>O6</f>
        <v/>
      </c>
      <c r="P5" s="8">
        <f>SUM(D5:O5)</f>
        <v/>
      </c>
      <c r="Q5" s="8" t="n"/>
    </row>
    <row r="6" hidden="1" outlineLevel="2" ht="12" customHeight="1">
      <c r="A6" s="9" t="inlineStr">
        <is>
          <t xml:space="preserve">    Shopify</t>
        </is>
      </c>
      <c r="B6" s="10" t="n"/>
      <c r="C6" s="10" t="n"/>
      <c r="D6" s="10">
        <f>SUM(D7:D7)</f>
        <v/>
      </c>
      <c r="E6" s="10">
        <f>SUM(E7:E7)</f>
        <v/>
      </c>
      <c r="F6" s="10">
        <f>SUM(F7:F7)</f>
        <v/>
      </c>
      <c r="G6" s="10">
        <f>SUM(G7:G7)</f>
        <v/>
      </c>
      <c r="H6" s="10">
        <f>SUM(H7:H7)</f>
        <v/>
      </c>
      <c r="I6" s="10">
        <f>SUM(I7:I7)</f>
        <v/>
      </c>
      <c r="J6" s="10">
        <f>SUM(J7:J7)</f>
        <v/>
      </c>
      <c r="K6" s="10">
        <f>SUM(K7:K7)</f>
        <v/>
      </c>
      <c r="L6" s="10">
        <f>SUM(L7:L7)</f>
        <v/>
      </c>
      <c r="M6" s="10">
        <f>SUM(M7:M7)</f>
        <v/>
      </c>
      <c r="N6" s="10">
        <f>SUM(N7:N7)</f>
        <v/>
      </c>
      <c r="O6" s="10">
        <f>SUM(O7:O7)</f>
        <v/>
      </c>
      <c r="P6" s="10">
        <f>SUM(D6:O6)</f>
        <v/>
      </c>
      <c r="Q6" s="10" t="inlineStr">
        <is>
          <t>-&gt;</t>
        </is>
      </c>
    </row>
    <row r="7" hidden="1" outlineLevel="3" ht="12" customHeight="1">
      <c r="A7" t="inlineStr">
        <is>
          <t xml:space="preserve">      GB</t>
        </is>
      </c>
      <c r="B7" s="4" t="n"/>
      <c r="C7" s="4" t="n"/>
      <c r="D7" s="4">
        <f>SUMIFS('i-shopify-ltd'!$I:$I,'i-shopify-ltd'!$A:$A,D$1,'i-shopify-ltd'!$C:$C,TRIM($A7))</f>
        <v/>
      </c>
      <c r="E7" s="4">
        <f>SUMIFS('i-shopify-ltd'!$I:$I,'i-shopify-ltd'!$A:$A,E$1,'i-shopify-ltd'!$C:$C,TRIM($A7))</f>
        <v/>
      </c>
      <c r="F7" s="4">
        <f>SUMIFS('i-shopify-ltd'!$I:$I,'i-shopify-ltd'!$A:$A,F$1,'i-shopify-ltd'!$C:$C,TRIM($A7))</f>
        <v/>
      </c>
      <c r="G7" s="4">
        <f>SUMIFS('i-shopify-ltd'!$I:$I,'i-shopify-ltd'!$A:$A,G$1,'i-shopify-ltd'!$C:$C,TRIM($A7))</f>
        <v/>
      </c>
      <c r="H7" s="4">
        <f>SUMIFS('i-shopify-ltd'!$I:$I,'i-shopify-ltd'!$A:$A,H$1,'i-shopify-ltd'!$C:$C,TRIM($A7))</f>
        <v/>
      </c>
      <c r="I7" s="4">
        <f>SUMIFS('i-shopify-ltd'!$I:$I,'i-shopify-ltd'!$A:$A,I$1,'i-shopify-ltd'!$C:$C,TRIM($A7))</f>
        <v/>
      </c>
      <c r="J7" s="4">
        <f>SUMIFS('i-shopify-ltd'!$I:$I,'i-shopify-ltd'!$A:$A,J$1,'i-shopify-ltd'!$C:$C,TRIM($A7))</f>
        <v/>
      </c>
      <c r="K7" s="4">
        <f>SUMIFS('i-shopify-ltd'!$I:$I,'i-shopify-ltd'!$A:$A,K$1,'i-shopify-ltd'!$C:$C,TRIM($A7))</f>
        <v/>
      </c>
      <c r="L7" s="4">
        <f>SUMIFS('i-shopify-ltd'!$I:$I,'i-shopify-ltd'!$A:$A,L$1,'i-shopify-ltd'!$C:$C,TRIM($A7))</f>
        <v/>
      </c>
      <c r="M7" s="4">
        <f>SUMIFS('i-shopify-ltd'!$I:$I,'i-shopify-ltd'!$A:$A,M$1,'i-shopify-ltd'!$C:$C,TRIM($A7))</f>
        <v/>
      </c>
      <c r="N7" s="4">
        <f>SUMIFS('i-shopify-ltd'!$I:$I,'i-shopify-ltd'!$A:$A,N$1,'i-shopify-ltd'!$C:$C,TRIM($A7))</f>
        <v/>
      </c>
      <c r="O7" s="4">
        <f>SUMIFS('i-shopify-ltd'!$I:$I,'i-shopify-ltd'!$A:$A,O$1,'i-shopify-ltd'!$C:$C,TRIM($A7))</f>
        <v/>
      </c>
      <c r="P7" s="4">
        <f>SUM(D7:O7)</f>
        <v/>
      </c>
      <c r="Q7" s="4" t="inlineStr">
        <is>
          <t>-&gt;</t>
        </is>
      </c>
    </row>
    <row r="8" hidden="1" outlineLevel="2" ht="12" customHeight="1">
      <c r="A8" s="9" t="inlineStr">
        <is>
          <t xml:space="preserve">  Otros ingresos</t>
        </is>
      </c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0" t="n"/>
      <c r="P8" s="10">
        <f>SUM(D8:O8)</f>
        <v/>
      </c>
      <c r="Q8" s="10" t="n"/>
    </row>
    <row r="9" ht="12" customHeight="1"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>
        <f>SUM(D9:O9)</f>
        <v/>
      </c>
      <c r="Q9" s="4" t="n"/>
    </row>
    <row r="10" ht="12" customHeight="1">
      <c r="A10" s="5" t="inlineStr">
        <is>
          <t>Expenses</t>
        </is>
      </c>
      <c r="B10" s="6" t="n"/>
      <c r="C10" s="6" t="n"/>
      <c r="D10" s="6">
        <f>D11+D32</f>
        <v/>
      </c>
      <c r="E10" s="6">
        <f>E11+E32</f>
        <v/>
      </c>
      <c r="F10" s="6">
        <f>F11+F32</f>
        <v/>
      </c>
      <c r="G10" s="6">
        <f>G11+G32</f>
        <v/>
      </c>
      <c r="H10" s="6">
        <f>H11+H32</f>
        <v/>
      </c>
      <c r="I10" s="6">
        <f>I11+I32</f>
        <v/>
      </c>
      <c r="J10" s="6">
        <f>J11+J32</f>
        <v/>
      </c>
      <c r="K10" s="6">
        <f>K11+K32</f>
        <v/>
      </c>
      <c r="L10" s="6">
        <f>L11+L32</f>
        <v/>
      </c>
      <c r="M10" s="6">
        <f>M11+M32</f>
        <v/>
      </c>
      <c r="N10" s="6">
        <f>N11+N32</f>
        <v/>
      </c>
      <c r="O10" s="6">
        <f>O11+O32</f>
        <v/>
      </c>
      <c r="P10" s="6">
        <f>SUM(D10:O10)</f>
        <v/>
      </c>
      <c r="Q10" s="6" t="n"/>
    </row>
    <row r="11" outlineLevel="1" ht="12" customHeight="1">
      <c r="A11" s="7" t="inlineStr">
        <is>
          <t xml:space="preserve">  COGS</t>
        </is>
      </c>
      <c r="B11" s="8" t="n"/>
      <c r="C11" s="8" t="n"/>
      <c r="D11" s="8">
        <f>D12+D18+D22</f>
        <v/>
      </c>
      <c r="E11" s="8">
        <f>E12+E18+E22</f>
        <v/>
      </c>
      <c r="F11" s="8">
        <f>F12+F18+F22</f>
        <v/>
      </c>
      <c r="G11" s="8">
        <f>G12+G18+G22</f>
        <v/>
      </c>
      <c r="H11" s="8">
        <f>H12+H18+H22</f>
        <v/>
      </c>
      <c r="I11" s="8">
        <f>I12+I18+I22</f>
        <v/>
      </c>
      <c r="J11" s="8">
        <f>J12+J18+J22</f>
        <v/>
      </c>
      <c r="K11" s="8">
        <f>K12+K18+K22</f>
        <v/>
      </c>
      <c r="L11" s="8">
        <f>L12+L18+L22</f>
        <v/>
      </c>
      <c r="M11" s="8">
        <f>M12+M18+M22</f>
        <v/>
      </c>
      <c r="N11" s="8">
        <f>N12+N18+N22</f>
        <v/>
      </c>
      <c r="O11" s="8">
        <f>O12+O18+O22</f>
        <v/>
      </c>
      <c r="P11" s="8">
        <f>SUM(D11:O11)</f>
        <v/>
      </c>
      <c r="Q11" s="8" t="n"/>
    </row>
    <row r="12" hidden="1" outlineLevel="2" ht="12" customHeight="1">
      <c r="A12" s="9" t="inlineStr">
        <is>
          <t xml:space="preserve">    Manufacturing</t>
        </is>
      </c>
      <c r="B12" s="10" t="n"/>
      <c r="C12" s="10" t="n"/>
      <c r="D12" s="10">
        <f>SUM(D13:D15)+D16</f>
        <v/>
      </c>
      <c r="E12" s="10">
        <f>SUM(E13:E15)+E16</f>
        <v/>
      </c>
      <c r="F12" s="10">
        <f>SUM(F13:F15)+F16</f>
        <v/>
      </c>
      <c r="G12" s="10">
        <f>SUM(G13:G15)+G16</f>
        <v/>
      </c>
      <c r="H12" s="10">
        <f>SUM(H13:H15)+H16</f>
        <v/>
      </c>
      <c r="I12" s="10">
        <f>SUM(I13:I15)+I16</f>
        <v/>
      </c>
      <c r="J12" s="10">
        <f>SUM(J13:J15)+J16</f>
        <v/>
      </c>
      <c r="K12" s="10">
        <f>SUM(K13:K15)+K16</f>
        <v/>
      </c>
      <c r="L12" s="10">
        <f>SUM(L13:L15)+L16</f>
        <v/>
      </c>
      <c r="M12" s="10">
        <f>SUM(M13:M15)+M16</f>
        <v/>
      </c>
      <c r="N12" s="10">
        <f>SUM(N13:N15)+N16</f>
        <v/>
      </c>
      <c r="O12" s="10">
        <f>SUM(O13:O15)+O16</f>
        <v/>
      </c>
      <c r="P12" s="10">
        <f>SUM(D12:O12)</f>
        <v/>
      </c>
      <c r="Q12" s="10" t="inlineStr">
        <is>
          <t>-&gt;</t>
        </is>
      </c>
    </row>
    <row r="13" hidden="1" outlineLevel="3" ht="12" customHeight="1">
      <c r="A13" t="inlineStr">
        <is>
          <t xml:space="preserve">      ARTLINK</t>
        </is>
      </c>
      <c r="B13" s="4" t="n"/>
      <c r="C13" s="4" t="n"/>
      <c r="D13" s="4">
        <f>SUMIFS('g-expenses-ltd'!$K:$K,'g-expenses-ltd'!$A:$A,D$1,'g-expenses-ltd'!$D:$D,"manufacturing",'g-expenses-ltd'!$E:$E,TRIM($A13))</f>
        <v/>
      </c>
      <c r="E13" s="4">
        <f>SUMIFS('g-expenses-ltd'!$K:$K,'g-expenses-ltd'!$A:$A,E$1,'g-expenses-ltd'!$D:$D,"manufacturing",'g-expenses-ltd'!$E:$E,TRIM($A13))</f>
        <v/>
      </c>
      <c r="F13" s="4">
        <f>SUMIFS('g-expenses-ltd'!$K:$K,'g-expenses-ltd'!$A:$A,F$1,'g-expenses-ltd'!$D:$D,"manufacturing",'g-expenses-ltd'!$E:$E,TRIM($A13))</f>
        <v/>
      </c>
      <c r="G13" s="4">
        <f>SUMIFS('g-expenses-ltd'!$K:$K,'g-expenses-ltd'!$A:$A,G$1,'g-expenses-ltd'!$D:$D,"manufacturing",'g-expenses-ltd'!$E:$E,TRIM($A13))</f>
        <v/>
      </c>
      <c r="H13" s="4">
        <f>SUMIFS('g-expenses-ltd'!$K:$K,'g-expenses-ltd'!$A:$A,H$1,'g-expenses-ltd'!$D:$D,"manufacturing",'g-expenses-ltd'!$E:$E,TRIM($A13))</f>
        <v/>
      </c>
      <c r="I13" s="4">
        <f>SUMIFS('g-expenses-ltd'!$K:$K,'g-expenses-ltd'!$A:$A,I$1,'g-expenses-ltd'!$D:$D,"manufacturing",'g-expenses-ltd'!$E:$E,TRIM($A13))</f>
        <v/>
      </c>
      <c r="J13" s="4">
        <f>SUMIFS('g-expenses-ltd'!$K:$K,'g-expenses-ltd'!$A:$A,J$1,'g-expenses-ltd'!$D:$D,"manufacturing",'g-expenses-ltd'!$E:$E,TRIM($A13))</f>
        <v/>
      </c>
      <c r="K13" s="4">
        <f>SUMIFS('g-expenses-ltd'!$K:$K,'g-expenses-ltd'!$A:$A,K$1,'g-expenses-ltd'!$D:$D,"manufacturing",'g-expenses-ltd'!$E:$E,TRIM($A13))</f>
        <v/>
      </c>
      <c r="L13" s="4">
        <f>SUMIFS('g-expenses-ltd'!$K:$K,'g-expenses-ltd'!$A:$A,L$1,'g-expenses-ltd'!$D:$D,"manufacturing",'g-expenses-ltd'!$E:$E,TRIM($A13))</f>
        <v/>
      </c>
      <c r="M13" s="4">
        <f>SUMIFS('g-expenses-ltd'!$K:$K,'g-expenses-ltd'!$A:$A,M$1,'g-expenses-ltd'!$D:$D,"manufacturing",'g-expenses-ltd'!$E:$E,TRIM($A13))</f>
        <v/>
      </c>
      <c r="N13" s="4">
        <f>SUMIFS('g-expenses-ltd'!$K:$K,'g-expenses-ltd'!$A:$A,N$1,'g-expenses-ltd'!$D:$D,"manufacturing",'g-expenses-ltd'!$E:$E,TRIM($A13))</f>
        <v/>
      </c>
      <c r="O13" s="4">
        <f>SUMIFS('g-expenses-ltd'!$K:$K,'g-expenses-ltd'!$A:$A,O$1,'g-expenses-ltd'!$D:$D,"manufacturing",'g-expenses-ltd'!$E:$E,TRIM($A13))</f>
        <v/>
      </c>
      <c r="P13" s="4">
        <f>SUM(D13:O13)</f>
        <v/>
      </c>
      <c r="Q13" s="4" t="inlineStr">
        <is>
          <t>-&gt;</t>
        </is>
      </c>
    </row>
    <row r="14" hidden="1" outlineLevel="3" ht="12" customHeight="1">
      <c r="A14" t="inlineStr">
        <is>
          <t xml:space="preserve">      JONDO</t>
        </is>
      </c>
      <c r="B14" s="4" t="n"/>
      <c r="C14" s="4" t="n"/>
      <c r="D14" s="4">
        <f>SUMIFS('g-expenses-ltd'!$K:$K,'g-expenses-ltd'!$A:$A,D$1,'g-expenses-ltd'!$D:$D,"manufacturing",'g-expenses-ltd'!$E:$E,TRIM($A14))</f>
        <v/>
      </c>
      <c r="E14" s="4">
        <f>SUMIFS('g-expenses-ltd'!$K:$K,'g-expenses-ltd'!$A:$A,E$1,'g-expenses-ltd'!$D:$D,"manufacturing",'g-expenses-ltd'!$E:$E,TRIM($A14))</f>
        <v/>
      </c>
      <c r="F14" s="4">
        <f>SUMIFS('g-expenses-ltd'!$K:$K,'g-expenses-ltd'!$A:$A,F$1,'g-expenses-ltd'!$D:$D,"manufacturing",'g-expenses-ltd'!$E:$E,TRIM($A14))</f>
        <v/>
      </c>
      <c r="G14" s="4">
        <f>SUMIFS('g-expenses-ltd'!$K:$K,'g-expenses-ltd'!$A:$A,G$1,'g-expenses-ltd'!$D:$D,"manufacturing",'g-expenses-ltd'!$E:$E,TRIM($A14))</f>
        <v/>
      </c>
      <c r="H14" s="4">
        <f>SUMIFS('g-expenses-ltd'!$K:$K,'g-expenses-ltd'!$A:$A,H$1,'g-expenses-ltd'!$D:$D,"manufacturing",'g-expenses-ltd'!$E:$E,TRIM($A14))</f>
        <v/>
      </c>
      <c r="I14" s="4">
        <f>SUMIFS('g-expenses-ltd'!$K:$K,'g-expenses-ltd'!$A:$A,I$1,'g-expenses-ltd'!$D:$D,"manufacturing",'g-expenses-ltd'!$E:$E,TRIM($A14))</f>
        <v/>
      </c>
      <c r="J14" s="4">
        <f>SUMIFS('g-expenses-ltd'!$K:$K,'g-expenses-ltd'!$A:$A,J$1,'g-expenses-ltd'!$D:$D,"manufacturing",'g-expenses-ltd'!$E:$E,TRIM($A14))</f>
        <v/>
      </c>
      <c r="K14" s="4">
        <f>SUMIFS('g-expenses-ltd'!$K:$K,'g-expenses-ltd'!$A:$A,K$1,'g-expenses-ltd'!$D:$D,"manufacturing",'g-expenses-ltd'!$E:$E,TRIM($A14))</f>
        <v/>
      </c>
      <c r="L14" s="4">
        <f>SUMIFS('g-expenses-ltd'!$K:$K,'g-expenses-ltd'!$A:$A,L$1,'g-expenses-ltd'!$D:$D,"manufacturing",'g-expenses-ltd'!$E:$E,TRIM($A14))</f>
        <v/>
      </c>
      <c r="M14" s="4">
        <f>SUMIFS('g-expenses-ltd'!$K:$K,'g-expenses-ltd'!$A:$A,M$1,'g-expenses-ltd'!$D:$D,"manufacturing",'g-expenses-ltd'!$E:$E,TRIM($A14))</f>
        <v/>
      </c>
      <c r="N14" s="4">
        <f>SUMIFS('g-expenses-ltd'!$K:$K,'g-expenses-ltd'!$A:$A,N$1,'g-expenses-ltd'!$D:$D,"manufacturing",'g-expenses-ltd'!$E:$E,TRIM($A14))</f>
        <v/>
      </c>
      <c r="O14" s="4">
        <f>SUMIFS('g-expenses-ltd'!$K:$K,'g-expenses-ltd'!$A:$A,O$1,'g-expenses-ltd'!$D:$D,"manufacturing",'g-expenses-ltd'!$E:$E,TRIM($A14))</f>
        <v/>
      </c>
      <c r="P14" s="4">
        <f>SUM(D14:O14)</f>
        <v/>
      </c>
      <c r="Q14" s="4" t="n"/>
    </row>
    <row r="15" hidden="1" outlineLevel="3" ht="12" customHeight="1">
      <c r="A15" t="inlineStr">
        <is>
          <t xml:space="preserve">      PROCO</t>
        </is>
      </c>
      <c r="B15" s="4" t="n"/>
      <c r="C15" s="4" t="n"/>
      <c r="D15" s="4">
        <f>SUMIFS('g-expenses-ltd'!$K:$K,'g-expenses-ltd'!$A:$A,D$1,'g-expenses-ltd'!$D:$D,"manufacturing",'g-expenses-ltd'!$E:$E,TRIM($A15))</f>
        <v/>
      </c>
      <c r="E15" s="4">
        <f>SUMIFS('g-expenses-ltd'!$K:$K,'g-expenses-ltd'!$A:$A,E$1,'g-expenses-ltd'!$D:$D,"manufacturing",'g-expenses-ltd'!$E:$E,TRIM($A15))</f>
        <v/>
      </c>
      <c r="F15" s="4">
        <f>SUMIFS('g-expenses-ltd'!$K:$K,'g-expenses-ltd'!$A:$A,F$1,'g-expenses-ltd'!$D:$D,"manufacturing",'g-expenses-ltd'!$E:$E,TRIM($A15))</f>
        <v/>
      </c>
      <c r="G15" s="4">
        <f>SUMIFS('g-expenses-ltd'!$K:$K,'g-expenses-ltd'!$A:$A,G$1,'g-expenses-ltd'!$D:$D,"manufacturing",'g-expenses-ltd'!$E:$E,TRIM($A15))</f>
        <v/>
      </c>
      <c r="H15" s="4">
        <f>SUMIFS('g-expenses-ltd'!$K:$K,'g-expenses-ltd'!$A:$A,H$1,'g-expenses-ltd'!$D:$D,"manufacturing",'g-expenses-ltd'!$E:$E,TRIM($A15))</f>
        <v/>
      </c>
      <c r="I15" s="4">
        <f>SUMIFS('g-expenses-ltd'!$K:$K,'g-expenses-ltd'!$A:$A,I$1,'g-expenses-ltd'!$D:$D,"manufacturing",'g-expenses-ltd'!$E:$E,TRIM($A15))</f>
        <v/>
      </c>
      <c r="J15" s="4">
        <f>SUMIFS('g-expenses-ltd'!$K:$K,'g-expenses-ltd'!$A:$A,J$1,'g-expenses-ltd'!$D:$D,"manufacturing",'g-expenses-ltd'!$E:$E,TRIM($A15))</f>
        <v/>
      </c>
      <c r="K15" s="4">
        <f>SUMIFS('g-expenses-ltd'!$K:$K,'g-expenses-ltd'!$A:$A,K$1,'g-expenses-ltd'!$D:$D,"manufacturing",'g-expenses-ltd'!$E:$E,TRIM($A15))</f>
        <v/>
      </c>
      <c r="L15" s="4">
        <f>SUMIFS('g-expenses-ltd'!$K:$K,'g-expenses-ltd'!$A:$A,L$1,'g-expenses-ltd'!$D:$D,"manufacturing",'g-expenses-ltd'!$E:$E,TRIM($A15))</f>
        <v/>
      </c>
      <c r="M15" s="4">
        <f>SUMIFS('g-expenses-ltd'!$K:$K,'g-expenses-ltd'!$A:$A,M$1,'g-expenses-ltd'!$D:$D,"manufacturing",'g-expenses-ltd'!$E:$E,TRIM($A15))</f>
        <v/>
      </c>
      <c r="N15" s="4">
        <f>SUMIFS('g-expenses-ltd'!$K:$K,'g-expenses-ltd'!$A:$A,N$1,'g-expenses-ltd'!$D:$D,"manufacturing",'g-expenses-ltd'!$E:$E,TRIM($A15))</f>
        <v/>
      </c>
      <c r="O15" s="4">
        <f>SUMIFS('g-expenses-ltd'!$K:$K,'g-expenses-ltd'!$A:$A,O$1,'g-expenses-ltd'!$D:$D,"manufacturing",'g-expenses-ltd'!$E:$E,TRIM($A15))</f>
        <v/>
      </c>
      <c r="P15" s="4">
        <f>SUM(D15:O15)</f>
        <v/>
      </c>
      <c r="Q15" s="4" t="n"/>
    </row>
    <row r="16" ht="12" customHeight="1">
      <c r="A16" t="inlineStr">
        <is>
          <t xml:space="preserve">      Consumo marcos</t>
        </is>
      </c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>
        <f>SUM(D16:O16)</f>
        <v/>
      </c>
      <c r="Q16" s="4" t="n"/>
    </row>
    <row r="17" hidden="1" outlineLevel="2" ht="12" customHeight="1">
      <c r="A17" s="11" t="inlineStr">
        <is>
          <t xml:space="preserve">    % Manufacturing / sales</t>
        </is>
      </c>
      <c r="B17" s="12" t="n"/>
      <c r="C17" s="12" t="n"/>
      <c r="D17" s="12">
        <f>IFERROR(D12/D5,0)</f>
        <v/>
      </c>
      <c r="E17" s="12">
        <f>IFERROR(E12/E5,0)</f>
        <v/>
      </c>
      <c r="F17" s="12">
        <f>IFERROR(F12/F5,0)</f>
        <v/>
      </c>
      <c r="G17" s="12">
        <f>IFERROR(G12/G5,0)</f>
        <v/>
      </c>
      <c r="H17" s="12">
        <f>IFERROR(H12/H5,0)</f>
        <v/>
      </c>
      <c r="I17" s="12">
        <f>IFERROR(I12/I5,0)</f>
        <v/>
      </c>
      <c r="J17" s="12">
        <f>IFERROR(J12/J5,0)</f>
        <v/>
      </c>
      <c r="K17" s="12">
        <f>IFERROR(K12/K5,0)</f>
        <v/>
      </c>
      <c r="L17" s="12">
        <f>IFERROR(L12/L5,0)</f>
        <v/>
      </c>
      <c r="M17" s="12">
        <f>IFERROR(M12/M5,0)</f>
        <v/>
      </c>
      <c r="N17" s="12">
        <f>IFERROR(N12/N5,0)</f>
        <v/>
      </c>
      <c r="O17" s="12">
        <f>IFERROR(O12/O5,0)</f>
        <v/>
      </c>
      <c r="P17" s="12">
        <f>SUM(D17:O17)</f>
        <v/>
      </c>
      <c r="Q17" s="12" t="n"/>
    </row>
    <row r="18" hidden="1" outlineLevel="2" ht="12" customHeight="1">
      <c r="A18" s="9" t="inlineStr">
        <is>
          <t xml:space="preserve">    Logistics</t>
        </is>
      </c>
      <c r="B18" s="10" t="n"/>
      <c r="C18" s="10" t="n"/>
      <c r="D18" s="10">
        <f>SUM(D19:D20)</f>
        <v/>
      </c>
      <c r="E18" s="10">
        <f>SUM(E19:E20)</f>
        <v/>
      </c>
      <c r="F18" s="10">
        <f>SUM(F19:F20)</f>
        <v/>
      </c>
      <c r="G18" s="10">
        <f>SUM(G19:G20)</f>
        <v/>
      </c>
      <c r="H18" s="10">
        <f>SUM(H19:H20)</f>
        <v/>
      </c>
      <c r="I18" s="10">
        <f>SUM(I19:I20)</f>
        <v/>
      </c>
      <c r="J18" s="10">
        <f>SUM(J19:J20)</f>
        <v/>
      </c>
      <c r="K18" s="10">
        <f>SUM(K19:K20)</f>
        <v/>
      </c>
      <c r="L18" s="10">
        <f>SUM(L19:L20)</f>
        <v/>
      </c>
      <c r="M18" s="10">
        <f>SUM(M19:M20)</f>
        <v/>
      </c>
      <c r="N18" s="10">
        <f>SUM(N19:N20)</f>
        <v/>
      </c>
      <c r="O18" s="10">
        <f>SUM(O19:O20)</f>
        <v/>
      </c>
      <c r="P18" s="10">
        <f>SUM(D18:O18)</f>
        <v/>
      </c>
      <c r="Q18" s="10" t="inlineStr">
        <is>
          <t>-&gt;</t>
        </is>
      </c>
    </row>
    <row r="19" hidden="1" outlineLevel="3" ht="12" customHeight="1">
      <c r="A19" t="inlineStr">
        <is>
          <t xml:space="preserve">      PROCO</t>
        </is>
      </c>
      <c r="B19" s="4" t="n"/>
      <c r="C19" s="4" t="n"/>
      <c r="D19" s="4">
        <f>SUMIFS('g-expenses-ltd'!$K:$K,'g-expenses-ltd'!$A:$A,D$1,'g-expenses-ltd'!$D:$D,"logistics",'g-expenses-ltd'!$E:$E,TRIM($A19))</f>
        <v/>
      </c>
      <c r="E19" s="4">
        <f>SUMIFS('g-expenses-ltd'!$K:$K,'g-expenses-ltd'!$A:$A,E$1,'g-expenses-ltd'!$D:$D,"logistics",'g-expenses-ltd'!$E:$E,TRIM($A19))</f>
        <v/>
      </c>
      <c r="F19" s="4">
        <f>SUMIFS('g-expenses-ltd'!$K:$K,'g-expenses-ltd'!$A:$A,F$1,'g-expenses-ltd'!$D:$D,"logistics",'g-expenses-ltd'!$E:$E,TRIM($A19))</f>
        <v/>
      </c>
      <c r="G19" s="4">
        <f>SUMIFS('g-expenses-ltd'!$K:$K,'g-expenses-ltd'!$A:$A,G$1,'g-expenses-ltd'!$D:$D,"logistics",'g-expenses-ltd'!$E:$E,TRIM($A19))</f>
        <v/>
      </c>
      <c r="H19" s="4">
        <f>SUMIFS('g-expenses-ltd'!$K:$K,'g-expenses-ltd'!$A:$A,H$1,'g-expenses-ltd'!$D:$D,"logistics",'g-expenses-ltd'!$E:$E,TRIM($A19))</f>
        <v/>
      </c>
      <c r="I19" s="4">
        <f>SUMIFS('g-expenses-ltd'!$K:$K,'g-expenses-ltd'!$A:$A,I$1,'g-expenses-ltd'!$D:$D,"logistics",'g-expenses-ltd'!$E:$E,TRIM($A19))</f>
        <v/>
      </c>
      <c r="J19" s="4">
        <f>SUMIFS('g-expenses-ltd'!$K:$K,'g-expenses-ltd'!$A:$A,J$1,'g-expenses-ltd'!$D:$D,"logistics",'g-expenses-ltd'!$E:$E,TRIM($A19))</f>
        <v/>
      </c>
      <c r="K19" s="4">
        <f>SUMIFS('g-expenses-ltd'!$K:$K,'g-expenses-ltd'!$A:$A,K$1,'g-expenses-ltd'!$D:$D,"logistics",'g-expenses-ltd'!$E:$E,TRIM($A19))</f>
        <v/>
      </c>
      <c r="L19" s="4">
        <f>SUMIFS('g-expenses-ltd'!$K:$K,'g-expenses-ltd'!$A:$A,L$1,'g-expenses-ltd'!$D:$D,"logistics",'g-expenses-ltd'!$E:$E,TRIM($A19))</f>
        <v/>
      </c>
      <c r="M19" s="4">
        <f>SUMIFS('g-expenses-ltd'!$K:$K,'g-expenses-ltd'!$A:$A,M$1,'g-expenses-ltd'!$D:$D,"logistics",'g-expenses-ltd'!$E:$E,TRIM($A19))</f>
        <v/>
      </c>
      <c r="N19" s="4">
        <f>SUMIFS('g-expenses-ltd'!$K:$K,'g-expenses-ltd'!$A:$A,N$1,'g-expenses-ltd'!$D:$D,"logistics",'g-expenses-ltd'!$E:$E,TRIM($A19))</f>
        <v/>
      </c>
      <c r="O19" s="4">
        <f>SUMIFS('g-expenses-ltd'!$K:$K,'g-expenses-ltd'!$A:$A,O$1,'g-expenses-ltd'!$D:$D,"logistics",'g-expenses-ltd'!$E:$E,TRIM($A19))</f>
        <v/>
      </c>
      <c r="P19" s="4">
        <f>SUM(D19:O19)</f>
        <v/>
      </c>
      <c r="Q19" s="4" t="inlineStr">
        <is>
          <t>-&gt;</t>
        </is>
      </c>
    </row>
    <row r="20" hidden="1" outlineLevel="3" ht="12" customHeight="1">
      <c r="A20" t="inlineStr">
        <is>
          <t xml:space="preserve">      PORTCLEARANCE</t>
        </is>
      </c>
      <c r="B20" s="4" t="n"/>
      <c r="C20" s="4" t="n"/>
      <c r="D20" s="4">
        <f>SUMIFS('g-expenses-ltd'!$K:$K,'g-expenses-ltd'!$A:$A,D$1,'g-expenses-ltd'!$D:$D,"logistics",'g-expenses-ltd'!$E:$E,TRIM($A20))</f>
        <v/>
      </c>
      <c r="E20" s="4">
        <f>SUMIFS('g-expenses-ltd'!$K:$K,'g-expenses-ltd'!$A:$A,E$1,'g-expenses-ltd'!$D:$D,"logistics",'g-expenses-ltd'!$E:$E,TRIM($A20))</f>
        <v/>
      </c>
      <c r="F20" s="4">
        <f>SUMIFS('g-expenses-ltd'!$K:$K,'g-expenses-ltd'!$A:$A,F$1,'g-expenses-ltd'!$D:$D,"logistics",'g-expenses-ltd'!$E:$E,TRIM($A20))</f>
        <v/>
      </c>
      <c r="G20" s="4">
        <f>SUMIFS('g-expenses-ltd'!$K:$K,'g-expenses-ltd'!$A:$A,G$1,'g-expenses-ltd'!$D:$D,"logistics",'g-expenses-ltd'!$E:$E,TRIM($A20))</f>
        <v/>
      </c>
      <c r="H20" s="4">
        <f>SUMIFS('g-expenses-ltd'!$K:$K,'g-expenses-ltd'!$A:$A,H$1,'g-expenses-ltd'!$D:$D,"logistics",'g-expenses-ltd'!$E:$E,TRIM($A20))</f>
        <v/>
      </c>
      <c r="I20" s="4">
        <f>SUMIFS('g-expenses-ltd'!$K:$K,'g-expenses-ltd'!$A:$A,I$1,'g-expenses-ltd'!$D:$D,"logistics",'g-expenses-ltd'!$E:$E,TRIM($A20))</f>
        <v/>
      </c>
      <c r="J20" s="4">
        <f>SUMIFS('g-expenses-ltd'!$K:$K,'g-expenses-ltd'!$A:$A,J$1,'g-expenses-ltd'!$D:$D,"logistics",'g-expenses-ltd'!$E:$E,TRIM($A20))</f>
        <v/>
      </c>
      <c r="K20" s="4">
        <f>SUMIFS('g-expenses-ltd'!$K:$K,'g-expenses-ltd'!$A:$A,K$1,'g-expenses-ltd'!$D:$D,"logistics",'g-expenses-ltd'!$E:$E,TRIM($A20))</f>
        <v/>
      </c>
      <c r="L20" s="4">
        <f>SUMIFS('g-expenses-ltd'!$K:$K,'g-expenses-ltd'!$A:$A,L$1,'g-expenses-ltd'!$D:$D,"logistics",'g-expenses-ltd'!$E:$E,TRIM($A20))</f>
        <v/>
      </c>
      <c r="M20" s="4">
        <f>SUMIFS('g-expenses-ltd'!$K:$K,'g-expenses-ltd'!$A:$A,M$1,'g-expenses-ltd'!$D:$D,"logistics",'g-expenses-ltd'!$E:$E,TRIM($A20))</f>
        <v/>
      </c>
      <c r="N20" s="4">
        <f>SUMIFS('g-expenses-ltd'!$K:$K,'g-expenses-ltd'!$A:$A,N$1,'g-expenses-ltd'!$D:$D,"logistics",'g-expenses-ltd'!$E:$E,TRIM($A20))</f>
        <v/>
      </c>
      <c r="O20" s="4">
        <f>SUMIFS('g-expenses-ltd'!$K:$K,'g-expenses-ltd'!$A:$A,O$1,'g-expenses-ltd'!$D:$D,"logistics",'g-expenses-ltd'!$E:$E,TRIM($A20))</f>
        <v/>
      </c>
      <c r="P20" s="4">
        <f>SUM(D20:O20)</f>
        <v/>
      </c>
      <c r="Q20" s="4" t="n"/>
    </row>
    <row r="21" hidden="1" outlineLevel="2" ht="12" customHeight="1">
      <c r="A21" s="11" t="inlineStr">
        <is>
          <t xml:space="preserve">    % Logistics / sales</t>
        </is>
      </c>
      <c r="B21" s="12" t="n"/>
      <c r="C21" s="12" t="n"/>
      <c r="D21" s="12">
        <f>IFERROR(D18/D5,0)</f>
        <v/>
      </c>
      <c r="E21" s="12">
        <f>IFERROR(E18/E5,0)</f>
        <v/>
      </c>
      <c r="F21" s="12">
        <f>IFERROR(F18/F5,0)</f>
        <v/>
      </c>
      <c r="G21" s="12">
        <f>IFERROR(G18/G5,0)</f>
        <v/>
      </c>
      <c r="H21" s="12">
        <f>IFERROR(H18/H5,0)</f>
        <v/>
      </c>
      <c r="I21" s="12">
        <f>IFERROR(I18/I5,0)</f>
        <v/>
      </c>
      <c r="J21" s="12">
        <f>IFERROR(J18/J5,0)</f>
        <v/>
      </c>
      <c r="K21" s="12">
        <f>IFERROR(K18/K5,0)</f>
        <v/>
      </c>
      <c r="L21" s="12">
        <f>IFERROR(L18/L5,0)</f>
        <v/>
      </c>
      <c r="M21" s="12">
        <f>IFERROR(M18/M5,0)</f>
        <v/>
      </c>
      <c r="N21" s="12">
        <f>IFERROR(N18/N5,0)</f>
        <v/>
      </c>
      <c r="O21" s="12">
        <f>IFERROR(O18/O5,0)</f>
        <v/>
      </c>
      <c r="P21" s="12">
        <f>SUM(D21:O21)</f>
        <v/>
      </c>
      <c r="Q21" s="12" t="n"/>
    </row>
    <row r="22" hidden="1" outlineLevel="2" ht="12" customHeight="1">
      <c r="A22" s="9" t="inlineStr">
        <is>
          <t xml:space="preserve">    Payment fees</t>
        </is>
      </c>
      <c r="B22" s="10" t="n"/>
      <c r="C22" s="10" t="n"/>
      <c r="D22" s="10">
        <f>SUM(D23:D23)</f>
        <v/>
      </c>
      <c r="E22" s="10">
        <f>SUM(E23:E23)</f>
        <v/>
      </c>
      <c r="F22" s="10">
        <f>SUM(F23:F23)</f>
        <v/>
      </c>
      <c r="G22" s="10">
        <f>SUM(G23:G23)</f>
        <v/>
      </c>
      <c r="H22" s="10">
        <f>SUM(H23:H23)</f>
        <v/>
      </c>
      <c r="I22" s="10">
        <f>SUM(I23:I23)</f>
        <v/>
      </c>
      <c r="J22" s="10">
        <f>SUM(J23:J23)</f>
        <v/>
      </c>
      <c r="K22" s="10">
        <f>SUM(K23:K23)</f>
        <v/>
      </c>
      <c r="L22" s="10">
        <f>SUM(L23:L23)</f>
        <v/>
      </c>
      <c r="M22" s="10">
        <f>SUM(M23:M23)</f>
        <v/>
      </c>
      <c r="N22" s="10">
        <f>SUM(N23:N23)</f>
        <v/>
      </c>
      <c r="O22" s="10">
        <f>SUM(O23:O23)</f>
        <v/>
      </c>
      <c r="P22" s="10">
        <f>SUM(D22:O22)</f>
        <v/>
      </c>
      <c r="Q22" s="10" t="inlineStr">
        <is>
          <t>-&gt;</t>
        </is>
      </c>
    </row>
    <row r="23" hidden="1" outlineLevel="3" ht="12" customHeight="1">
      <c r="A23" t="inlineStr">
        <is>
          <t xml:space="preserve">      SHOPIFY</t>
        </is>
      </c>
      <c r="B23" s="4" t="n"/>
      <c r="C23" s="4" t="n"/>
      <c r="D23" s="4">
        <f>SUMIFS('g-payment-fees-ltd'!$H:$H,'g-payment-fees-ltd'!$A:$A,D$1,'g-payment-fees-ltd'!$C:$C,TRIM($A23))</f>
        <v/>
      </c>
      <c r="E23" s="4">
        <f>SUMIFS('g-payment-fees-ltd'!$H:$H,'g-payment-fees-ltd'!$A:$A,E$1,'g-payment-fees-ltd'!$C:$C,TRIM($A23))</f>
        <v/>
      </c>
      <c r="F23" s="4">
        <f>SUMIFS('g-payment-fees-ltd'!$H:$H,'g-payment-fees-ltd'!$A:$A,F$1,'g-payment-fees-ltd'!$C:$C,TRIM($A23))</f>
        <v/>
      </c>
      <c r="G23" s="4">
        <f>SUMIFS('g-payment-fees-ltd'!$H:$H,'g-payment-fees-ltd'!$A:$A,G$1,'g-payment-fees-ltd'!$C:$C,TRIM($A23))</f>
        <v/>
      </c>
      <c r="H23" s="4">
        <f>SUMIFS('g-payment-fees-ltd'!$H:$H,'g-payment-fees-ltd'!$A:$A,H$1,'g-payment-fees-ltd'!$C:$C,TRIM($A23))</f>
        <v/>
      </c>
      <c r="I23" s="4">
        <f>SUMIFS('g-payment-fees-ltd'!$H:$H,'g-payment-fees-ltd'!$A:$A,I$1,'g-payment-fees-ltd'!$C:$C,TRIM($A23))</f>
        <v/>
      </c>
      <c r="J23" s="4">
        <f>SUMIFS('g-payment-fees-ltd'!$H:$H,'g-payment-fees-ltd'!$A:$A,J$1,'g-payment-fees-ltd'!$C:$C,TRIM($A23))</f>
        <v/>
      </c>
      <c r="K23" s="4">
        <f>SUMIFS('g-payment-fees-ltd'!$H:$H,'g-payment-fees-ltd'!$A:$A,K$1,'g-payment-fees-ltd'!$C:$C,TRIM($A23))</f>
        <v/>
      </c>
      <c r="L23" s="4">
        <f>SUMIFS('g-payment-fees-ltd'!$H:$H,'g-payment-fees-ltd'!$A:$A,L$1,'g-payment-fees-ltd'!$C:$C,TRIM($A23))</f>
        <v/>
      </c>
      <c r="M23" s="4">
        <f>SUMIFS('g-payment-fees-ltd'!$H:$H,'g-payment-fees-ltd'!$A:$A,M$1,'g-payment-fees-ltd'!$C:$C,TRIM($A23))</f>
        <v/>
      </c>
      <c r="N23" s="4">
        <f>SUMIFS('g-payment-fees-ltd'!$H:$H,'g-payment-fees-ltd'!$A:$A,N$1,'g-payment-fees-ltd'!$C:$C,TRIM($A23))</f>
        <v/>
      </c>
      <c r="O23" s="4">
        <f>SUMIFS('g-payment-fees-ltd'!$H:$H,'g-payment-fees-ltd'!$A:$A,O$1,'g-payment-fees-ltd'!$C:$C,TRIM($A23))</f>
        <v/>
      </c>
      <c r="P23" s="4">
        <f>SUM(D23:O23)</f>
        <v/>
      </c>
      <c r="Q23" s="4" t="inlineStr">
        <is>
          <t>-&gt;</t>
        </is>
      </c>
    </row>
    <row r="24" ht="12" customHeight="1"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>
        <f>SUM(D24:O24)</f>
        <v/>
      </c>
      <c r="Q24" s="4" t="n"/>
    </row>
    <row r="25" hidden="1" outlineLevel="2" ht="12" customHeight="1">
      <c r="A25" s="11" t="inlineStr">
        <is>
          <t xml:space="preserve">    % Payment fees / sales</t>
        </is>
      </c>
      <c r="B25" s="12" t="n"/>
      <c r="C25" s="12" t="n"/>
      <c r="D25" s="12">
        <f>IFERROR(D22/D5,0)</f>
        <v/>
      </c>
      <c r="E25" s="12">
        <f>IFERROR(E22/E5,0)</f>
        <v/>
      </c>
      <c r="F25" s="12">
        <f>IFERROR(F22/F5,0)</f>
        <v/>
      </c>
      <c r="G25" s="12">
        <f>IFERROR(G22/G5,0)</f>
        <v/>
      </c>
      <c r="H25" s="12">
        <f>IFERROR(H22/H5,0)</f>
        <v/>
      </c>
      <c r="I25" s="12">
        <f>IFERROR(I22/I5,0)</f>
        <v/>
      </c>
      <c r="J25" s="12">
        <f>IFERROR(J22/J5,0)</f>
        <v/>
      </c>
      <c r="K25" s="12">
        <f>IFERROR(K22/K5,0)</f>
        <v/>
      </c>
      <c r="L25" s="12">
        <f>IFERROR(L22/L5,0)</f>
        <v/>
      </c>
      <c r="M25" s="12">
        <f>IFERROR(M22/M5,0)</f>
        <v/>
      </c>
      <c r="N25" s="12">
        <f>IFERROR(N22/N5,0)</f>
        <v/>
      </c>
      <c r="O25" s="12">
        <f>IFERROR(O22/O5,0)</f>
        <v/>
      </c>
      <c r="P25" s="12">
        <f>SUM(D25:O25)</f>
        <v/>
      </c>
      <c r="Q25" s="12" t="n"/>
    </row>
    <row r="26" ht="12" customHeight="1"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>
        <f>SUM(D26:O26)</f>
        <v/>
      </c>
      <c r="Q26" s="4" t="n"/>
    </row>
    <row r="27" ht="12" customHeight="1">
      <c r="A27" s="13" t="inlineStr">
        <is>
          <t>GROSS MARGIN (SALES-MANUFACTURING)</t>
        </is>
      </c>
      <c r="B27" s="14" t="n"/>
      <c r="C27" s="14" t="n"/>
      <c r="D27" s="14">
        <f>D5-D12</f>
        <v/>
      </c>
      <c r="E27" s="14">
        <f>E5-E12</f>
        <v/>
      </c>
      <c r="F27" s="14">
        <f>F5-F12</f>
        <v/>
      </c>
      <c r="G27" s="14">
        <f>G5-G12</f>
        <v/>
      </c>
      <c r="H27" s="14">
        <f>H5-H12</f>
        <v/>
      </c>
      <c r="I27" s="14">
        <f>I5-I12</f>
        <v/>
      </c>
      <c r="J27" s="14">
        <f>J5-J12</f>
        <v/>
      </c>
      <c r="K27" s="14">
        <f>K5-K12</f>
        <v/>
      </c>
      <c r="L27" s="14">
        <f>L5-L12</f>
        <v/>
      </c>
      <c r="M27" s="14">
        <f>M5-M12</f>
        <v/>
      </c>
      <c r="N27" s="14">
        <f>N5-N12</f>
        <v/>
      </c>
      <c r="O27" s="14">
        <f>O5-O12</f>
        <v/>
      </c>
      <c r="P27" s="14">
        <f>SUM(D27:O27)</f>
        <v/>
      </c>
      <c r="Q27" s="14" t="n"/>
    </row>
    <row r="28" hidden="1" outlineLevel="1" ht="12" customHeight="1">
      <c r="A28" s="11" t="inlineStr">
        <is>
          <t>% GROSS MARGIN</t>
        </is>
      </c>
      <c r="B28" s="12" t="n"/>
      <c r="C28" s="12" t="n"/>
      <c r="D28" s="12">
        <f>IFERROR(D27/D5,0)</f>
        <v/>
      </c>
      <c r="E28" s="12">
        <f>IFERROR(E27/E5,0)</f>
        <v/>
      </c>
      <c r="F28" s="12">
        <f>IFERROR(F27/F5,0)</f>
        <v/>
      </c>
      <c r="G28" s="12">
        <f>IFERROR(G27/G5,0)</f>
        <v/>
      </c>
      <c r="H28" s="12">
        <f>IFERROR(H27/H5,0)</f>
        <v/>
      </c>
      <c r="I28" s="12">
        <f>IFERROR(I27/I5,0)</f>
        <v/>
      </c>
      <c r="J28" s="12">
        <f>IFERROR(J27/J5,0)</f>
        <v/>
      </c>
      <c r="K28" s="12">
        <f>IFERROR(K27/K5,0)</f>
        <v/>
      </c>
      <c r="L28" s="12">
        <f>IFERROR(L27/L5,0)</f>
        <v/>
      </c>
      <c r="M28" s="12">
        <f>IFERROR(M27/M5,0)</f>
        <v/>
      </c>
      <c r="N28" s="12">
        <f>IFERROR(N27/N5,0)</f>
        <v/>
      </c>
      <c r="O28" s="12">
        <f>IFERROR(O27/O5,0)</f>
        <v/>
      </c>
      <c r="P28" s="12">
        <f>SUM(D28:O28)</f>
        <v/>
      </c>
      <c r="Q28" s="12" t="n"/>
    </row>
    <row r="29" ht="12" customHeight="1">
      <c r="A29" s="13" t="inlineStr">
        <is>
          <t>CONTRIBUTIVE MARGIN (TURNOVER-COGS)</t>
        </is>
      </c>
      <c r="B29" s="14" t="n"/>
      <c r="C29" s="14" t="n"/>
      <c r="D29" s="14">
        <f>D4-D11</f>
        <v/>
      </c>
      <c r="E29" s="14">
        <f>E4-E11</f>
        <v/>
      </c>
      <c r="F29" s="14">
        <f>F4-F11</f>
        <v/>
      </c>
      <c r="G29" s="14">
        <f>G4-G11</f>
        <v/>
      </c>
      <c r="H29" s="14">
        <f>H4-H11</f>
        <v/>
      </c>
      <c r="I29" s="14">
        <f>I4-I11</f>
        <v/>
      </c>
      <c r="J29" s="14">
        <f>J4-J11</f>
        <v/>
      </c>
      <c r="K29" s="14">
        <f>K4-K11</f>
        <v/>
      </c>
      <c r="L29" s="14">
        <f>L4-L11</f>
        <v/>
      </c>
      <c r="M29" s="14">
        <f>M4-M11</f>
        <v/>
      </c>
      <c r="N29" s="14">
        <f>N4-N11</f>
        <v/>
      </c>
      <c r="O29" s="14">
        <f>O4-O11</f>
        <v/>
      </c>
      <c r="P29" s="14">
        <f>SUM(D29:O29)</f>
        <v/>
      </c>
      <c r="Q29" s="14" t="n"/>
    </row>
    <row r="30" hidden="1" outlineLevel="1" ht="12" customHeight="1">
      <c r="A30" s="11" t="inlineStr">
        <is>
          <t>% CONTRIBUTIVE MARGIN</t>
        </is>
      </c>
      <c r="B30" s="12" t="n"/>
      <c r="C30" s="12" t="n"/>
      <c r="D30" s="12">
        <f>IFERROR(D29/D4,0)</f>
        <v/>
      </c>
      <c r="E30" s="12">
        <f>IFERROR(E29/E4,0)</f>
        <v/>
      </c>
      <c r="F30" s="12">
        <f>IFERROR(F29/F4,0)</f>
        <v/>
      </c>
      <c r="G30" s="12">
        <f>IFERROR(G29/G4,0)</f>
        <v/>
      </c>
      <c r="H30" s="12">
        <f>IFERROR(H29/H4,0)</f>
        <v/>
      </c>
      <c r="I30" s="12">
        <f>IFERROR(I29/I4,0)</f>
        <v/>
      </c>
      <c r="J30" s="12">
        <f>IFERROR(J29/J4,0)</f>
        <v/>
      </c>
      <c r="K30" s="12">
        <f>IFERROR(K29/K4,0)</f>
        <v/>
      </c>
      <c r="L30" s="12">
        <f>IFERROR(L29/L4,0)</f>
        <v/>
      </c>
      <c r="M30" s="12">
        <f>IFERROR(M29/M4,0)</f>
        <v/>
      </c>
      <c r="N30" s="12">
        <f>IFERROR(N29/N4,0)</f>
        <v/>
      </c>
      <c r="O30" s="12">
        <f>IFERROR(O29/O4,0)</f>
        <v/>
      </c>
      <c r="P30" s="12">
        <f>SUM(D30:O30)</f>
        <v/>
      </c>
      <c r="Q30" s="12" t="n"/>
    </row>
    <row r="31" ht="12" customHeight="1"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>
        <f>SUM(D31:O31)</f>
        <v/>
      </c>
      <c r="Q31" s="4" t="n"/>
    </row>
    <row r="32" outlineLevel="1" ht="12" customHeight="1">
      <c r="A32" s="7" t="inlineStr">
        <is>
          <t xml:space="preserve">  Opex</t>
        </is>
      </c>
      <c r="B32" s="8" t="n"/>
      <c r="C32" s="8" t="n"/>
      <c r="D32" s="8">
        <f>D33+D35+D37+D39</f>
        <v/>
      </c>
      <c r="E32" s="8">
        <f>E33+E35+E37+E39</f>
        <v/>
      </c>
      <c r="F32" s="8">
        <f>F33+F35+F37+F39</f>
        <v/>
      </c>
      <c r="G32" s="8">
        <f>G33+G35+G37+G39</f>
        <v/>
      </c>
      <c r="H32" s="8">
        <f>H33+H35+H37+H39</f>
        <v/>
      </c>
      <c r="I32" s="8">
        <f>I33+I35+I37+I39</f>
        <v/>
      </c>
      <c r="J32" s="8">
        <f>J33+J35+J37+J39</f>
        <v/>
      </c>
      <c r="K32" s="8">
        <f>K33+K35+K37+K39</f>
        <v/>
      </c>
      <c r="L32" s="8">
        <f>L33+L35+L37+L39</f>
        <v/>
      </c>
      <c r="M32" s="8">
        <f>M33+M35+M37+M39</f>
        <v/>
      </c>
      <c r="N32" s="8">
        <f>N33+N35+N37+N39</f>
        <v/>
      </c>
      <c r="O32" s="8">
        <f>O33+O35+O37+O39</f>
        <v/>
      </c>
      <c r="P32" s="8">
        <f>SUM(D32:O32)</f>
        <v/>
      </c>
      <c r="Q32" s="8" t="n"/>
    </row>
    <row r="33" hidden="1" outlineLevel="2" ht="12" customHeight="1">
      <c r="A33" s="9" t="inlineStr">
        <is>
          <t xml:space="preserve">    Shared services</t>
        </is>
      </c>
      <c r="B33" s="10" t="n"/>
      <c r="C33" s="10" t="n"/>
      <c r="D33" s="10">
        <f>SUM(D34:D34)</f>
        <v/>
      </c>
      <c r="E33" s="10">
        <f>SUM(E34:E34)</f>
        <v/>
      </c>
      <c r="F33" s="10">
        <f>SUM(F34:F34)</f>
        <v/>
      </c>
      <c r="G33" s="10">
        <f>SUM(G34:G34)</f>
        <v/>
      </c>
      <c r="H33" s="10">
        <f>SUM(H34:H34)</f>
        <v/>
      </c>
      <c r="I33" s="10">
        <f>SUM(I34:I34)</f>
        <v/>
      </c>
      <c r="J33" s="10">
        <f>SUM(J34:J34)</f>
        <v/>
      </c>
      <c r="K33" s="10">
        <f>SUM(K34:K34)</f>
        <v/>
      </c>
      <c r="L33" s="10">
        <f>SUM(L34:L34)</f>
        <v/>
      </c>
      <c r="M33" s="10">
        <f>SUM(M34:M34)</f>
        <v/>
      </c>
      <c r="N33" s="10">
        <f>SUM(N34:N34)</f>
        <v/>
      </c>
      <c r="O33" s="10">
        <f>SUM(O34:O34)</f>
        <v/>
      </c>
      <c r="P33" s="10">
        <f>SUM(D33:O33)</f>
        <v/>
      </c>
      <c r="Q33" s="10" t="inlineStr">
        <is>
          <t>-&gt;</t>
        </is>
      </c>
    </row>
    <row r="34" hidden="1" outlineLevel="3" ht="12" customHeight="1">
      <c r="A34" t="inlineStr">
        <is>
          <t xml:space="preserve">      SHAREDSERVICESSL</t>
        </is>
      </c>
      <c r="B34" s="4" t="n"/>
      <c r="C34" s="4" t="n"/>
      <c r="D34" s="4">
        <f>SUMIFS('g-expenses-ltd'!$K:$K,'g-expenses-ltd'!$A:$A,D$1,'g-expenses-ltd'!$D:$D,"shared_services",'g-expenses-ltd'!$E:$E,TRIM($A34))</f>
        <v/>
      </c>
      <c r="E34" s="4">
        <f>SUMIFS('g-expenses-ltd'!$K:$K,'g-expenses-ltd'!$A:$A,E$1,'g-expenses-ltd'!$D:$D,"shared_services",'g-expenses-ltd'!$E:$E,TRIM($A34))</f>
        <v/>
      </c>
      <c r="F34" s="4">
        <f>SUMIFS('g-expenses-ltd'!$K:$K,'g-expenses-ltd'!$A:$A,F$1,'g-expenses-ltd'!$D:$D,"shared_services",'g-expenses-ltd'!$E:$E,TRIM($A34))</f>
        <v/>
      </c>
      <c r="G34" s="4">
        <f>SUMIFS('g-expenses-ltd'!$K:$K,'g-expenses-ltd'!$A:$A,G$1,'g-expenses-ltd'!$D:$D,"shared_services",'g-expenses-ltd'!$E:$E,TRIM($A34))</f>
        <v/>
      </c>
      <c r="H34" s="4">
        <f>SUMIFS('g-expenses-ltd'!$K:$K,'g-expenses-ltd'!$A:$A,H$1,'g-expenses-ltd'!$D:$D,"shared_services",'g-expenses-ltd'!$E:$E,TRIM($A34))</f>
        <v/>
      </c>
      <c r="I34" s="4">
        <f>SUMIFS('g-expenses-ltd'!$K:$K,'g-expenses-ltd'!$A:$A,I$1,'g-expenses-ltd'!$D:$D,"shared_services",'g-expenses-ltd'!$E:$E,TRIM($A34))</f>
        <v/>
      </c>
      <c r="J34" s="4">
        <f>SUMIFS('g-expenses-ltd'!$K:$K,'g-expenses-ltd'!$A:$A,J$1,'g-expenses-ltd'!$D:$D,"shared_services",'g-expenses-ltd'!$E:$E,TRIM($A34))</f>
        <v/>
      </c>
      <c r="K34" s="4">
        <f>SUMIFS('g-expenses-ltd'!$K:$K,'g-expenses-ltd'!$A:$A,K$1,'g-expenses-ltd'!$D:$D,"shared_services",'g-expenses-ltd'!$E:$E,TRIM($A34))</f>
        <v/>
      </c>
      <c r="L34" s="4">
        <f>SUMIFS('g-expenses-ltd'!$K:$K,'g-expenses-ltd'!$A:$A,L$1,'g-expenses-ltd'!$D:$D,"shared_services",'g-expenses-ltd'!$E:$E,TRIM($A34))</f>
        <v/>
      </c>
      <c r="M34" s="4">
        <f>SUMIFS('g-expenses-ltd'!$K:$K,'g-expenses-ltd'!$A:$A,M$1,'g-expenses-ltd'!$D:$D,"shared_services",'g-expenses-ltd'!$E:$E,TRIM($A34))</f>
        <v/>
      </c>
      <c r="N34" s="4">
        <f>SUMIFS('g-expenses-ltd'!$K:$K,'g-expenses-ltd'!$A:$A,N$1,'g-expenses-ltd'!$D:$D,"shared_services",'g-expenses-ltd'!$E:$E,TRIM($A34))</f>
        <v/>
      </c>
      <c r="O34" s="4">
        <f>SUMIFS('g-expenses-ltd'!$K:$K,'g-expenses-ltd'!$A:$A,O$1,'g-expenses-ltd'!$D:$D,"shared_services",'g-expenses-ltd'!$E:$E,TRIM($A34))</f>
        <v/>
      </c>
      <c r="P34" s="4">
        <f>SUM(D34:O34)</f>
        <v/>
      </c>
      <c r="Q34" s="4" t="inlineStr">
        <is>
          <t>-&gt;</t>
        </is>
      </c>
    </row>
    <row r="35" hidden="1" outlineLevel="2" ht="12" customHeight="1">
      <c r="A35" s="9" t="inlineStr">
        <is>
          <t xml:space="preserve">    Administration</t>
        </is>
      </c>
      <c r="B35" s="10" t="n"/>
      <c r="C35" s="10" t="n"/>
      <c r="D35" s="10">
        <f>SUM(D36:D36)</f>
        <v/>
      </c>
      <c r="E35" s="10">
        <f>SUM(E36:E36)</f>
        <v/>
      </c>
      <c r="F35" s="10">
        <f>SUM(F36:F36)</f>
        <v/>
      </c>
      <c r="G35" s="10">
        <f>SUM(G36:G36)</f>
        <v/>
      </c>
      <c r="H35" s="10">
        <f>SUM(H36:H36)</f>
        <v/>
      </c>
      <c r="I35" s="10">
        <f>SUM(I36:I36)</f>
        <v/>
      </c>
      <c r="J35" s="10">
        <f>SUM(J36:J36)</f>
        <v/>
      </c>
      <c r="K35" s="10">
        <f>SUM(K36:K36)</f>
        <v/>
      </c>
      <c r="L35" s="10">
        <f>SUM(L36:L36)</f>
        <v/>
      </c>
      <c r="M35" s="10">
        <f>SUM(M36:M36)</f>
        <v/>
      </c>
      <c r="N35" s="10">
        <f>SUM(N36:N36)</f>
        <v/>
      </c>
      <c r="O35" s="10">
        <f>SUM(O36:O36)</f>
        <v/>
      </c>
      <c r="P35" s="10">
        <f>SUM(D35:O35)</f>
        <v/>
      </c>
      <c r="Q35" s="10" t="inlineStr">
        <is>
          <t>-&gt;</t>
        </is>
      </c>
    </row>
    <row r="36" hidden="1" outlineLevel="3" ht="12" customHeight="1">
      <c r="A36" t="inlineStr">
        <is>
          <t xml:space="preserve">      YOURACCOUNTSTAXES</t>
        </is>
      </c>
      <c r="B36" s="4" t="n"/>
      <c r="C36" s="4" t="n"/>
      <c r="D36" s="4">
        <f>SUMIFS('g-expenses-ltd'!$K:$K,'g-expenses-ltd'!$A:$A,D$1,'g-expenses-ltd'!$D:$D,"administration",'g-expenses-ltd'!$E:$E,TRIM($A36))</f>
        <v/>
      </c>
      <c r="E36" s="4">
        <f>SUMIFS('g-expenses-ltd'!$K:$K,'g-expenses-ltd'!$A:$A,E$1,'g-expenses-ltd'!$D:$D,"administration",'g-expenses-ltd'!$E:$E,TRIM($A36))</f>
        <v/>
      </c>
      <c r="F36" s="4">
        <f>SUMIFS('g-expenses-ltd'!$K:$K,'g-expenses-ltd'!$A:$A,F$1,'g-expenses-ltd'!$D:$D,"administration",'g-expenses-ltd'!$E:$E,TRIM($A36))</f>
        <v/>
      </c>
      <c r="G36" s="4">
        <f>SUMIFS('g-expenses-ltd'!$K:$K,'g-expenses-ltd'!$A:$A,G$1,'g-expenses-ltd'!$D:$D,"administration",'g-expenses-ltd'!$E:$E,TRIM($A36))</f>
        <v/>
      </c>
      <c r="H36" s="4">
        <f>SUMIFS('g-expenses-ltd'!$K:$K,'g-expenses-ltd'!$A:$A,H$1,'g-expenses-ltd'!$D:$D,"administration",'g-expenses-ltd'!$E:$E,TRIM($A36))</f>
        <v/>
      </c>
      <c r="I36" s="4">
        <f>SUMIFS('g-expenses-ltd'!$K:$K,'g-expenses-ltd'!$A:$A,I$1,'g-expenses-ltd'!$D:$D,"administration",'g-expenses-ltd'!$E:$E,TRIM($A36))</f>
        <v/>
      </c>
      <c r="J36" s="4">
        <f>SUMIFS('g-expenses-ltd'!$K:$K,'g-expenses-ltd'!$A:$A,J$1,'g-expenses-ltd'!$D:$D,"administration",'g-expenses-ltd'!$E:$E,TRIM($A36))</f>
        <v/>
      </c>
      <c r="K36" s="4">
        <f>SUMIFS('g-expenses-ltd'!$K:$K,'g-expenses-ltd'!$A:$A,K$1,'g-expenses-ltd'!$D:$D,"administration",'g-expenses-ltd'!$E:$E,TRIM($A36))</f>
        <v/>
      </c>
      <c r="L36" s="4">
        <f>SUMIFS('g-expenses-ltd'!$K:$K,'g-expenses-ltd'!$A:$A,L$1,'g-expenses-ltd'!$D:$D,"administration",'g-expenses-ltd'!$E:$E,TRIM($A36))</f>
        <v/>
      </c>
      <c r="M36" s="4">
        <f>SUMIFS('g-expenses-ltd'!$K:$K,'g-expenses-ltd'!$A:$A,M$1,'g-expenses-ltd'!$D:$D,"administration",'g-expenses-ltd'!$E:$E,TRIM($A36))</f>
        <v/>
      </c>
      <c r="N36" s="4">
        <f>SUMIFS('g-expenses-ltd'!$K:$K,'g-expenses-ltd'!$A:$A,N$1,'g-expenses-ltd'!$D:$D,"administration",'g-expenses-ltd'!$E:$E,TRIM($A36))</f>
        <v/>
      </c>
      <c r="O36" s="4">
        <f>SUMIFS('g-expenses-ltd'!$K:$K,'g-expenses-ltd'!$A:$A,O$1,'g-expenses-ltd'!$D:$D,"administration",'g-expenses-ltd'!$E:$E,TRIM($A36))</f>
        <v/>
      </c>
      <c r="P36" s="4">
        <f>SUM(D36:O36)</f>
        <v/>
      </c>
      <c r="Q36" s="4" t="inlineStr">
        <is>
          <t>-&gt;</t>
        </is>
      </c>
    </row>
    <row r="37" hidden="1" outlineLevel="2" ht="12" customHeight="1">
      <c r="A37" s="9" t="inlineStr">
        <is>
          <t xml:space="preserve">    Technology</t>
        </is>
      </c>
      <c r="B37" s="10" t="n"/>
      <c r="C37" s="10" t="n"/>
      <c r="D37" s="10">
        <f>SUM(D38:D38)</f>
        <v/>
      </c>
      <c r="E37" s="10">
        <f>SUM(E38:E38)</f>
        <v/>
      </c>
      <c r="F37" s="10">
        <f>SUM(F38:F38)</f>
        <v/>
      </c>
      <c r="G37" s="10">
        <f>SUM(G38:G38)</f>
        <v/>
      </c>
      <c r="H37" s="10">
        <f>SUM(H38:H38)</f>
        <v/>
      </c>
      <c r="I37" s="10">
        <f>SUM(I38:I38)</f>
        <v/>
      </c>
      <c r="J37" s="10">
        <f>SUM(J38:J38)</f>
        <v/>
      </c>
      <c r="K37" s="10">
        <f>SUM(K38:K38)</f>
        <v/>
      </c>
      <c r="L37" s="10">
        <f>SUM(L38:L38)</f>
        <v/>
      </c>
      <c r="M37" s="10">
        <f>SUM(M38:M38)</f>
        <v/>
      </c>
      <c r="N37" s="10">
        <f>SUM(N38:N38)</f>
        <v/>
      </c>
      <c r="O37" s="10">
        <f>SUM(O38:O38)</f>
        <v/>
      </c>
      <c r="P37" s="10">
        <f>SUM(D37:O37)</f>
        <v/>
      </c>
      <c r="Q37" s="10" t="inlineStr">
        <is>
          <t>-&gt;</t>
        </is>
      </c>
    </row>
    <row r="38" hidden="1" outlineLevel="3" ht="12" customHeight="1">
      <c r="A38" t="inlineStr">
        <is>
          <t xml:space="preserve">      REVER</t>
        </is>
      </c>
      <c r="B38" s="4" t="n"/>
      <c r="C38" s="4" t="n"/>
      <c r="D38" s="4">
        <f>SUMIFS('g-expenses-ltd'!$K:$K,'g-expenses-ltd'!$A:$A,D$1,'g-expenses-ltd'!$D:$D,"technology",'g-expenses-ltd'!$E:$E,TRIM($A38))</f>
        <v/>
      </c>
      <c r="E38" s="4">
        <f>SUMIFS('g-expenses-ltd'!$K:$K,'g-expenses-ltd'!$A:$A,E$1,'g-expenses-ltd'!$D:$D,"technology",'g-expenses-ltd'!$E:$E,TRIM($A38))</f>
        <v/>
      </c>
      <c r="F38" s="4">
        <f>SUMIFS('g-expenses-ltd'!$K:$K,'g-expenses-ltd'!$A:$A,F$1,'g-expenses-ltd'!$D:$D,"technology",'g-expenses-ltd'!$E:$E,TRIM($A38))</f>
        <v/>
      </c>
      <c r="G38" s="4">
        <f>SUMIFS('g-expenses-ltd'!$K:$K,'g-expenses-ltd'!$A:$A,G$1,'g-expenses-ltd'!$D:$D,"technology",'g-expenses-ltd'!$E:$E,TRIM($A38))</f>
        <v/>
      </c>
      <c r="H38" s="4">
        <f>SUMIFS('g-expenses-ltd'!$K:$K,'g-expenses-ltd'!$A:$A,H$1,'g-expenses-ltd'!$D:$D,"technology",'g-expenses-ltd'!$E:$E,TRIM($A38))</f>
        <v/>
      </c>
      <c r="I38" s="4">
        <f>SUMIFS('g-expenses-ltd'!$K:$K,'g-expenses-ltd'!$A:$A,I$1,'g-expenses-ltd'!$D:$D,"technology",'g-expenses-ltd'!$E:$E,TRIM($A38))</f>
        <v/>
      </c>
      <c r="J38" s="4">
        <f>SUMIFS('g-expenses-ltd'!$K:$K,'g-expenses-ltd'!$A:$A,J$1,'g-expenses-ltd'!$D:$D,"technology",'g-expenses-ltd'!$E:$E,TRIM($A38))</f>
        <v/>
      </c>
      <c r="K38" s="4">
        <f>SUMIFS('g-expenses-ltd'!$K:$K,'g-expenses-ltd'!$A:$A,K$1,'g-expenses-ltd'!$D:$D,"technology",'g-expenses-ltd'!$E:$E,TRIM($A38))</f>
        <v/>
      </c>
      <c r="L38" s="4">
        <f>SUMIFS('g-expenses-ltd'!$K:$K,'g-expenses-ltd'!$A:$A,L$1,'g-expenses-ltd'!$D:$D,"technology",'g-expenses-ltd'!$E:$E,TRIM($A38))</f>
        <v/>
      </c>
      <c r="M38" s="4">
        <f>SUMIFS('g-expenses-ltd'!$K:$K,'g-expenses-ltd'!$A:$A,M$1,'g-expenses-ltd'!$D:$D,"technology",'g-expenses-ltd'!$E:$E,TRIM($A38))</f>
        <v/>
      </c>
      <c r="N38" s="4">
        <f>SUMIFS('g-expenses-ltd'!$K:$K,'g-expenses-ltd'!$A:$A,N$1,'g-expenses-ltd'!$D:$D,"technology",'g-expenses-ltd'!$E:$E,TRIM($A38))</f>
        <v/>
      </c>
      <c r="O38" s="4">
        <f>SUMIFS('g-expenses-ltd'!$K:$K,'g-expenses-ltd'!$A:$A,O$1,'g-expenses-ltd'!$D:$D,"technology",'g-expenses-ltd'!$E:$E,TRIM($A38))</f>
        <v/>
      </c>
      <c r="P38" s="4">
        <f>SUM(D38:O38)</f>
        <v/>
      </c>
      <c r="Q38" s="4" t="inlineStr">
        <is>
          <t>-&gt;</t>
        </is>
      </c>
    </row>
    <row r="39" hidden="1" outlineLevel="2" ht="12" customHeight="1">
      <c r="A39" s="9" t="inlineStr">
        <is>
          <t xml:space="preserve">    Otros gastos</t>
        </is>
      </c>
      <c r="B39" s="10" t="n"/>
      <c r="C39" s="10" t="n"/>
      <c r="D39" s="10">
        <f>SUMIFS('g-expenses-ltd'!$K:$K,'g-expenses-ltd'!$A:$A,D$1,'g-expenses-ltd'!$D:$D,"otros_gastos")</f>
        <v/>
      </c>
      <c r="E39" s="10">
        <f>SUMIFS('g-expenses-ltd'!$K:$K,'g-expenses-ltd'!$A:$A,E$1,'g-expenses-ltd'!$D:$D,"otros_gastos")</f>
        <v/>
      </c>
      <c r="F39" s="10">
        <f>SUMIFS('g-expenses-ltd'!$K:$K,'g-expenses-ltd'!$A:$A,F$1,'g-expenses-ltd'!$D:$D,"otros_gastos")</f>
        <v/>
      </c>
      <c r="G39" s="10">
        <f>SUMIFS('g-expenses-ltd'!$K:$K,'g-expenses-ltd'!$A:$A,G$1,'g-expenses-ltd'!$D:$D,"otros_gastos")</f>
        <v/>
      </c>
      <c r="H39" s="10">
        <f>SUMIFS('g-expenses-ltd'!$K:$K,'g-expenses-ltd'!$A:$A,H$1,'g-expenses-ltd'!$D:$D,"otros_gastos")</f>
        <v/>
      </c>
      <c r="I39" s="10">
        <f>SUMIFS('g-expenses-ltd'!$K:$K,'g-expenses-ltd'!$A:$A,I$1,'g-expenses-ltd'!$D:$D,"otros_gastos")</f>
        <v/>
      </c>
      <c r="J39" s="10">
        <f>SUMIFS('g-expenses-ltd'!$K:$K,'g-expenses-ltd'!$A:$A,J$1,'g-expenses-ltd'!$D:$D,"otros_gastos")</f>
        <v/>
      </c>
      <c r="K39" s="10">
        <f>SUMIFS('g-expenses-ltd'!$K:$K,'g-expenses-ltd'!$A:$A,K$1,'g-expenses-ltd'!$D:$D,"otros_gastos")</f>
        <v/>
      </c>
      <c r="L39" s="10">
        <f>SUMIFS('g-expenses-ltd'!$K:$K,'g-expenses-ltd'!$A:$A,L$1,'g-expenses-ltd'!$D:$D,"otros_gastos")</f>
        <v/>
      </c>
      <c r="M39" s="10">
        <f>SUMIFS('g-expenses-ltd'!$K:$K,'g-expenses-ltd'!$A:$A,M$1,'g-expenses-ltd'!$D:$D,"otros_gastos")</f>
        <v/>
      </c>
      <c r="N39" s="10">
        <f>SUMIFS('g-expenses-ltd'!$K:$K,'g-expenses-ltd'!$A:$A,N$1,'g-expenses-ltd'!$D:$D,"otros_gastos")</f>
        <v/>
      </c>
      <c r="O39" s="10">
        <f>SUMIFS('g-expenses-ltd'!$K:$K,'g-expenses-ltd'!$A:$A,O$1,'g-expenses-ltd'!$D:$D,"otros_gastos")</f>
        <v/>
      </c>
      <c r="P39" s="10">
        <f>SUM(D39:O39)</f>
        <v/>
      </c>
      <c r="Q39" s="10" t="inlineStr">
        <is>
          <t>-&gt;</t>
        </is>
      </c>
    </row>
    <row r="40" hidden="1" outlineLevel="2" ht="12" customHeight="1">
      <c r="A40" s="9" t="inlineStr">
        <is>
          <t xml:space="preserve">  Diferencias divisas</t>
        </is>
      </c>
      <c r="B40" s="10" t="n"/>
      <c r="C40" s="10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  <c r="M40" s="10" t="n"/>
      <c r="N40" s="10" t="n"/>
      <c r="O40" s="10" t="n"/>
      <c r="P40" s="10">
        <f>SUM(D40:O40)</f>
        <v/>
      </c>
      <c r="Q40" s="10" t="n"/>
    </row>
    <row r="41" ht="12" customHeight="1"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>
        <f>SUM(D41:O41)</f>
        <v/>
      </c>
      <c r="Q41" s="4" t="n"/>
    </row>
    <row r="42" ht="12" customHeight="1">
      <c r="A42" s="13" t="inlineStr">
        <is>
          <t>PROFIT</t>
        </is>
      </c>
      <c r="B42" s="14" t="n"/>
      <c r="C42" s="14" t="n"/>
      <c r="D42" s="14">
        <f>D4-D11-D32-D40</f>
        <v/>
      </c>
      <c r="E42" s="14">
        <f>E4-E11-E32-E40</f>
        <v/>
      </c>
      <c r="F42" s="14">
        <f>F4-F11-F32-F40</f>
        <v/>
      </c>
      <c r="G42" s="14">
        <f>G4-G11-G32-G40</f>
        <v/>
      </c>
      <c r="H42" s="14">
        <f>H4-H11-H32-H40</f>
        <v/>
      </c>
      <c r="I42" s="14">
        <f>I4-I11-I32-I40</f>
        <v/>
      </c>
      <c r="J42" s="14">
        <f>J4-J11-J32-J40</f>
        <v/>
      </c>
      <c r="K42" s="14">
        <f>K4-K11-K32-K40</f>
        <v/>
      </c>
      <c r="L42" s="14">
        <f>L4-L11-L32-L40</f>
        <v/>
      </c>
      <c r="M42" s="14">
        <f>M4-M11-M32-M40</f>
        <v/>
      </c>
      <c r="N42" s="14">
        <f>N4-N11-N32-N40</f>
        <v/>
      </c>
      <c r="O42" s="14">
        <f>O4-O11-O32-O40</f>
        <v/>
      </c>
      <c r="P42" s="14">
        <f>SUM(D42:O42)</f>
        <v/>
      </c>
      <c r="Q42" s="14" t="n"/>
    </row>
    <row r="43" hidden="1" outlineLevel="1" ht="12" customHeight="1">
      <c r="A43" s="11" t="inlineStr">
        <is>
          <t>% Profit / turnover</t>
        </is>
      </c>
      <c r="B43" s="12" t="n"/>
      <c r="C43" s="12" t="n"/>
      <c r="D43" s="12">
        <f>IFERROR(D42/D4,0)</f>
        <v/>
      </c>
      <c r="E43" s="12">
        <f>IFERROR(E42/E4,0)</f>
        <v/>
      </c>
      <c r="F43" s="12">
        <f>IFERROR(F42/F4,0)</f>
        <v/>
      </c>
      <c r="G43" s="12">
        <f>IFERROR(G42/G4,0)</f>
        <v/>
      </c>
      <c r="H43" s="12">
        <f>IFERROR(H42/H4,0)</f>
        <v/>
      </c>
      <c r="I43" s="12">
        <f>IFERROR(I42/I4,0)</f>
        <v/>
      </c>
      <c r="J43" s="12">
        <f>IFERROR(J42/J4,0)</f>
        <v/>
      </c>
      <c r="K43" s="12">
        <f>IFERROR(K42/K4,0)</f>
        <v/>
      </c>
      <c r="L43" s="12">
        <f>IFERROR(L42/L4,0)</f>
        <v/>
      </c>
      <c r="M43" s="12">
        <f>IFERROR(M42/M4,0)</f>
        <v/>
      </c>
      <c r="N43" s="12">
        <f>IFERROR(N42/N4,0)</f>
        <v/>
      </c>
      <c r="O43" s="12">
        <f>IFERROR(O42/O4,0)</f>
        <v/>
      </c>
      <c r="P43" s="12">
        <f>SUM(D43:O43)</f>
        <v/>
      </c>
      <c r="Q43" s="12" t="n"/>
    </row>
    <row r="44"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</row>
    <row r="45">
      <c r="A45" s="15" t="inlineStr">
        <is>
          <t>Stock inicial marcos</t>
        </is>
      </c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>
        <f>SUM(D45:O45)</f>
        <v/>
      </c>
      <c r="Q45" s="4" t="n"/>
    </row>
    <row r="46">
      <c r="A46" s="15" t="inlineStr">
        <is>
          <t>Stock final marcos</t>
        </is>
      </c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>
        <f>SUM(D46:O46)</f>
        <v/>
      </c>
      <c r="Q46" s="4" t="n"/>
    </row>
  </sheetData>
  <mergeCells count="2">
    <mergeCell ref="A3:C3"/>
    <mergeCell ref="A2:C2"/>
  </mergeCells>
  <hyperlinks>
    <hyperlink ref="Q6" location="'i-shopify-ltd'!A1" display="-&gt;"/>
    <hyperlink ref="Q7" location="'i-shopify-ltd'!A1" display="-&gt;"/>
    <hyperlink ref="Q12" location="'g-expenses-ltd'!A1" display="-&gt;"/>
    <hyperlink ref="Q13" location="'g-expenses-ltd'!A1" display="-&gt;"/>
    <hyperlink ref="Q18" location="'g-expenses-ltd'!A1" display="-&gt;"/>
    <hyperlink ref="Q19" location="'g-expenses-ltd'!A1" display="-&gt;"/>
    <hyperlink ref="Q22" location="'g-payment-fees-ltd'!A1" display="-&gt;"/>
    <hyperlink ref="Q23" location="'g-payment-fees-ltd'!A1" display="-&gt;"/>
    <hyperlink ref="Q33" location="'g-expenses-ltd'!A1" display="-&gt;"/>
    <hyperlink ref="Q34" location="'g-expenses-ltd'!A1" display="-&gt;"/>
    <hyperlink ref="Q35" location="'g-expenses-ltd'!A1" display="-&gt;"/>
    <hyperlink ref="Q36" location="'g-expenses-ltd'!A1" display="-&gt;"/>
    <hyperlink ref="Q37" location="'g-expenses-ltd'!A1" display="-&gt;"/>
    <hyperlink ref="Q38" location="'g-expenses-ltd'!A1" display="-&gt;"/>
    <hyperlink ref="Q39" location="'g-expenses-ltd'!A1" display="-&gt;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</cols>
  <sheetData>
    <row r="1" ht="12" customHeight="1">
      <c r="A1" s="16" t="inlineStr">
        <is>
          <t>&lt;- Volver a P&amp;G-LTD</t>
        </is>
      </c>
    </row>
    <row r="2" ht="12" customHeight="1">
      <c r="A2" s="17" t="inlineStr">
        <is>
          <t>key</t>
        </is>
      </c>
      <c r="B2" s="17" t="inlineStr">
        <is>
          <t>value</t>
        </is>
      </c>
    </row>
    <row r="3" ht="12" customHeight="1">
      <c r="A3" t="inlineStr">
        <is>
          <t>entity</t>
        </is>
      </c>
      <c r="B3" t="inlineStr">
        <is>
          <t>LTD</t>
        </is>
      </c>
    </row>
    <row r="4" ht="12" customHeight="1">
      <c r="A4" t="inlineStr">
        <is>
          <t>reporting_currency</t>
        </is>
      </c>
      <c r="B4" t="inlineStr">
        <is>
          <t>GBP</t>
        </is>
      </c>
    </row>
    <row r="5" ht="12" customHeight="1">
      <c r="A5" t="inlineStr">
        <is>
          <t>year</t>
        </is>
      </c>
      <c r="B5" t="n">
        <v>2027</v>
      </c>
    </row>
    <row r="6" ht="12" customHeight="1">
      <c r="A6" t="inlineStr">
        <is>
          <t>generated_at_utc</t>
        </is>
      </c>
      <c r="B6" t="inlineStr">
        <is>
          <t>2026-03-30T15:09:50Z</t>
        </is>
      </c>
    </row>
  </sheetData>
  <hyperlinks>
    <hyperlink ref="A1" location="'P&amp;G-LTD'!A1" display="&lt;- Volver a P&amp;G-LTD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7" customWidth="1" min="5" max="5"/>
    <col width="19" customWidth="1" min="6" max="6"/>
    <col width="20" customWidth="1" min="7" max="7"/>
    <col width="14" customWidth="1" min="8" max="8"/>
    <col width="18" customWidth="1" min="9" max="9"/>
    <col width="14" customWidth="1" min="10" max="10"/>
  </cols>
  <sheetData>
    <row r="1" ht="12" customHeight="1">
      <c r="A1" s="16" t="inlineStr">
        <is>
          <t>&lt;- Volver a P&amp;G-LTD</t>
        </is>
      </c>
    </row>
    <row r="2" ht="12" customHeight="1">
      <c r="A2" s="17" t="inlineStr">
        <is>
          <t>yyyymm</t>
        </is>
      </c>
      <c r="B2" s="17" t="inlineStr">
        <is>
          <t>entity</t>
        </is>
      </c>
      <c r="C2" s="17" t="inlineStr">
        <is>
          <t>line_item</t>
        </is>
      </c>
      <c r="D2" s="17" t="inlineStr">
        <is>
          <t>detail</t>
        </is>
      </c>
      <c r="E2" s="17" t="inlineStr">
        <is>
          <t>amount_original</t>
        </is>
      </c>
      <c r="F2" s="17" t="inlineStr">
        <is>
          <t>currency_original</t>
        </is>
      </c>
      <c r="G2" s="17" t="inlineStr">
        <is>
          <t>reporting_currency</t>
        </is>
      </c>
      <c r="H2" s="17" t="inlineStr">
        <is>
          <t>fx_rate</t>
        </is>
      </c>
      <c r="I2" s="17" t="inlineStr">
        <is>
          <t>amount_reporting</t>
        </is>
      </c>
      <c r="J2" s="17" t="inlineStr">
        <is>
          <t>source</t>
        </is>
      </c>
    </row>
  </sheetData>
  <hyperlinks>
    <hyperlink ref="A1" location="'P&amp;G-LTD'!A1" display="&lt;- Volver a P&amp;G-LTD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5" customWidth="1" min="5" max="5"/>
    <col width="14" customWidth="1" min="6" max="6"/>
    <col width="17" customWidth="1" min="7" max="7"/>
    <col width="19" customWidth="1" min="8" max="8"/>
    <col width="20" customWidth="1" min="9" max="9"/>
    <col width="14" customWidth="1" min="10" max="10"/>
    <col width="18" customWidth="1" min="11" max="11"/>
    <col width="14" customWidth="1" min="12" max="12"/>
    <col width="16" customWidth="1" min="13" max="13"/>
    <col hidden="1" width="14" customWidth="1" min="14" max="14"/>
  </cols>
  <sheetData>
    <row r="1" ht="12" customHeight="1">
      <c r="A1" s="16" t="inlineStr">
        <is>
          <t>&lt;- Volver a P&amp;G-LTD</t>
        </is>
      </c>
    </row>
    <row r="2" ht="12" customHeight="1">
      <c r="A2" s="17" t="inlineStr">
        <is>
          <t>yyyymm</t>
        </is>
      </c>
      <c r="B2" s="17" t="inlineStr">
        <is>
          <t>entity</t>
        </is>
      </c>
      <c r="C2" s="17" t="inlineStr">
        <is>
          <t>category</t>
        </is>
      </c>
      <c r="D2" s="17" t="inlineStr">
        <is>
          <t>subcategory</t>
        </is>
      </c>
      <c r="E2" s="17" t="inlineStr">
        <is>
          <t>supplier_code</t>
        </is>
      </c>
      <c r="F2" s="17" t="inlineStr">
        <is>
          <t>detail</t>
        </is>
      </c>
      <c r="G2" s="17" t="inlineStr">
        <is>
          <t>amount_original</t>
        </is>
      </c>
      <c r="H2" s="17" t="inlineStr">
        <is>
          <t>currency_original</t>
        </is>
      </c>
      <c r="I2" s="17" t="inlineStr">
        <is>
          <t>reporting_currency</t>
        </is>
      </c>
      <c r="J2" s="17" t="inlineStr">
        <is>
          <t>fx_rate</t>
        </is>
      </c>
      <c r="K2" s="17" t="inlineStr">
        <is>
          <t>amount_reporting</t>
        </is>
      </c>
      <c r="L2" s="17" t="inlineStr">
        <is>
          <t>source</t>
        </is>
      </c>
      <c r="M2" s="17" t="inlineStr">
        <is>
          <t>invoice_number</t>
        </is>
      </c>
      <c r="N2" s="17" t="inlineStr">
        <is>
          <t>drive_url</t>
        </is>
      </c>
    </row>
    <row r="3" ht="12" customHeight="1">
      <c r="A3" t="inlineStr">
        <is>
          <t>202701</t>
        </is>
      </c>
      <c r="B3" t="inlineStr">
        <is>
          <t>LTD</t>
        </is>
      </c>
      <c r="C3" t="inlineStr">
        <is>
          <t>opex</t>
        </is>
      </c>
      <c r="D3" t="inlineStr">
        <is>
          <t>administration</t>
        </is>
      </c>
      <c r="E3" t="inlineStr">
        <is>
          <t>YOURACCOUNTSTAXES</t>
        </is>
      </c>
      <c r="F3" t="inlineStr">
        <is>
          <t>invoice</t>
        </is>
      </c>
      <c r="G3" s="4" t="n">
        <v>55</v>
      </c>
      <c r="H3" t="inlineStr">
        <is>
          <t>GBP</t>
        </is>
      </c>
      <c r="I3" t="inlineStr">
        <is>
          <t>GBP</t>
        </is>
      </c>
      <c r="J3" s="18" t="n">
        <v>1</v>
      </c>
      <c r="K3" s="4" t="n">
        <v>55</v>
      </c>
      <c r="L3" t="inlineStr">
        <is>
          <t>documents</t>
        </is>
      </c>
      <c r="M3" s="19" t="inlineStr">
        <is>
          <t>INV-0681_PERIODIFICADA_12_12</t>
        </is>
      </c>
      <c r="N3" t="inlineStr">
        <is>
          <t>https://drive.google.com/file/d/1OHftZDVQsfubhNFSoSD7IPplIl-waEKz/view?usp=drivesdk</t>
        </is>
      </c>
    </row>
  </sheetData>
  <hyperlinks>
    <hyperlink ref="A1" location="'P&amp;G-LTD'!A1" display="&lt;- Volver a P&amp;G-LTD"/>
    <hyperlink xmlns:r="http://schemas.openxmlformats.org/officeDocument/2006/relationships" ref="M3" r:id="rId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  <col width="17" customWidth="1" min="4" max="4"/>
    <col width="19" customWidth="1" min="5" max="5"/>
    <col width="20" customWidth="1" min="6" max="6"/>
    <col width="14" customWidth="1" min="7" max="7"/>
    <col width="18" customWidth="1" min="8" max="8"/>
    <col width="14" customWidth="1" min="9" max="9"/>
  </cols>
  <sheetData>
    <row r="1" ht="12" customHeight="1">
      <c r="A1" s="16" t="inlineStr">
        <is>
          <t>&lt;- Volver a P&amp;G-LTD</t>
        </is>
      </c>
    </row>
    <row r="2" ht="12" customHeight="1">
      <c r="A2" s="17" t="inlineStr">
        <is>
          <t>yyyymm</t>
        </is>
      </c>
      <c r="B2" s="17" t="inlineStr">
        <is>
          <t>entity</t>
        </is>
      </c>
      <c r="C2" s="17" t="inlineStr">
        <is>
          <t>supplier_code</t>
        </is>
      </c>
      <c r="D2" s="17" t="inlineStr">
        <is>
          <t>amount_original</t>
        </is>
      </c>
      <c r="E2" s="17" t="inlineStr">
        <is>
          <t>currency_original</t>
        </is>
      </c>
      <c r="F2" s="17" t="inlineStr">
        <is>
          <t>reporting_currency</t>
        </is>
      </c>
      <c r="G2" s="17" t="inlineStr">
        <is>
          <t>fx_rate</t>
        </is>
      </c>
      <c r="H2" s="17" t="inlineStr">
        <is>
          <t>amount_reporting</t>
        </is>
      </c>
      <c r="I2" s="17" t="inlineStr">
        <is>
          <t>source</t>
        </is>
      </c>
    </row>
  </sheetData>
  <hyperlinks>
    <hyperlink ref="A1" location="'P&amp;G-LTD'!A1" display="&lt;- Volver a P&amp;G-LTD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9" customWidth="1" min="3" max="3"/>
    <col width="20" customWidth="1" min="4" max="4"/>
    <col width="16" customWidth="1" min="5" max="5"/>
    <col width="14" customWidth="1" min="6" max="6"/>
    <col width="14" customWidth="1" min="7" max="7"/>
  </cols>
  <sheetData>
    <row r="1" ht="12" customHeight="1">
      <c r="A1" s="16" t="inlineStr">
        <is>
          <t>&lt;- Volver a P&amp;G-LTD</t>
        </is>
      </c>
    </row>
    <row r="2" ht="12" customHeight="1">
      <c r="A2" s="17" t="inlineStr">
        <is>
          <t>yyyymm</t>
        </is>
      </c>
      <c r="B2" s="17" t="inlineStr">
        <is>
          <t>rate_date</t>
        </is>
      </c>
      <c r="C2" s="17" t="inlineStr">
        <is>
          <t>currency_original</t>
        </is>
      </c>
      <c r="D2" s="17" t="inlineStr">
        <is>
          <t>reporting_currency</t>
        </is>
      </c>
      <c r="E2" s="17" t="inlineStr">
        <is>
          <t>reference_rate</t>
        </is>
      </c>
      <c r="F2" s="17" t="inlineStr">
        <is>
          <t>fx_rate</t>
        </is>
      </c>
      <c r="G2" s="17" t="inlineStr">
        <is>
          <t>source</t>
        </is>
      </c>
    </row>
    <row r="3" ht="12" customHeight="1">
      <c r="A3" t="inlineStr">
        <is>
          <t>202701</t>
        </is>
      </c>
      <c r="B3" t="inlineStr">
        <is>
          <t>2027-01-01</t>
        </is>
      </c>
      <c r="C3" t="inlineStr">
        <is>
          <t>GBP</t>
        </is>
      </c>
      <c r="D3" t="inlineStr">
        <is>
          <t>GBP</t>
        </is>
      </c>
      <c r="E3" s="18" t="n">
        <v>1</v>
      </c>
      <c r="F3" s="18" t="n">
        <v>1</v>
      </c>
      <c r="G3" t="inlineStr">
        <is>
          <t>identity</t>
        </is>
      </c>
    </row>
  </sheetData>
  <hyperlinks>
    <hyperlink ref="A1" location="'P&amp;G-LTD'!A1" display="&lt;- Volver a P&amp;G-LTD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6" customWidth="1" min="3" max="3"/>
    <col width="18" customWidth="1" min="4" max="4"/>
    <col width="14" customWidth="1" min="5" max="5"/>
  </cols>
  <sheetData>
    <row r="1" ht="12" customHeight="1">
      <c r="A1" s="16" t="inlineStr">
        <is>
          <t>&lt;- Volver a P&amp;G-LTD</t>
        </is>
      </c>
    </row>
    <row r="2" ht="12" customHeight="1">
      <c r="A2" s="17" t="inlineStr">
        <is>
          <t>supplier_code</t>
        </is>
      </c>
      <c r="B2" s="17" t="inlineStr">
        <is>
          <t>supplier_name</t>
        </is>
      </c>
      <c r="C2" s="17" t="inlineStr">
        <is>
          <t>current_folder</t>
        </is>
      </c>
      <c r="D2" s="17" t="inlineStr">
        <is>
          <t>destination_path</t>
        </is>
      </c>
      <c r="E2" s="17" t="inlineStr">
        <is>
          <t>notes</t>
        </is>
      </c>
    </row>
    <row r="3" ht="12" customHeight="1">
      <c r="A3" t="inlineStr">
        <is>
          <t>ARTLINK</t>
        </is>
      </c>
      <c r="B3" t="inlineStr">
        <is>
          <t>ARTLINK</t>
        </is>
      </c>
      <c r="C3" t="inlineStr">
        <is>
          <t>Artlink</t>
        </is>
      </c>
      <c r="D3" t="inlineStr">
        <is>
          <t>expenses/cogs/manufacturing</t>
        </is>
      </c>
      <c r="E3" t="inlineStr">
        <is>
          <t>Frame purchases and related freight are treated as manufacturing</t>
        </is>
      </c>
    </row>
    <row r="4" ht="12" customHeight="1">
      <c r="A4" t="inlineStr">
        <is>
          <t>PORTCLEARANCE</t>
        </is>
      </c>
      <c r="B4" t="inlineStr">
        <is>
          <t>PORTCLEARANCE</t>
        </is>
      </c>
      <c r="C4" t="inlineStr">
        <is>
          <t>port clearence</t>
        </is>
      </c>
      <c r="D4" t="inlineStr">
        <is>
          <t>expenses/cogs/manufacturing</t>
        </is>
      </c>
      <c r="E4" t="inlineStr">
        <is>
          <t>Import customs and clearance for frame purchases</t>
        </is>
      </c>
    </row>
    <row r="5" ht="12" customHeight="1">
      <c r="A5" t="inlineStr">
        <is>
          <t>JONDO</t>
        </is>
      </c>
      <c r="B5" t="inlineStr">
        <is>
          <t>JONDO</t>
        </is>
      </c>
      <c r="C5" t="inlineStr">
        <is>
          <t>202602_jondogo</t>
        </is>
      </c>
      <c r="D5" t="inlineStr">
        <is>
          <t>expenses/cogs/manufacturing-logistics</t>
        </is>
      </c>
      <c r="E5" t="inlineStr"/>
    </row>
    <row r="6" ht="12" customHeight="1">
      <c r="A6" t="inlineStr">
        <is>
          <t>PROCO</t>
        </is>
      </c>
      <c r="B6" t="inlineStr">
        <is>
          <t>PROCO</t>
        </is>
      </c>
      <c r="C6" t="inlineStr">
        <is>
          <t>Proco</t>
        </is>
      </c>
      <c r="D6" t="inlineStr">
        <is>
          <t>expenses/cogs/manufacturing-logistics</t>
        </is>
      </c>
      <c r="E6" t="inlineStr">
        <is>
          <t>Trading name PROCO</t>
        </is>
      </c>
    </row>
    <row r="7" ht="12" customHeight="1">
      <c r="A7" t="inlineStr">
        <is>
          <t>YOURACCOUNTSTAXES</t>
        </is>
      </c>
      <c r="B7" t="inlineStr">
        <is>
          <t>YOURACCOUNTSTAXES</t>
        </is>
      </c>
      <c r="C7" t="inlineStr">
        <is>
          <t>Your Accounts and Taxes</t>
        </is>
      </c>
      <c r="D7" t="inlineStr">
        <is>
          <t>expenses/opex/administration</t>
        </is>
      </c>
      <c r="E7" t="inlineStr">
        <is>
          <t>UK accountancy and tax services</t>
        </is>
      </c>
    </row>
    <row r="8" ht="12" customHeight="1">
      <c r="A8" t="inlineStr">
        <is>
          <t>SHAREDSERVICESSL</t>
        </is>
      </c>
      <c r="B8" t="inlineStr">
        <is>
          <t>SHAREDSERVICESSL</t>
        </is>
      </c>
      <c r="C8" t="inlineStr">
        <is>
          <t>Shared Services</t>
        </is>
      </c>
      <c r="D8" t="inlineStr">
        <is>
          <t>expenses/opex/shared-services</t>
        </is>
      </c>
      <c r="E8" t="inlineStr">
        <is>
          <t>Intercompany</t>
        </is>
      </c>
    </row>
    <row r="9" ht="12" customHeight="1">
      <c r="A9" t="inlineStr">
        <is>
          <t>REVER</t>
        </is>
      </c>
      <c r="B9" t="inlineStr">
        <is>
          <t>REVER</t>
        </is>
      </c>
      <c r="C9" t="inlineStr">
        <is>
          <t>REVER</t>
        </is>
      </c>
      <c r="D9" t="inlineStr">
        <is>
          <t>expenses/opex/technology</t>
        </is>
      </c>
      <c r="E9" t="inlineStr"/>
    </row>
  </sheetData>
  <hyperlinks>
    <hyperlink ref="A1" location="'P&amp;G-LTD'!A1" display="&lt;- Volver a P&amp;G-LTD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30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0" customWidth="1" min="2" max="2"/>
    <col width="24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</cols>
  <sheetData>
    <row r="1" ht="1" customHeight="1">
      <c r="A1" s="1" t="n"/>
      <c r="B1" s="1" t="n"/>
      <c r="C1" s="1" t="n"/>
      <c r="D1" s="1" t="inlineStr">
        <is>
          <t>202701</t>
        </is>
      </c>
      <c r="E1" s="1" t="inlineStr">
        <is>
          <t>202702</t>
        </is>
      </c>
      <c r="F1" s="1" t="inlineStr">
        <is>
          <t>202703</t>
        </is>
      </c>
      <c r="G1" s="1" t="inlineStr">
        <is>
          <t>202704</t>
        </is>
      </c>
      <c r="H1" s="1" t="inlineStr">
        <is>
          <t>202705</t>
        </is>
      </c>
      <c r="I1" s="1" t="inlineStr">
        <is>
          <t>202706</t>
        </is>
      </c>
      <c r="J1" s="1" t="inlineStr">
        <is>
          <t>202707</t>
        </is>
      </c>
      <c r="K1" s="1" t="inlineStr">
        <is>
          <t>202708</t>
        </is>
      </c>
      <c r="L1" s="1" t="inlineStr">
        <is>
          <t>202709</t>
        </is>
      </c>
      <c r="M1" s="1" t="inlineStr">
        <is>
          <t>202710</t>
        </is>
      </c>
      <c r="N1" s="1" t="inlineStr">
        <is>
          <t>202711</t>
        </is>
      </c>
      <c r="O1" s="1" t="inlineStr">
        <is>
          <t>202712</t>
        </is>
      </c>
      <c r="P1" s="1" t="inlineStr">
        <is>
          <t>TOTAL</t>
        </is>
      </c>
    </row>
    <row r="2" ht="12" customHeight="1">
      <c r="A2" s="20" t="inlineStr">
        <is>
          <t>Nº Facturas LTD 2027</t>
        </is>
      </c>
      <c r="B2" s="1" t="n"/>
      <c r="C2" s="1" t="n"/>
      <c r="D2" s="1" t="inlineStr">
        <is>
          <t>Enero</t>
        </is>
      </c>
      <c r="E2" s="1" t="inlineStr">
        <is>
          <t>Febrero</t>
        </is>
      </c>
      <c r="F2" s="1" t="inlineStr">
        <is>
          <t>Marzo</t>
        </is>
      </c>
      <c r="G2" s="1" t="inlineStr">
        <is>
          <t>Abril</t>
        </is>
      </c>
      <c r="H2" s="1" t="inlineStr">
        <is>
          <t>Mayo</t>
        </is>
      </c>
      <c r="I2" s="1" t="inlineStr">
        <is>
          <t>Junio</t>
        </is>
      </c>
      <c r="J2" s="1" t="inlineStr">
        <is>
          <t>Julio</t>
        </is>
      </c>
      <c r="K2" s="1" t="inlineStr">
        <is>
          <t>Agosto</t>
        </is>
      </c>
      <c r="L2" s="1" t="inlineStr">
        <is>
          <t>Septiembre</t>
        </is>
      </c>
      <c r="M2" s="1" t="inlineStr">
        <is>
          <t>Octubre</t>
        </is>
      </c>
      <c r="N2" s="1" t="inlineStr">
        <is>
          <t>Noviembre</t>
        </is>
      </c>
      <c r="O2" s="1" t="inlineStr">
        <is>
          <t>Diciembre</t>
        </is>
      </c>
      <c r="P2" s="1" t="inlineStr">
        <is>
          <t>Total</t>
        </is>
      </c>
    </row>
    <row r="4" ht="12" customHeight="1">
      <c r="A4" s="21" t="inlineStr">
        <is>
          <t>Turnover</t>
        </is>
      </c>
      <c r="B4" s="22" t="n"/>
      <c r="C4" s="22" t="n"/>
      <c r="D4" s="22" t="n">
        <v>0</v>
      </c>
      <c r="E4" s="22" t="n">
        <v>0</v>
      </c>
      <c r="F4" s="22" t="n">
        <v>0</v>
      </c>
      <c r="G4" s="22" t="n">
        <v>0</v>
      </c>
      <c r="H4" s="22" t="n">
        <v>0</v>
      </c>
      <c r="I4" s="22" t="n">
        <v>0</v>
      </c>
      <c r="J4" s="22" t="n">
        <v>0</v>
      </c>
      <c r="K4" s="22" t="n">
        <v>0</v>
      </c>
      <c r="L4" s="22" t="n">
        <v>0</v>
      </c>
      <c r="M4" s="22" t="n">
        <v>0</v>
      </c>
      <c r="N4" s="22" t="n">
        <v>0</v>
      </c>
      <c r="O4" s="22" t="n">
        <v>0</v>
      </c>
      <c r="P4" s="22" t="n">
        <v>0</v>
      </c>
      <c r="Q4" s="22" t="n"/>
    </row>
    <row r="5" ht="12" customHeight="1">
      <c r="A5" s="23" t="n"/>
      <c r="B5" s="24" t="inlineStr">
        <is>
          <t>Product sales</t>
        </is>
      </c>
      <c r="C5" s="23" t="n"/>
      <c r="D5" s="23" t="n">
        <v>0</v>
      </c>
      <c r="E5" s="23" t="n">
        <v>0</v>
      </c>
      <c r="F5" s="23" t="n">
        <v>0</v>
      </c>
      <c r="G5" s="23" t="n">
        <v>0</v>
      </c>
      <c r="H5" s="23" t="n">
        <v>0</v>
      </c>
      <c r="I5" s="23" t="n">
        <v>0</v>
      </c>
      <c r="J5" s="23" t="n">
        <v>0</v>
      </c>
      <c r="K5" s="23" t="n">
        <v>0</v>
      </c>
      <c r="L5" s="23" t="n">
        <v>0</v>
      </c>
      <c r="M5" s="23" t="n">
        <v>0</v>
      </c>
      <c r="N5" s="23" t="n">
        <v>0</v>
      </c>
      <c r="O5" s="23" t="n">
        <v>0</v>
      </c>
      <c r="P5" s="23" t="n">
        <v>0</v>
      </c>
      <c r="Q5" s="23" t="n"/>
    </row>
    <row r="6" ht="12" customHeight="1">
      <c r="A6" s="25" t="n"/>
      <c r="B6" s="25" t="n"/>
      <c r="C6" s="9" t="inlineStr">
        <is>
          <t>Shopify</t>
        </is>
      </c>
      <c r="D6" s="25" t="n">
        <v>0</v>
      </c>
      <c r="E6" s="25" t="n">
        <v>0</v>
      </c>
      <c r="F6" s="25" t="n">
        <v>0</v>
      </c>
      <c r="G6" s="25" t="n">
        <v>0</v>
      </c>
      <c r="H6" s="25" t="n">
        <v>0</v>
      </c>
      <c r="I6" s="25" t="n">
        <v>0</v>
      </c>
      <c r="J6" s="25" t="n">
        <v>0</v>
      </c>
      <c r="K6" s="25" t="n">
        <v>0</v>
      </c>
      <c r="L6" s="25" t="n">
        <v>0</v>
      </c>
      <c r="M6" s="25" t="n">
        <v>0</v>
      </c>
      <c r="N6" s="25" t="n">
        <v>0</v>
      </c>
      <c r="O6" s="25" t="n">
        <v>0</v>
      </c>
      <c r="P6" s="25" t="n">
        <v>0</v>
      </c>
      <c r="Q6" s="25" t="n"/>
    </row>
    <row r="7" ht="12" customHeight="1">
      <c r="C7" t="inlineStr">
        <is>
          <t>GB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 ht="12" customHeight="1">
      <c r="A8" s="25" t="n"/>
      <c r="B8" s="9" t="inlineStr">
        <is>
          <t>Otros ingresos</t>
        </is>
      </c>
      <c r="C8" s="25" t="n"/>
      <c r="D8" s="25" t="n">
        <v>0</v>
      </c>
      <c r="E8" s="25" t="n">
        <v>0</v>
      </c>
      <c r="F8" s="25" t="n">
        <v>0</v>
      </c>
      <c r="G8" s="25" t="n">
        <v>0</v>
      </c>
      <c r="H8" s="25" t="n">
        <v>0</v>
      </c>
      <c r="I8" s="25" t="n">
        <v>0</v>
      </c>
      <c r="J8" s="25" t="n">
        <v>0</v>
      </c>
      <c r="K8" s="25" t="n">
        <v>0</v>
      </c>
      <c r="L8" s="25" t="n">
        <v>0</v>
      </c>
      <c r="M8" s="25" t="n">
        <v>0</v>
      </c>
      <c r="N8" s="25" t="n">
        <v>0</v>
      </c>
      <c r="O8" s="25" t="n">
        <v>0</v>
      </c>
      <c r="P8" s="25" t="n">
        <v>0</v>
      </c>
      <c r="Q8" s="25" t="n"/>
    </row>
    <row r="9" ht="12" customHeight="1"/>
    <row r="10" ht="12" customHeight="1">
      <c r="A10" s="21" t="inlineStr">
        <is>
          <t>Expenses</t>
        </is>
      </c>
      <c r="B10" s="22" t="n"/>
      <c r="C10" s="22" t="n"/>
      <c r="D10" s="22" t="n">
        <v>1</v>
      </c>
      <c r="E10" s="22" t="n">
        <v>0</v>
      </c>
      <c r="F10" s="22" t="n">
        <v>0</v>
      </c>
      <c r="G10" s="22" t="n">
        <v>0</v>
      </c>
      <c r="H10" s="22" t="n">
        <v>0</v>
      </c>
      <c r="I10" s="22" t="n">
        <v>0</v>
      </c>
      <c r="J10" s="22" t="n">
        <v>0</v>
      </c>
      <c r="K10" s="22" t="n">
        <v>0</v>
      </c>
      <c r="L10" s="22" t="n">
        <v>0</v>
      </c>
      <c r="M10" s="22" t="n">
        <v>0</v>
      </c>
      <c r="N10" s="22" t="n">
        <v>0</v>
      </c>
      <c r="O10" s="22" t="n">
        <v>0</v>
      </c>
      <c r="P10" s="22" t="n">
        <v>1</v>
      </c>
      <c r="Q10" s="22" t="n"/>
    </row>
    <row r="11" ht="12" customHeight="1">
      <c r="A11" s="23" t="n"/>
      <c r="B11" s="24" t="inlineStr">
        <is>
          <t>COGS</t>
        </is>
      </c>
      <c r="C11" s="23" t="n"/>
      <c r="D11" s="23" t="n">
        <v>0</v>
      </c>
      <c r="E11" s="23" t="n">
        <v>0</v>
      </c>
      <c r="F11" s="23" t="n">
        <v>0</v>
      </c>
      <c r="G11" s="23" t="n">
        <v>0</v>
      </c>
      <c r="H11" s="23" t="n">
        <v>0</v>
      </c>
      <c r="I11" s="23" t="n">
        <v>0</v>
      </c>
      <c r="J11" s="23" t="n">
        <v>0</v>
      </c>
      <c r="K11" s="23" t="n">
        <v>0</v>
      </c>
      <c r="L11" s="23" t="n">
        <v>0</v>
      </c>
      <c r="M11" s="23" t="n">
        <v>0</v>
      </c>
      <c r="N11" s="23" t="n">
        <v>0</v>
      </c>
      <c r="O11" s="23" t="n">
        <v>0</v>
      </c>
      <c r="P11" s="23" t="n">
        <v>0</v>
      </c>
      <c r="Q11" s="23" t="n"/>
    </row>
    <row r="12" ht="12" customHeight="1">
      <c r="A12" s="25" t="n"/>
      <c r="B12" s="25" t="n"/>
      <c r="C12" s="9" t="inlineStr">
        <is>
          <t>Manufacturing</t>
        </is>
      </c>
      <c r="D12" s="25" t="n">
        <v>0</v>
      </c>
      <c r="E12" s="25" t="n">
        <v>0</v>
      </c>
      <c r="F12" s="25" t="n">
        <v>0</v>
      </c>
      <c r="G12" s="25" t="n">
        <v>0</v>
      </c>
      <c r="H12" s="25" t="n">
        <v>0</v>
      </c>
      <c r="I12" s="25" t="n">
        <v>0</v>
      </c>
      <c r="J12" s="25" t="n">
        <v>0</v>
      </c>
      <c r="K12" s="25" t="n">
        <v>0</v>
      </c>
      <c r="L12" s="25" t="n">
        <v>0</v>
      </c>
      <c r="M12" s="25" t="n">
        <v>0</v>
      </c>
      <c r="N12" s="25" t="n">
        <v>0</v>
      </c>
      <c r="O12" s="25" t="n">
        <v>0</v>
      </c>
      <c r="P12" s="25" t="n">
        <v>0</v>
      </c>
      <c r="Q12" s="25" t="n"/>
    </row>
    <row r="13" ht="12" customHeight="1">
      <c r="C13" t="inlineStr">
        <is>
          <t>ARTLINK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 ht="12" customHeight="1">
      <c r="C14" t="inlineStr">
        <is>
          <t>JONDO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 ht="12" customHeight="1">
      <c r="C15" t="inlineStr">
        <is>
          <t>PROCO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 ht="12" customHeight="1">
      <c r="A16" s="25" t="n"/>
      <c r="B16" s="25" t="n"/>
      <c r="C16" s="9" t="inlineStr">
        <is>
          <t>Logistics</t>
        </is>
      </c>
      <c r="D16" s="25" t="n">
        <v>0</v>
      </c>
      <c r="E16" s="25" t="n">
        <v>0</v>
      </c>
      <c r="F16" s="25" t="n">
        <v>0</v>
      </c>
      <c r="G16" s="25" t="n">
        <v>0</v>
      </c>
      <c r="H16" s="25" t="n">
        <v>0</v>
      </c>
      <c r="I16" s="25" t="n">
        <v>0</v>
      </c>
      <c r="J16" s="25" t="n">
        <v>0</v>
      </c>
      <c r="K16" s="25" t="n">
        <v>0</v>
      </c>
      <c r="L16" s="25" t="n">
        <v>0</v>
      </c>
      <c r="M16" s="25" t="n">
        <v>0</v>
      </c>
      <c r="N16" s="25" t="n">
        <v>0</v>
      </c>
      <c r="O16" s="25" t="n">
        <v>0</v>
      </c>
      <c r="P16" s="25" t="n">
        <v>0</v>
      </c>
      <c r="Q16" s="25" t="n"/>
    </row>
    <row r="17" ht="12" customHeight="1">
      <c r="C17" t="inlineStr">
        <is>
          <t>PROCO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 ht="12" customHeight="1">
      <c r="C18" t="inlineStr">
        <is>
          <t>PORTCLEARANCE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 ht="12" customHeight="1">
      <c r="A19" s="25" t="n"/>
      <c r="B19" s="25" t="n"/>
      <c r="C19" s="9" t="inlineStr">
        <is>
          <t>Payment fees</t>
        </is>
      </c>
      <c r="D19" s="25" t="n">
        <v>0</v>
      </c>
      <c r="E19" s="25" t="n">
        <v>0</v>
      </c>
      <c r="F19" s="25" t="n">
        <v>0</v>
      </c>
      <c r="G19" s="25" t="n">
        <v>0</v>
      </c>
      <c r="H19" s="25" t="n">
        <v>0</v>
      </c>
      <c r="I19" s="25" t="n">
        <v>0</v>
      </c>
      <c r="J19" s="25" t="n">
        <v>0</v>
      </c>
      <c r="K19" s="25" t="n">
        <v>0</v>
      </c>
      <c r="L19" s="25" t="n">
        <v>0</v>
      </c>
      <c r="M19" s="25" t="n">
        <v>0</v>
      </c>
      <c r="N19" s="25" t="n">
        <v>0</v>
      </c>
      <c r="O19" s="25" t="n">
        <v>0</v>
      </c>
      <c r="P19" s="25" t="n">
        <v>0</v>
      </c>
      <c r="Q19" s="25" t="n"/>
    </row>
    <row r="20" ht="12" customHeight="1">
      <c r="C20" t="inlineStr">
        <is>
          <t>SHOPIFY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 ht="12" customHeight="1"/>
    <row r="22" ht="12" customHeight="1">
      <c r="A22" s="23" t="n"/>
      <c r="B22" s="24" t="inlineStr">
        <is>
          <t>Opex</t>
        </is>
      </c>
      <c r="C22" s="23" t="n"/>
      <c r="D22" s="23" t="n">
        <v>1</v>
      </c>
      <c r="E22" s="23" t="n">
        <v>0</v>
      </c>
      <c r="F22" s="23" t="n">
        <v>0</v>
      </c>
      <c r="G22" s="23" t="n">
        <v>0</v>
      </c>
      <c r="H22" s="23" t="n">
        <v>0</v>
      </c>
      <c r="I22" s="23" t="n">
        <v>0</v>
      </c>
      <c r="J22" s="23" t="n">
        <v>0</v>
      </c>
      <c r="K22" s="23" t="n">
        <v>0</v>
      </c>
      <c r="L22" s="23" t="n">
        <v>0</v>
      </c>
      <c r="M22" s="23" t="n">
        <v>0</v>
      </c>
      <c r="N22" s="23" t="n">
        <v>0</v>
      </c>
      <c r="O22" s="23" t="n">
        <v>0</v>
      </c>
      <c r="P22" s="23" t="n">
        <v>1</v>
      </c>
      <c r="Q22" s="23" t="n"/>
    </row>
    <row r="23" ht="12" customHeight="1">
      <c r="A23" s="25" t="n"/>
      <c r="B23" s="25" t="n"/>
      <c r="C23" s="9" t="inlineStr">
        <is>
          <t>Shared services</t>
        </is>
      </c>
      <c r="D23" s="25" t="n">
        <v>0</v>
      </c>
      <c r="E23" s="25" t="n">
        <v>0</v>
      </c>
      <c r="F23" s="25" t="n">
        <v>0</v>
      </c>
      <c r="G23" s="25" t="n">
        <v>0</v>
      </c>
      <c r="H23" s="25" t="n">
        <v>0</v>
      </c>
      <c r="I23" s="25" t="n">
        <v>0</v>
      </c>
      <c r="J23" s="25" t="n">
        <v>0</v>
      </c>
      <c r="K23" s="25" t="n">
        <v>0</v>
      </c>
      <c r="L23" s="25" t="n">
        <v>0</v>
      </c>
      <c r="M23" s="25" t="n">
        <v>0</v>
      </c>
      <c r="N23" s="25" t="n">
        <v>0</v>
      </c>
      <c r="O23" s="25" t="n">
        <v>0</v>
      </c>
      <c r="P23" s="25" t="n">
        <v>0</v>
      </c>
      <c r="Q23" s="25" t="n"/>
    </row>
    <row r="24" ht="12" customHeight="1">
      <c r="C24" t="inlineStr">
        <is>
          <t>SHAREDSERVICESSL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 ht="12" customHeight="1">
      <c r="A25" s="25" t="n"/>
      <c r="B25" s="25" t="n"/>
      <c r="C25" s="9" t="inlineStr">
        <is>
          <t>Administration</t>
        </is>
      </c>
      <c r="D25" s="25" t="n">
        <v>1</v>
      </c>
      <c r="E25" s="25" t="n">
        <v>0</v>
      </c>
      <c r="F25" s="25" t="n">
        <v>0</v>
      </c>
      <c r="G25" s="25" t="n">
        <v>0</v>
      </c>
      <c r="H25" s="25" t="n">
        <v>0</v>
      </c>
      <c r="I25" s="25" t="n">
        <v>0</v>
      </c>
      <c r="J25" s="25" t="n">
        <v>0</v>
      </c>
      <c r="K25" s="25" t="n">
        <v>0</v>
      </c>
      <c r="L25" s="25" t="n">
        <v>0</v>
      </c>
      <c r="M25" s="25" t="n">
        <v>0</v>
      </c>
      <c r="N25" s="25" t="n">
        <v>0</v>
      </c>
      <c r="O25" s="25" t="n">
        <v>0</v>
      </c>
      <c r="P25" s="25" t="n">
        <v>1</v>
      </c>
      <c r="Q25" s="25" t="n"/>
    </row>
    <row r="26" ht="12" customHeight="1">
      <c r="C26" t="inlineStr">
        <is>
          <t>YOURACCOUNTSTAXES</t>
        </is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</v>
      </c>
    </row>
    <row r="27" ht="12" customHeight="1">
      <c r="A27" s="25" t="n"/>
      <c r="B27" s="25" t="n"/>
      <c r="C27" s="9" t="inlineStr">
        <is>
          <t>Technology</t>
        </is>
      </c>
      <c r="D27" s="25" t="n">
        <v>0</v>
      </c>
      <c r="E27" s="25" t="n">
        <v>0</v>
      </c>
      <c r="F27" s="25" t="n">
        <v>0</v>
      </c>
      <c r="G27" s="25" t="n">
        <v>0</v>
      </c>
      <c r="H27" s="25" t="n">
        <v>0</v>
      </c>
      <c r="I27" s="25" t="n">
        <v>0</v>
      </c>
      <c r="J27" s="25" t="n">
        <v>0</v>
      </c>
      <c r="K27" s="25" t="n">
        <v>0</v>
      </c>
      <c r="L27" s="25" t="n">
        <v>0</v>
      </c>
      <c r="M27" s="25" t="n">
        <v>0</v>
      </c>
      <c r="N27" s="25" t="n">
        <v>0</v>
      </c>
      <c r="O27" s="25" t="n">
        <v>0</v>
      </c>
      <c r="P27" s="25" t="n">
        <v>0</v>
      </c>
      <c r="Q27" s="25" t="n"/>
    </row>
    <row r="28" ht="12" customHeight="1">
      <c r="C28" t="inlineStr">
        <is>
          <t>REVER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 ht="12" customHeight="1">
      <c r="A29" s="25" t="n"/>
      <c r="B29" s="25" t="n"/>
      <c r="C29" s="9" t="inlineStr">
        <is>
          <t>Otros gastos</t>
        </is>
      </c>
      <c r="D29" s="25" t="n">
        <v>0</v>
      </c>
      <c r="E29" s="25" t="n">
        <v>0</v>
      </c>
      <c r="F29" s="25" t="n">
        <v>0</v>
      </c>
      <c r="G29" s="25" t="n">
        <v>0</v>
      </c>
      <c r="H29" s="25" t="n">
        <v>0</v>
      </c>
      <c r="I29" s="25" t="n">
        <v>0</v>
      </c>
      <c r="J29" s="25" t="n">
        <v>0</v>
      </c>
      <c r="K29" s="25" t="n">
        <v>0</v>
      </c>
      <c r="L29" s="25" t="n">
        <v>0</v>
      </c>
      <c r="M29" s="25" t="n">
        <v>0</v>
      </c>
      <c r="N29" s="25" t="n">
        <v>0</v>
      </c>
      <c r="O29" s="25" t="n">
        <v>0</v>
      </c>
      <c r="P29" s="25" t="n">
        <v>0</v>
      </c>
      <c r="Q29" s="25" t="n"/>
    </row>
    <row r="30" ht="12" customHeight="1">
      <c r="A30" s="25" t="n"/>
      <c r="B30" s="9" t="inlineStr">
        <is>
          <t>Diferencias divisas</t>
        </is>
      </c>
      <c r="C30" s="25" t="n"/>
      <c r="D30" s="25" t="n">
        <v>0</v>
      </c>
      <c r="E30" s="25" t="n">
        <v>0</v>
      </c>
      <c r="F30" s="25" t="n">
        <v>0</v>
      </c>
      <c r="G30" s="25" t="n">
        <v>0</v>
      </c>
      <c r="H30" s="25" t="n">
        <v>0</v>
      </c>
      <c r="I30" s="25" t="n">
        <v>0</v>
      </c>
      <c r="J30" s="25" t="n">
        <v>0</v>
      </c>
      <c r="K30" s="25" t="n">
        <v>0</v>
      </c>
      <c r="L30" s="25" t="n">
        <v>0</v>
      </c>
      <c r="M30" s="25" t="n">
        <v>0</v>
      </c>
      <c r="N30" s="25" t="n">
        <v>0</v>
      </c>
      <c r="O30" s="25" t="n">
        <v>0</v>
      </c>
      <c r="P30" s="25" t="n">
        <v>0</v>
      </c>
      <c r="Q30" s="25" t="n"/>
    </row>
  </sheetData>
  <mergeCells count="1"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2026-03-30T15:09:50Z</dcterms:created>
  <dcterms:modified xsi:type="dcterms:W3CDTF">2026-03-30T15:09:50Z</dcterms:modified>
</cp:coreProperties>
</file>