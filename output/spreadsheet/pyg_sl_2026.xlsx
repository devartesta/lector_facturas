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G-SL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i-shopify-sl" sheetId="3" state="visible" r:id="rId3"/>
    <sheet xmlns:r="http://schemas.openxmlformats.org/officeDocument/2006/relationships" name="i-marketplaces-sl" sheetId="4" state="visible" r:id="rId4"/>
    <sheet xmlns:r="http://schemas.openxmlformats.org/officeDocument/2006/relationships" name="i-rappels-sl" sheetId="5" state="visible" r:id="rId5"/>
    <sheet xmlns:r="http://schemas.openxmlformats.org/officeDocument/2006/relationships" name="i-supplies-sl" sheetId="6" state="visible" r:id="rId6"/>
    <sheet xmlns:r="http://schemas.openxmlformats.org/officeDocument/2006/relationships" name="i-services-sl" sheetId="7" state="visible" r:id="rId7"/>
    <sheet xmlns:r="http://schemas.openxmlformats.org/officeDocument/2006/relationships" name="i-shared-services-sl" sheetId="8" state="visible" r:id="rId8"/>
    <sheet xmlns:r="http://schemas.openxmlformats.org/officeDocument/2006/relationships" name="g-expenses-sl" sheetId="9" state="visible" r:id="rId9"/>
    <sheet xmlns:r="http://schemas.openxmlformats.org/officeDocument/2006/relationships" name="g-payment-fees-sl" sheetId="10" state="visible" r:id="rId10"/>
    <sheet xmlns:r="http://schemas.openxmlformats.org/officeDocument/2006/relationships" name="fx-rates" sheetId="11" state="visible" r:id="rId11"/>
    <sheet xmlns:r="http://schemas.openxmlformats.org/officeDocument/2006/relationships" name="catalog-sl" sheetId="12" state="visible" r:id="rId12"/>
    <sheet xmlns:r="http://schemas.openxmlformats.org/officeDocument/2006/relationships" name="i-royalties-scope-sl" sheetId="13" state="visible" r:id="rId13"/>
    <sheet xmlns:r="http://schemas.openxmlformats.org/officeDocument/2006/relationships" name="Nº Facturas-SL" sheetId="14" state="visible" r:id="rId14"/>
    <sheet xmlns:r="http://schemas.openxmlformats.org/officeDocument/2006/relationships" name="shared-services" sheetId="15" state="visible" r:id="rId15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0000000"/>
    <numFmt numFmtId="166" formatCode="0.0%;[Red](0.0%);-"/>
    <numFmt numFmtId="167" formatCode="0.00;[Red](0.00);-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i val="1"/>
      <color rgb="00666666"/>
      <sz val="8"/>
    </font>
    <font>
      <b val="1"/>
      <color rgb="00666666"/>
      <sz val="9"/>
    </font>
    <font>
      <color rgb="00666666"/>
    </font>
    <font>
      <b val="1"/>
      <color rgb="001F1F1F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  <fill>
      <patternFill patternType="solid">
        <fgColor rgb="00FFAAAA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2">
    <xf numFmtId="0" fontId="0" fillId="0" borderId="0"/>
    <xf numFmtId="0" fontId="12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5" fillId="8" borderId="2" applyAlignment="1" pivotButton="0" quotePrefix="0" xfId="0">
      <alignment horizontal="right" vertical="center"/>
    </xf>
    <xf numFmtId="164" fontId="10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3"/>
    </xf>
    <xf numFmtId="164" fontId="5" fillId="8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4"/>
    </xf>
    <xf numFmtId="164" fontId="8" fillId="0" borderId="0" applyAlignment="1" pivotButton="0" quotePrefix="0" xfId="0">
      <alignment horizontal="right" vertical="center"/>
    </xf>
    <xf numFmtId="164" fontId="8" fillId="8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166" fontId="5" fillId="7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6" fontId="5" fillId="7" borderId="2" applyAlignment="1" pivotButton="0" quotePrefix="0" xfId="0">
      <alignment horizontal="right" vertical="center"/>
    </xf>
    <xf numFmtId="166" fontId="5" fillId="8" borderId="2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2"/>
    </xf>
    <xf numFmtId="0" fontId="4" fillId="7" borderId="0" applyAlignment="1" pivotButton="0" quotePrefix="0" xfId="0">
      <alignment horizontal="left" vertical="center"/>
    </xf>
    <xf numFmtId="167" fontId="5" fillId="7" borderId="0" applyAlignment="1" pivotButton="0" quotePrefix="0" xfId="0">
      <alignment horizontal="right" vertical="center"/>
    </xf>
    <xf numFmtId="167" fontId="5" fillId="8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left" vertical="center"/>
    </xf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2" fillId="0" borderId="0" pivotButton="0" quotePrefix="0" xfId="1"/>
    <xf numFmtId="0" fontId="4" fillId="3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4" fillId="6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0" fillId="9" borderId="0" pivotButton="0" quotePrefix="0" xfId="0"/>
    <xf numFmtId="0" fontId="12" fillId="3" borderId="0" pivotButton="0" quotePrefix="0" xfId="1"/>
    <xf numFmtId="164" fontId="0" fillId="3" borderId="0" pivotButton="0" quotePrefix="0" xfId="0"/>
    <xf numFmtId="164" fontId="0" fillId="5" borderId="0" pivotButton="0" quotePrefix="0" xfId="0"/>
    <xf numFmtId="0" fontId="6" fillId="4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SRHb07OiC_DmTMCjAnZJpaif5amIl7Fl/view?usp=drivesdk" TargetMode="External" Id="rId1"/><Relationship Type="http://schemas.openxmlformats.org/officeDocument/2006/relationships/hyperlink" Target="https://drive.google.com/file/d/1CmAISLBvUVe78NnGfNvevigmLiHzSEsg/view?usp=drivesdk" TargetMode="External" Id="rId2"/><Relationship Type="http://schemas.openxmlformats.org/officeDocument/2006/relationships/hyperlink" Target="https://drive.google.com/file/d/1Caf6SbLhjNsliYTmwyaOj9tn_dQke6Ff/view?usp=drivesdk" TargetMode="External" Id="rId3"/><Relationship Type="http://schemas.openxmlformats.org/officeDocument/2006/relationships/hyperlink" Target="https://drive.google.com/file/d/18nd9g2717srK8fdaeAjNuV-HtW9zUU3A/view?usp=drivesdk" TargetMode="External" Id="rId4"/><Relationship Type="http://schemas.openxmlformats.org/officeDocument/2006/relationships/hyperlink" Target="https://drive.google.com/file/d/1sizgdxMBUT_B7ZP3pPW8o5AjPDT-reZn/view?usp=drivesdk" TargetMode="External" Id="rId5"/><Relationship Type="http://schemas.openxmlformats.org/officeDocument/2006/relationships/hyperlink" Target="https://drive.google.com/file/d/1OOCVQ9WtdMm6CCyphgf3SSGTF_CcdoPR/view?usp=drivesdk" TargetMode="External" Id="rId6"/><Relationship Type="http://schemas.openxmlformats.org/officeDocument/2006/relationships/hyperlink" Target="https://drive.google.com/file/d/1EnDjHW6oQDDuhBGcQU4zAyLzl-V3lLpl/view?usp=drivesdk" TargetMode="External" Id="rId7"/><Relationship Type="http://schemas.openxmlformats.org/officeDocument/2006/relationships/hyperlink" Target="https://drive.google.com/file/d/1Nw1dW-Ij9HiS9A5ea4qV5llrtmiOADvG/view?usp=drivesdk" TargetMode="External" Id="rId8"/><Relationship Type="http://schemas.openxmlformats.org/officeDocument/2006/relationships/hyperlink" Target="https://drive.google.com/file/d/1oigOHZTknCPf32pVarZVN5E6ByEE0fen/view?usp=drivesdk" TargetMode="External" Id="rId9"/><Relationship Type="http://schemas.openxmlformats.org/officeDocument/2006/relationships/hyperlink" Target="https://drive.google.com/file/d/191qw_M7Gw5UX6cagHrAxI52mcUiATx1H/view?usp=drivesdk" TargetMode="External" Id="rId10"/><Relationship Type="http://schemas.openxmlformats.org/officeDocument/2006/relationships/hyperlink" Target="https://drive.google.com/file/d/15hAZDxJMyLbK0z7-VgO0jT8Y0YTuQsmI/view?usp=drivesdk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file/d/1TatcT909r9lQss48nnCsBt5kjo76SoJK/view?usp=drivesdk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file/d/1fcDMocaa4cpTPjITHzeqYj2_zqO3NWYG/view?usp=drivesdk" TargetMode="External" Id="rId1"/><Relationship Type="http://schemas.openxmlformats.org/officeDocument/2006/relationships/hyperlink" Target="https://drive.google.com/file/d/1JrhdQBAxThJrJre0y6m_O_546LXVrueL/view?usp=drivesdk" TargetMode="External" Id="rId2"/><Relationship Type="http://schemas.openxmlformats.org/officeDocument/2006/relationships/hyperlink" Target="https://drive.google.com/file/d/1P7U8R2vW7HJBpC4dFcTfQ6Fl5v7lZf-T/view?usp=drivesdk" TargetMode="External" Id="rId3"/><Relationship Type="http://schemas.openxmlformats.org/officeDocument/2006/relationships/hyperlink" Target="https://drive.google.com/file/d/1baSEebJ4fJMCcK7mR48Bv7AvqlKFFcLB/view?usp=drivesdk" TargetMode="External" Id="rId4"/><Relationship Type="http://schemas.openxmlformats.org/officeDocument/2006/relationships/hyperlink" Target="https://drive.google.com/file/d/10xgyYXbSD9m2Lrut8Cs1i9h4d85XaV--/view?usp=drivesdk" TargetMode="External" Id="rId5"/><Relationship Type="http://schemas.openxmlformats.org/officeDocument/2006/relationships/hyperlink" Target="https://drive.google.com/file/d/12bNvnpTWHdXv_buIxf7ian_Nji5hfgM2/view?usp=drivesdk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hyperlink" Target="https://drive.google.com/file/d/1NSgOhocDqu_GBFUbkAHX1ly92CIuLykN/view?usp=drivesdk" TargetMode="External" Id="rId1"/><Relationship Type="http://schemas.openxmlformats.org/officeDocument/2006/relationships/hyperlink" Target="https://drive.google.com/file/d/1f0y-ak8qjEua6xrzfcweFpWZqOtA8h9C/view?usp=drivesdk" TargetMode="External" Id="rId2"/><Relationship Type="http://schemas.openxmlformats.org/officeDocument/2006/relationships/hyperlink" Target="https://drive.google.com/file/d/1DVbcrKI34TY_XRmPCWYxFfktOzy1Bqmr/view?usp=drivesdk" TargetMode="External" Id="rId3"/><Relationship Type="http://schemas.openxmlformats.org/officeDocument/2006/relationships/hyperlink" Target="https://drive.google.com/file/d/1il-dTsdyMbUZFKcN_lnqoNWLpAFjKN7A/view?usp=drivesdk" TargetMode="External" Id="rId4"/><Relationship Type="http://schemas.openxmlformats.org/officeDocument/2006/relationships/hyperlink" Target="https://drive.google.com/file/d/1rlqcAuJUaWxt0Udjbpq3E6fP_lfRq58_/view?usp=drivesdk" TargetMode="External" Id="rId5"/><Relationship Type="http://schemas.openxmlformats.org/officeDocument/2006/relationships/hyperlink" Target="https://drive.google.com/file/d/1pNRISEZAlDdg2kXsh98mNhDndQFk42mV/view?usp=drivesdk" TargetMode="External" Id="rId6"/><Relationship Type="http://schemas.openxmlformats.org/officeDocument/2006/relationships/hyperlink" Target="https://drive.google.com/file/d/1ZNEswgq6fNRQmQBRT6GcjgdY_sepQuvN/view?usp=drivesdk" TargetMode="External" Id="rId7"/><Relationship Type="http://schemas.openxmlformats.org/officeDocument/2006/relationships/hyperlink" Target="https://drive.google.com/file/d/1m_ONfUFq-mhxCI2SVs0iWw4Ss3ohvEPU/view?usp=drivesdk" TargetMode="External" Id="rId8"/><Relationship Type="http://schemas.openxmlformats.org/officeDocument/2006/relationships/hyperlink" Target="https://drive.google.com/file/d/1HxjVp-Wv6lXooijCdy9-Z79LhGmFJwc2/view?usp=drivesdk" TargetMode="External" Id="rId9"/><Relationship Type="http://schemas.openxmlformats.org/officeDocument/2006/relationships/hyperlink" Target="https://drive.google.com/file/d/1ixVdpnGpB3KUF2QQIt94W1I4J6yD6ybZ/view?usp=drivesdk" TargetMode="External" Id="rId10"/><Relationship Type="http://schemas.openxmlformats.org/officeDocument/2006/relationships/hyperlink" Target="https://drive.google.com/file/d/1KdK-Ik0l5-TAvrDmyV47ighudMtGRrKE/view?usp=drivesdk" TargetMode="External" Id="rId11"/><Relationship Type="http://schemas.openxmlformats.org/officeDocument/2006/relationships/hyperlink" Target="https://drive.google.com/file/d/1cecAxU56GNtGgMfgA6Ftf1gfGiXJDd3S/view?usp=drivesdk" TargetMode="External" Id="rId12"/><Relationship Type="http://schemas.openxmlformats.org/officeDocument/2006/relationships/hyperlink" Target="https://drive.google.com/file/d/1nA8pTTvpT0O76zFAg7QOq9o2784L7_T5/view?usp=drivesdk" TargetMode="External" Id="rId13"/><Relationship Type="http://schemas.openxmlformats.org/officeDocument/2006/relationships/hyperlink" Target="https://drive.google.com/file/d/1kG4iTL7rVDpQrcSDFJA0JzVE0hNuiLKc/view?usp=drivesdk" TargetMode="External" Id="rId14"/><Relationship Type="http://schemas.openxmlformats.org/officeDocument/2006/relationships/hyperlink" Target="https://drive.google.com/file/d/1RnFjAq9AJuCNhFD9gOhfvnUoacBT0EFh/view?usp=drivesdk" TargetMode="External" Id="rId15"/><Relationship Type="http://schemas.openxmlformats.org/officeDocument/2006/relationships/hyperlink" Target="https://drive.google.com/file/d/1ndoIxnRCHpafl83Lsyq-PVVCI1_lzXKu/view?usp=drivesdk" TargetMode="External" Id="rId16"/><Relationship Type="http://schemas.openxmlformats.org/officeDocument/2006/relationships/hyperlink" Target="https://drive.google.com/file/d/13vcEBkqDKaSJerk401zu6MdDFpeCSKic/view?usp=drivesdk" TargetMode="External" Id="rId17"/><Relationship Type="http://schemas.openxmlformats.org/officeDocument/2006/relationships/hyperlink" Target="https://drive.google.com/file/d/1hcUDzCCF5c5McNzLThpb7syxQfm9o0tr/view?usp=drivesdk" TargetMode="External" Id="rId18"/><Relationship Type="http://schemas.openxmlformats.org/officeDocument/2006/relationships/hyperlink" Target="https://drive.google.com/file/d/1bPWdWAtM-_lJN283yYjiuAkSWn4jpPNu/view?usp=drivesdk" TargetMode="External" Id="rId19"/><Relationship Type="http://schemas.openxmlformats.org/officeDocument/2006/relationships/hyperlink" Target="https://drive.google.com/file/d/12EthxatXwUiNej1AC0mO-nrxJnB0sWHC/view?usp=drivesdk" TargetMode="External" Id="rId20"/><Relationship Type="http://schemas.openxmlformats.org/officeDocument/2006/relationships/hyperlink" Target="https://drive.google.com/file/d/1NTTQ0GfYXGRLMjb9JzaVQUreuF5aARGp/view?usp=drivesdk" TargetMode="External" Id="rId21"/><Relationship Type="http://schemas.openxmlformats.org/officeDocument/2006/relationships/hyperlink" Target="https://drive.google.com/file/d/1GTB7C_m8wqI5ZcLtddZ9CbMD79Quoac-/view?usp=drivesdk" TargetMode="External" Id="rId22"/></Relationships>
</file>

<file path=xl/worksheets/_rels/sheet8.xml.rels><Relationships xmlns="http://schemas.openxmlformats.org/package/2006/relationships"><Relationship Type="http://schemas.openxmlformats.org/officeDocument/2006/relationships/hyperlink" Target="https://drive.google.com/file/d/1f0y-ak8qjEua6xrzfcweFpWZqOtA8h9C/view?usp=drivesdk" TargetMode="External" Id="rId1"/><Relationship Type="http://schemas.openxmlformats.org/officeDocument/2006/relationships/hyperlink" Target="https://drive.google.com/file/d/1DVbcrKI34TY_XRmPCWYxFfktOzy1Bqmr/view?usp=drivesdk" TargetMode="External" Id="rId2"/><Relationship Type="http://schemas.openxmlformats.org/officeDocument/2006/relationships/hyperlink" Target="https://drive.google.com/file/d/1rlqcAuJUaWxt0Udjbpq3E6fP_lfRq58_/view?usp=drivesdk" TargetMode="External" Id="rId3"/><Relationship Type="http://schemas.openxmlformats.org/officeDocument/2006/relationships/hyperlink" Target="https://drive.google.com/file/d/1pNRISEZAlDdg2kXsh98mNhDndQFk42mV/view?usp=drivesdk" TargetMode="External" Id="rId4"/><Relationship Type="http://schemas.openxmlformats.org/officeDocument/2006/relationships/hyperlink" Target="https://drive.google.com/file/d/1ixVdpnGpB3KUF2QQIt94W1I4J6yD6ybZ/view?usp=drivesdk" TargetMode="External" Id="rId5"/><Relationship Type="http://schemas.openxmlformats.org/officeDocument/2006/relationships/hyperlink" Target="https://drive.google.com/file/d/1KdK-Ik0l5-TAvrDmyV47ighudMtGRrKE/view?usp=drivesdk" TargetMode="External" Id="rId6"/><Relationship Type="http://schemas.openxmlformats.org/officeDocument/2006/relationships/hyperlink" Target="https://drive.google.com/file/d/1nA8pTTvpT0O76zFAg7QOq9o2784L7_T5/view?usp=drivesdk" TargetMode="External" Id="rId7"/><Relationship Type="http://schemas.openxmlformats.org/officeDocument/2006/relationships/hyperlink" Target="https://drive.google.com/file/d/1kG4iTL7rVDpQrcSDFJA0JzVE0hNuiLKc/view?usp=drivesdk" TargetMode="External" Id="rId8"/><Relationship Type="http://schemas.openxmlformats.org/officeDocument/2006/relationships/hyperlink" Target="https://drive.google.com/file/d/1ndoIxnRCHpafl83Lsyq-PVVCI1_lzXKu/view?usp=drivesdk" TargetMode="External" Id="rId9"/><Relationship Type="http://schemas.openxmlformats.org/officeDocument/2006/relationships/hyperlink" Target="https://drive.google.com/file/d/13vcEBkqDKaSJerk401zu6MdDFpeCSKic/view?usp=drivesdk" TargetMode="External" Id="rId10"/><Relationship Type="http://schemas.openxmlformats.org/officeDocument/2006/relationships/hyperlink" Target="https://drive.google.com/file/d/12EthxatXwUiNej1AC0mO-nrxJnB0sWHC/view?usp=drivesdk" TargetMode="External" Id="rId11"/><Relationship Type="http://schemas.openxmlformats.org/officeDocument/2006/relationships/hyperlink" Target="https://drive.google.com/file/d/1NTTQ0GfYXGRLMjb9JzaVQUreuF5aARGp/view?usp=drivesdk" TargetMode="External" Id="rId12"/></Relationships>
</file>

<file path=xl/worksheets/_rels/sheet9.xml.rels><Relationships xmlns="http://schemas.openxmlformats.org/package/2006/relationships"><Relationship Type="http://schemas.openxmlformats.org/officeDocument/2006/relationships/hyperlink" Target="https://drive.google.com/file/d/1ih8AMHNM7ZQvhfJOhpZ3dpM0Bv3oyAA-/view?usp=drivesdk" TargetMode="External" Id="rId1"/><Relationship Type="http://schemas.openxmlformats.org/officeDocument/2006/relationships/hyperlink" Target="https://drive.google.com/file/d/1nql7QpcMxbeNk-s_Ku_8yFOrf0x8QVss/view?usp=drivesdk" TargetMode="External" Id="rId2"/><Relationship Type="http://schemas.openxmlformats.org/officeDocument/2006/relationships/hyperlink" Target="https://drive.google.com/file/d/1bfLhUT5wi1Zga5-YKV-y_tFqtaYvhqG_/view?usp=drivesdk" TargetMode="External" Id="rId3"/><Relationship Type="http://schemas.openxmlformats.org/officeDocument/2006/relationships/hyperlink" Target="https://drive.google.com/file/d/1R3F1S4DkkMdWjQCije5h6JcXrv2oanjz/view?usp=drivesdk" TargetMode="External" Id="rId4"/><Relationship Type="http://schemas.openxmlformats.org/officeDocument/2006/relationships/hyperlink" Target="https://drive.google.com/file/d/1WUqPHPgca1EQI6FEQ45b4g1OBJLlBFy7/view?usp=drivesdk" TargetMode="External" Id="rId5"/><Relationship Type="http://schemas.openxmlformats.org/officeDocument/2006/relationships/hyperlink" Target="https://drive.google.com/file/d/1HSHnKuD3wT5VaYKRyqQtc1Kn3jvbtI5z/view?usp=drivesdk" TargetMode="External" Id="rId6"/><Relationship Type="http://schemas.openxmlformats.org/officeDocument/2006/relationships/hyperlink" Target="https://drive.google.com/file/d/1QiOFa-Pu55ImYk1EgtLQ-1AJeKteGKKN/view?usp=drivesdk" TargetMode="External" Id="rId7"/><Relationship Type="http://schemas.openxmlformats.org/officeDocument/2006/relationships/hyperlink" Target="https://drive.google.com/file/d/1Nv_kf16K0jbiVtLvDOdsF2s81ubDK86-/view?usp=drivesdk" TargetMode="External" Id="rId8"/><Relationship Type="http://schemas.openxmlformats.org/officeDocument/2006/relationships/hyperlink" Target="https://drive.google.com/file/d/1BgsncVPJONNOSwGkAe2eb6HAzwGUvo6M/view?usp=drivesdk" TargetMode="External" Id="rId9"/><Relationship Type="http://schemas.openxmlformats.org/officeDocument/2006/relationships/hyperlink" Target="https://drive.google.com/file/d/1F1T1ZbmwTiAvZymdmK5UN5ILkYzAcyjE/view?usp=drivesdk" TargetMode="External" Id="rId10"/><Relationship Type="http://schemas.openxmlformats.org/officeDocument/2006/relationships/hyperlink" Target="https://drive.google.com/file/d/1sZGtXApoakTTNvLB9pud8pMEBdr3FgDZ/view?usp=drivesdk" TargetMode="External" Id="rId11"/><Relationship Type="http://schemas.openxmlformats.org/officeDocument/2006/relationships/hyperlink" Target="https://drive.google.com/file/d/13rt7yQ8sQuRvlpYE9WCitcMHEZMp3m_O/view?usp=drivesdk" TargetMode="External" Id="rId12"/><Relationship Type="http://schemas.openxmlformats.org/officeDocument/2006/relationships/hyperlink" Target="https://drive.google.com/file/d/19fXXs3bT9JRPi6FOU7JWx3Antd-__jQl/view?usp=drivesdk" TargetMode="External" Id="rId13"/><Relationship Type="http://schemas.openxmlformats.org/officeDocument/2006/relationships/hyperlink" Target="https://drive.google.com/file/d/1Mw2d6mo5p1hF1ADq3xGwHYdD6k93Kk72/view?usp=drivesdk" TargetMode="External" Id="rId14"/><Relationship Type="http://schemas.openxmlformats.org/officeDocument/2006/relationships/hyperlink" Target="https://drive.google.com/file/d/1CyeswzB650BIBblZ0j3XZapFNejIKlS7/view?usp=drivesdk" TargetMode="External" Id="rId15"/><Relationship Type="http://schemas.openxmlformats.org/officeDocument/2006/relationships/hyperlink" Target="https://drive.google.com/file/d/1bFtmiVMoUJHrjmSz3_aAWbUn5HmF4v7t/view?usp=drivesdk" TargetMode="External" Id="rId16"/><Relationship Type="http://schemas.openxmlformats.org/officeDocument/2006/relationships/hyperlink" Target="https://drive.google.com/file/d/1KknDEkSlyPD0Pdkhf322Awt1eAP1q8Gk/view?usp=drivesdk" TargetMode="External" Id="rId17"/><Relationship Type="http://schemas.openxmlformats.org/officeDocument/2006/relationships/hyperlink" Target="https://drive.google.com/file/d/1RtCS-MVwMjJZx5mk-fbeVnp34j-MJNaK/view?usp=drivesdk" TargetMode="External" Id="rId18"/><Relationship Type="http://schemas.openxmlformats.org/officeDocument/2006/relationships/hyperlink" Target="https://drive.google.com/file/d/1Gm9gJDGHIBXQ_WXv2YkF4lyQ6EIMS-DA/view?usp=drivesdk" TargetMode="External" Id="rId19"/><Relationship Type="http://schemas.openxmlformats.org/officeDocument/2006/relationships/hyperlink" Target="https://drive.google.com/file/d/1wr9Nejy--4BUDpyg8riD4WzBFOQ_RYAA/view?usp=drivesdk" TargetMode="External" Id="rId20"/><Relationship Type="http://schemas.openxmlformats.org/officeDocument/2006/relationships/hyperlink" Target="https://drive.google.com/file/d/18pxQbj0cm3VVE381utczsaBPUOMg2_rE/view?usp=drivesdk" TargetMode="External" Id="rId21"/><Relationship Type="http://schemas.openxmlformats.org/officeDocument/2006/relationships/hyperlink" Target="https://drive.google.com/file/d/18pxQbj0cm3VVE381utczsaBPUOMg2_rE/view?usp=drivesdk" TargetMode="External" Id="rId22"/><Relationship Type="http://schemas.openxmlformats.org/officeDocument/2006/relationships/hyperlink" Target="https://drive.google.com/file/d/18pxQbj0cm3VVE381utczsaBPUOMg2_rE/view?usp=drivesdk" TargetMode="External" Id="rId23"/><Relationship Type="http://schemas.openxmlformats.org/officeDocument/2006/relationships/hyperlink" Target="https://drive.google.com/file/d/1iux2hxJTx8pApkdRTQ8TxrWAycKskSLW/view?usp=drivesdk" TargetMode="External" Id="rId24"/><Relationship Type="http://schemas.openxmlformats.org/officeDocument/2006/relationships/hyperlink" Target="https://drive.google.com/file/d/1cCVWMZjXH5GZ4KJ7Owu69neJD3Mu8nhQ/view?usp=drivesdk" TargetMode="External" Id="rId25"/><Relationship Type="http://schemas.openxmlformats.org/officeDocument/2006/relationships/hyperlink" Target="https://drive.google.com/file/d/17Q0iOe_5QA4ZC2x9xXn2aAcx-KGeRBqP/view?usp=drivesdk" TargetMode="External" Id="rId26"/><Relationship Type="http://schemas.openxmlformats.org/officeDocument/2006/relationships/hyperlink" Target="https://drive.google.com/file/d/1FvjQkV9yZwLwYyh31yDEv4r6Ws9x-Gee/view?usp=drivesdk" TargetMode="External" Id="rId27"/><Relationship Type="http://schemas.openxmlformats.org/officeDocument/2006/relationships/hyperlink" Target="https://drive.google.com/file/d/1saa91nUMC9fiC166aUrnROE5ZHw8d_r6/view?usp=drivesdk" TargetMode="External" Id="rId28"/><Relationship Type="http://schemas.openxmlformats.org/officeDocument/2006/relationships/hyperlink" Target="https://drive.google.com/file/d/1Dqpxqnn8K6M513jJX6b-_iaNJoHc9CRf/view?usp=drivesdk" TargetMode="External" Id="rId29"/><Relationship Type="http://schemas.openxmlformats.org/officeDocument/2006/relationships/hyperlink" Target="https://drive.google.com/file/d/18umjaalA1qWOFkhllNu22AbrnmcOGohV/view?usp=drivesdk" TargetMode="External" Id="rId30"/><Relationship Type="http://schemas.openxmlformats.org/officeDocument/2006/relationships/hyperlink" Target="https://drive.google.com/file/d/18umjaalA1qWOFkhllNu22AbrnmcOGohV/view?usp=drivesdk" TargetMode="External" Id="rId31"/><Relationship Type="http://schemas.openxmlformats.org/officeDocument/2006/relationships/hyperlink" Target="https://drive.google.com/file/d/18umjaalA1qWOFkhllNu22AbrnmcOGohV/view?usp=drivesdk" TargetMode="External" Id="rId32"/><Relationship Type="http://schemas.openxmlformats.org/officeDocument/2006/relationships/hyperlink" Target="https://drive.google.com/file/d/1YkkVd0CygsXrJ-x-3pub1Sw9g6ZsG1la/view?usp=drivesdk" TargetMode="External" Id="rId33"/><Relationship Type="http://schemas.openxmlformats.org/officeDocument/2006/relationships/hyperlink" Target="https://drive.google.com/file/d/1X74XWbQ0nVaWgQCopQ2tDJAD55vrgHJF/view?usp=drivesdk" TargetMode="External" Id="rId34"/><Relationship Type="http://schemas.openxmlformats.org/officeDocument/2006/relationships/hyperlink" Target="https://drive.google.com/file/d/1qPyUu5142bBXkD-iF2rUjI1dWjKrbRUf/view?usp=drivesdk" TargetMode="External" Id="rId35"/><Relationship Type="http://schemas.openxmlformats.org/officeDocument/2006/relationships/hyperlink" Target="https://drive.google.com/file/d/1c_a7u0uC_WNkVQzPENEHHzZf2GoRgYzp/view?usp=drivesdk" TargetMode="External" Id="rId36"/><Relationship Type="http://schemas.openxmlformats.org/officeDocument/2006/relationships/hyperlink" Target="https://drive.google.com/file/d/1Z8crn0ZC5tm2cibuFjiaNGAUQ32eDz4H/view?usp=drivesdk" TargetMode="External" Id="rId37"/><Relationship Type="http://schemas.openxmlformats.org/officeDocument/2006/relationships/hyperlink" Target="https://drive.google.com/file/d/1OUc0Fa83_INuKCsZQC_juJA8WSWOmU7e/view?usp=drivesdk" TargetMode="External" Id="rId38"/><Relationship Type="http://schemas.openxmlformats.org/officeDocument/2006/relationships/hyperlink" Target="https://drive.google.com/file/d/14DyM0O39wOTD_wOQwkZ2nqk44A4Xr0Pd/view?usp=drivesdk" TargetMode="External" Id="rId39"/><Relationship Type="http://schemas.openxmlformats.org/officeDocument/2006/relationships/hyperlink" Target="https://drive.google.com/file/d/1MOlMl6uaY6n-XUO8ZDVih0oyxqYCdtvw/view?usp=drivesdk" TargetMode="External" Id="rId40"/><Relationship Type="http://schemas.openxmlformats.org/officeDocument/2006/relationships/hyperlink" Target="https://drive.google.com/file/d/15PYo6Nf9Rs0V66jula2uxmSQ1q_sREm9/view?usp=drivesdk" TargetMode="External" Id="rId41"/><Relationship Type="http://schemas.openxmlformats.org/officeDocument/2006/relationships/hyperlink" Target="https://drive.google.com/file/d/1xcXRJuhK0s-9Giwr-lbqS68FlhkSzTWB/view?usp=drivesdk" TargetMode="External" Id="rId42"/><Relationship Type="http://schemas.openxmlformats.org/officeDocument/2006/relationships/hyperlink" Target="https://drive.google.com/file/d/1VbeIR7bk7enIlMQGnI8ZlR-KDaMoHDKn/view?usp=drivesdk" TargetMode="External" Id="rId43"/><Relationship Type="http://schemas.openxmlformats.org/officeDocument/2006/relationships/hyperlink" Target="https://drive.google.com/file/d/1PKaZMRQ1ZsO4JALcKcucZLVdRyUxpOON/view?usp=drivesdk" TargetMode="External" Id="rId44"/><Relationship Type="http://schemas.openxmlformats.org/officeDocument/2006/relationships/hyperlink" Target="https://drive.google.com/file/d/1j2ya4FHybtMpbOwe_dwCTFuK0BuXysGa/view?usp=drivesdk" TargetMode="External" Id="rId45"/><Relationship Type="http://schemas.openxmlformats.org/officeDocument/2006/relationships/hyperlink" Target="https://drive.google.com/file/d/1zXVkELtv1Sfm3Hs-3PVSAH4pEWbvWaOX/view?usp=drivesdk" TargetMode="External" Id="rId46"/><Relationship Type="http://schemas.openxmlformats.org/officeDocument/2006/relationships/hyperlink" Target="https://drive.google.com/file/d/1icRXW3dXluuRK-dzvuDcN-maR8sKfRW3/view?usp=drivesdk" TargetMode="External" Id="rId47"/><Relationship Type="http://schemas.openxmlformats.org/officeDocument/2006/relationships/hyperlink" Target="https://drive.google.com/file/d/148ysN83vJtMLS2_lbKu7r5cH1NMHbVNL/view?usp=drivesdk" TargetMode="External" Id="rId48"/><Relationship Type="http://schemas.openxmlformats.org/officeDocument/2006/relationships/hyperlink" Target="https://drive.google.com/file/d/1P3C1c_Df7dkPtnnAevEEMApNVP550O_O/view?usp=drivesdk" TargetMode="External" Id="rId49"/><Relationship Type="http://schemas.openxmlformats.org/officeDocument/2006/relationships/hyperlink" Target="https://drive.google.com/file/d/1I3WwwPF0JqyQdA18mDR4k4jmM8MZ-34b/view?usp=drivesdk" TargetMode="External" Id="rId50"/><Relationship Type="http://schemas.openxmlformats.org/officeDocument/2006/relationships/hyperlink" Target="https://drive.google.com/file/d/1iayAhp3nvlv4ajwf9Cp6C3s4OQi-rpMN/view?usp=drivesdk" TargetMode="External" Id="rId51"/><Relationship Type="http://schemas.openxmlformats.org/officeDocument/2006/relationships/hyperlink" Target="https://drive.google.com/file/d/11mh2NdZI0VULVE09eg0fTaW_8G7fyWkg/view?usp=drivesdk" TargetMode="External" Id="rId52"/><Relationship Type="http://schemas.openxmlformats.org/officeDocument/2006/relationships/hyperlink" Target="https://drive.google.com/file/d/1Hk8kIqp-95Akk1GsQde0mmkisvp1vUic/view?usp=drivesdk" TargetMode="External" Id="rId53"/><Relationship Type="http://schemas.openxmlformats.org/officeDocument/2006/relationships/hyperlink" Target="https://drive.google.com/file/d/1p1JLbXly83gPcOqdBiZfX0WvuqP5ZBhv/view?usp=drivesdk" TargetMode="External" Id="rId54"/><Relationship Type="http://schemas.openxmlformats.org/officeDocument/2006/relationships/hyperlink" Target="https://drive.google.com/file/d/1rom4VLbflbUgw0GzIGfwfWAceAGqsDve/view?usp=drivesdk" TargetMode="External" Id="rId55"/><Relationship Type="http://schemas.openxmlformats.org/officeDocument/2006/relationships/hyperlink" Target="https://drive.google.com/file/d/1la8-DKsyw-txh4_Z2nzrkJVhivR6U6M2/view?usp=drivesdk" TargetMode="External" Id="rId56"/><Relationship Type="http://schemas.openxmlformats.org/officeDocument/2006/relationships/hyperlink" Target="https://drive.google.com/file/d/1Q01w19CaQwCYwshExpbnKigbbpkdYcRF/view?usp=drivesdk" TargetMode="External" Id="rId57"/><Relationship Type="http://schemas.openxmlformats.org/officeDocument/2006/relationships/hyperlink" Target="https://drive.google.com/file/d/1CkpniiuuecmyeP38MmkWhzUPj8iF7tyN/view?usp=drivesdk" TargetMode="External" Id="rId58"/><Relationship Type="http://schemas.openxmlformats.org/officeDocument/2006/relationships/hyperlink" Target="https://drive.google.com/file/d/1U-mcMTxSs8WKlovQ9_HAwLEU39hou9sQ/view?usp=drivesdk" TargetMode="External" Id="rId59"/><Relationship Type="http://schemas.openxmlformats.org/officeDocument/2006/relationships/hyperlink" Target="https://drive.google.com/file/d/1i1KIDpqSuLOk5KfVZf0GwoQN3ddbzHi4/view?usp=drivesdk" TargetMode="External" Id="rId60"/><Relationship Type="http://schemas.openxmlformats.org/officeDocument/2006/relationships/hyperlink" Target="https://drive.google.com/file/d/1aVT0Kp1FXhiwKuldPvpR5jmS_HrroAcz/view?usp=drivesdk" TargetMode="External" Id="rId61"/><Relationship Type="http://schemas.openxmlformats.org/officeDocument/2006/relationships/hyperlink" Target="https://drive.google.com/file/d/1c3rAE8MZ72DBnTA6LZZqeHMMgZkJtDwC/view?usp=drivesdk" TargetMode="External" Id="rId62"/><Relationship Type="http://schemas.openxmlformats.org/officeDocument/2006/relationships/hyperlink" Target="https://drive.google.com/file/d/1hZiPKVEudy0sryGytMftZTSO75OBheV_/view?usp=drivesdk" TargetMode="External" Id="rId63"/><Relationship Type="http://schemas.openxmlformats.org/officeDocument/2006/relationships/hyperlink" Target="https://drive.google.com/file/d/1aXemXVZg0sBlWBgHV0_QAg0jVjv1bksN/view?usp=drivesdk" TargetMode="External" Id="rId64"/><Relationship Type="http://schemas.openxmlformats.org/officeDocument/2006/relationships/hyperlink" Target="https://drive.google.com/file/d/1vWJy2P4bu0ZZHbeutrY9ydZYIScfPKex/view?usp=drivesdk" TargetMode="External" Id="rId65"/><Relationship Type="http://schemas.openxmlformats.org/officeDocument/2006/relationships/hyperlink" Target="https://drive.google.com/file/d/1OPWZpghAzzfVFLFx4iBRHO4-0daxuz20/view?usp=drivesdk" TargetMode="External" Id="rId66"/><Relationship Type="http://schemas.openxmlformats.org/officeDocument/2006/relationships/hyperlink" Target="https://drive.google.com/file/d/1dHZmyEU31XVQo0HzAXqqQdVHVk8JtKKt/view?usp=drivesdk" TargetMode="External" Id="rId67"/><Relationship Type="http://schemas.openxmlformats.org/officeDocument/2006/relationships/hyperlink" Target="https://drive.google.com/file/d/1dEu5a12XOSJxoPOd8AIxLplDtcRjC5z9/view?usp=drivesdk" TargetMode="External" Id="rId68"/><Relationship Type="http://schemas.openxmlformats.org/officeDocument/2006/relationships/hyperlink" Target="https://drive.google.com/file/d/1wkA555zHmi_P1F3K0yzi2R1ybg40M_IH/view?usp=drivesdk" TargetMode="External" Id="rId69"/><Relationship Type="http://schemas.openxmlformats.org/officeDocument/2006/relationships/hyperlink" Target="https://drive.google.com/file/d/1Bu6kn877nOS0BSzL7ECg9Z62seXoHaCe/view?usp=drivesdk" TargetMode="External" Id="rId70"/><Relationship Type="http://schemas.openxmlformats.org/officeDocument/2006/relationships/hyperlink" Target="https://drive.google.com/file/d/1eD4nKiQgwGYnGZ5fv7hh4V3unZ6MIKqH/view?usp=drivesdk" TargetMode="External" Id="rId71"/><Relationship Type="http://schemas.openxmlformats.org/officeDocument/2006/relationships/hyperlink" Target="https://drive.google.com/file/d/1H2ikEjq_KT22RCYpKdLTU6AyxE-eiIW-/view?usp=drivesdk" TargetMode="External" Id="rId72"/><Relationship Type="http://schemas.openxmlformats.org/officeDocument/2006/relationships/hyperlink" Target="https://drive.google.com/file/d/1YrSUC_u5-Y5IQ7Aslne-0xU3mQfg3jDp/view?usp=drivesdk" TargetMode="External" Id="rId73"/><Relationship Type="http://schemas.openxmlformats.org/officeDocument/2006/relationships/hyperlink" Target="https://drive.google.com/file/d/109-KgtoaX4vV_BNFkqOESzhRasVQ1S_Q/view?usp=drivesdk" TargetMode="External" Id="rId74"/><Relationship Type="http://schemas.openxmlformats.org/officeDocument/2006/relationships/hyperlink" Target="https://drive.google.com/file/d/1KY46ho8xsJpWU6Q3w32ZWRQ8btywV8Ax/view?usp=drivesdk" TargetMode="External" Id="rId75"/><Relationship Type="http://schemas.openxmlformats.org/officeDocument/2006/relationships/hyperlink" Target="https://drive.google.com/file/d/192ghVBMKOyFtFrKk5lPoccixcsZlK4GH/view?usp=drivesdk" TargetMode="External" Id="rId76"/><Relationship Type="http://schemas.openxmlformats.org/officeDocument/2006/relationships/hyperlink" Target="https://drive.google.com/file/d/192ghVBMKOyFtFrKk5lPoccixcsZlK4GH/view?usp=drivesdk" TargetMode="External" Id="rId77"/><Relationship Type="http://schemas.openxmlformats.org/officeDocument/2006/relationships/hyperlink" Target="https://drive.google.com/file/d/192ghVBMKOyFtFrKk5lPoccixcsZlK4GH/view?usp=drivesdk" TargetMode="External" Id="rId78"/><Relationship Type="http://schemas.openxmlformats.org/officeDocument/2006/relationships/hyperlink" Target="https://drive.google.com/file/d/1_odcqxdXxEYZNzgQx5UzslhIG3hh5krH/view?usp=drivesdk" TargetMode="External" Id="rId79"/><Relationship Type="http://schemas.openxmlformats.org/officeDocument/2006/relationships/hyperlink" Target="https://drive.google.com/file/d/1tAciOjLJ3-E_udDrY3cL0A7b-CfOvIlm/view?usp=drivesdk" TargetMode="External" Id="rId80"/><Relationship Type="http://schemas.openxmlformats.org/officeDocument/2006/relationships/hyperlink" Target="https://drive.google.com/file/d/1E8JfN7YXvjRIfPjaLKj_8zJSQJ-990YT/view?usp=drivesdk" TargetMode="External" Id="rId81"/><Relationship Type="http://schemas.openxmlformats.org/officeDocument/2006/relationships/hyperlink" Target="https://drive.google.com/file/d/1r2Hw0N7VZ6vvloF4IqY4SxfuvX_2VozE/view?usp=drivesdk" TargetMode="External" Id="rId82"/><Relationship Type="http://schemas.openxmlformats.org/officeDocument/2006/relationships/hyperlink" Target="https://drive.google.com/file/d/1PRJ__aaxThVGTbIcvHAJI7pgUFchpvsa/view?usp=drivesdk" TargetMode="External" Id="rId83"/><Relationship Type="http://schemas.openxmlformats.org/officeDocument/2006/relationships/hyperlink" Target="https://drive.google.com/file/d/1HgIvIqgrCSyQY0-INtfhp-GPqb5Et1eA/view?usp=drivesdk" TargetMode="External" Id="rId84"/><Relationship Type="http://schemas.openxmlformats.org/officeDocument/2006/relationships/hyperlink" Target="https://drive.google.com/file/d/1mtjFeFve-rSAPTA0bq7zwh6FvresB1tx/view?usp=drivesdk" TargetMode="External" Id="rId85"/><Relationship Type="http://schemas.openxmlformats.org/officeDocument/2006/relationships/hyperlink" Target="https://drive.google.com/file/d/1n2bq_tMI3rNE2XsFpxvWnwo1ZZV6_K21/view?usp=drivesdk" TargetMode="External" Id="rId86"/><Relationship Type="http://schemas.openxmlformats.org/officeDocument/2006/relationships/hyperlink" Target="https://drive.google.com/file/d/1Mbfxr1V40xsgbj8F0soExM05QND6zjoa/view?usp=drivesdk" TargetMode="External" Id="rId87"/><Relationship Type="http://schemas.openxmlformats.org/officeDocument/2006/relationships/hyperlink" Target="https://drive.google.com/file/d/1WOvzAAmEygTW3UfGCE2EpvFGcNYl4yVq/view?usp=drivesdk" TargetMode="External" Id="rId88"/><Relationship Type="http://schemas.openxmlformats.org/officeDocument/2006/relationships/hyperlink" Target="https://drive.google.com/file/d/1fDDyyoah7JlWMHXzqFDIqm2howZDBJMq/view?usp=drivesdk" TargetMode="External" Id="rId89"/><Relationship Type="http://schemas.openxmlformats.org/officeDocument/2006/relationships/hyperlink" Target="https://drive.google.com/file/d/1fDDyyoah7JlWMHXzqFDIqm2howZDBJMq/view?usp=drivesdk" TargetMode="External" Id="rId90"/><Relationship Type="http://schemas.openxmlformats.org/officeDocument/2006/relationships/hyperlink" Target="https://drive.google.com/file/d/1fDDyyoah7JlWMHXzqFDIqm2howZDBJMq/view?usp=drivesdk" TargetMode="External" Id="rId91"/><Relationship Type="http://schemas.openxmlformats.org/officeDocument/2006/relationships/hyperlink" Target="https://drive.google.com/file/d/1IS2fSxolw6pxcI9vC65EJRYlFK7zyUTY/view?usp=drivesdk" TargetMode="External" Id="rId92"/><Relationship Type="http://schemas.openxmlformats.org/officeDocument/2006/relationships/hyperlink" Target="https://drive.google.com/file/d/1najlnApOGpucn5h6ZtquKVucfInGLQ0V/view?usp=drivesdk" TargetMode="External" Id="rId93"/><Relationship Type="http://schemas.openxmlformats.org/officeDocument/2006/relationships/hyperlink" Target="https://drive.google.com/file/d/1Ia49BWDccoiY0_floiPgZIOoH73-LIUQ/view?usp=drivesdk" TargetMode="External" Id="rId94"/><Relationship Type="http://schemas.openxmlformats.org/officeDocument/2006/relationships/hyperlink" Target="https://drive.google.com/file/d/1bbYR8-vHGj7nUKVcEnARnepPzYzNIFVw/view?usp=drivesdk" TargetMode="External" Id="rId95"/><Relationship Type="http://schemas.openxmlformats.org/officeDocument/2006/relationships/hyperlink" Target="https://drive.google.com/file/d/1M7IINaxBWNqY7qOSMGrLDwYHI3VnAyM4/view?usp=drivesdk" TargetMode="External" Id="rId96"/><Relationship Type="http://schemas.openxmlformats.org/officeDocument/2006/relationships/hyperlink" Target="https://drive.google.com/file/d/1s-Ni6ccpvcuZUGwwhFepiSbUNzPwXVDG/view?usp=drivesdk" TargetMode="External" Id="rId97"/><Relationship Type="http://schemas.openxmlformats.org/officeDocument/2006/relationships/hyperlink" Target="https://drive.google.com/file/d/1j0GTnf9iA8T0YG7zocdvmE1v-yFf-dmk/view?usp=drivesdk" TargetMode="External" Id="rId98"/><Relationship Type="http://schemas.openxmlformats.org/officeDocument/2006/relationships/hyperlink" Target="https://drive.google.com/file/d/1kgfYW187O8CHpqvovwje1T5Vb0O1df6d/view?usp=drivesdk" TargetMode="External" Id="rId99"/><Relationship Type="http://schemas.openxmlformats.org/officeDocument/2006/relationships/hyperlink" Target="https://drive.google.com/file/d/1Ht3FP9y_KBG3F1Wui0f7dj36Nz4gORY9/view?usp=drivesdk" TargetMode="External" Id="rId100"/><Relationship Type="http://schemas.openxmlformats.org/officeDocument/2006/relationships/hyperlink" Target="https://drive.google.com/file/d/1axe5iqNHDnZKEyTVyAhJ5hBtI1BR5ejL/view?usp=drivesdk" TargetMode="External" Id="rId101"/><Relationship Type="http://schemas.openxmlformats.org/officeDocument/2006/relationships/hyperlink" Target="https://drive.google.com/file/d/1D3oOwMbnoMx_ZwdzSUQ07lRdDelVCXX6/view?usp=drivesdk" TargetMode="External" Id="rId102"/><Relationship Type="http://schemas.openxmlformats.org/officeDocument/2006/relationships/hyperlink" Target="https://drive.google.com/file/d/1FNZalAzXj8a7ZNUt2CefEIFu_sLZ6iOY/view?usp=drivesdk" TargetMode="External" Id="rId103"/><Relationship Type="http://schemas.openxmlformats.org/officeDocument/2006/relationships/hyperlink" Target="https://drive.google.com/file/d/1PjQXXRgJWle6bvVGYUn8W3Swp9IqcBqL/view?usp=drivesdk" TargetMode="External" Id="rId104"/><Relationship Type="http://schemas.openxmlformats.org/officeDocument/2006/relationships/hyperlink" Target="https://drive.google.com/file/d/1ryYPmeaeN0WBdXxhk4O9pmdF4BlNsACt/view?usp=drivesdk" TargetMode="External" Id="rId105"/><Relationship Type="http://schemas.openxmlformats.org/officeDocument/2006/relationships/hyperlink" Target="https://drive.google.com/file/d/1FyBHZEA9qWMwRhMfdTuL7ySwcplaqQc2/view?usp=drivesdk" TargetMode="External" Id="rId106"/><Relationship Type="http://schemas.openxmlformats.org/officeDocument/2006/relationships/hyperlink" Target="https://drive.google.com/file/d/1iPkhcnUQ6IlOI2t9Y4lt6fcN9NoE8559/view?usp=drivesdk" TargetMode="External" Id="rId107"/><Relationship Type="http://schemas.openxmlformats.org/officeDocument/2006/relationships/hyperlink" Target="https://drive.google.com/file/d/1nrrH_8TfwdiHGNLlFgfu6hEx8mBDTA67/view?usp=drivesdk" TargetMode="External" Id="rId108"/><Relationship Type="http://schemas.openxmlformats.org/officeDocument/2006/relationships/hyperlink" Target="https://drive.google.com/file/d/1Lq08NNbxsMBp7B7MMjUiEknDIr3kxPc0/view?usp=drivesdk" TargetMode="External" Id="rId109"/><Relationship Type="http://schemas.openxmlformats.org/officeDocument/2006/relationships/hyperlink" Target="https://drive.google.com/file/d/1y53mv0-BjFCp7Z4Tp9mguo1WuS7RRlVK/view?usp=drivesdk" TargetMode="External" Id="rId110"/><Relationship Type="http://schemas.openxmlformats.org/officeDocument/2006/relationships/hyperlink" Target="https://drive.google.com/file/d/1_QV16SfnrecVZCv19siScEIbSVNhcwQY/view?usp=drivesdk" TargetMode="External" Id="rId111"/><Relationship Type="http://schemas.openxmlformats.org/officeDocument/2006/relationships/hyperlink" Target="https://drive.google.com/file/d/1U8O1YcuZmCf_avd7RanqWgUAXL733mJ4/view?usp=drivesdk" TargetMode="External" Id="rId112"/><Relationship Type="http://schemas.openxmlformats.org/officeDocument/2006/relationships/hyperlink" Target="https://drive.google.com/file/d/1n1TdGRm0xbbUrhiWxso3ucgcPhj4jbzx/view?usp=drivesdk" TargetMode="External" Id="rId113"/><Relationship Type="http://schemas.openxmlformats.org/officeDocument/2006/relationships/hyperlink" Target="https://drive.google.com/file/d/1ao5r16qm7GhBSrW3YeiF3erPmxlcHELA/view?usp=drivesdk" TargetMode="External" Id="rId114"/><Relationship Type="http://schemas.openxmlformats.org/officeDocument/2006/relationships/hyperlink" Target="https://drive.google.com/file/d/1OXbTejlLlT9SzZTWZP1D7tU57XBkfsLB/view?usp=drivesdk" TargetMode="External" Id="rId115"/><Relationship Type="http://schemas.openxmlformats.org/officeDocument/2006/relationships/hyperlink" Target="https://drive.google.com/file/d/1-0D2m0NVI4A5J-ddmlF3nafsBa8vGWBd/view?usp=drivesdk" TargetMode="External" Id="rId116"/><Relationship Type="http://schemas.openxmlformats.org/officeDocument/2006/relationships/hyperlink" Target="https://drive.google.com/file/d/109FoRS20p6fG5cg4HRHkxTwOGMiEB3AH/view?usp=drivesdk" TargetMode="External" Id="rId117"/><Relationship Type="http://schemas.openxmlformats.org/officeDocument/2006/relationships/hyperlink" Target="https://drive.google.com/file/d/1md630rqHnAw6S5fnMiH86ktIGL9wAfgF/view?usp=drivesdk" TargetMode="External" Id="rId118"/><Relationship Type="http://schemas.openxmlformats.org/officeDocument/2006/relationships/hyperlink" Target="https://drive.google.com/file/d/1MkhCT3OZenS4bJf5_J2qB8oGGw8oFzkf/view?usp=drivesdk" TargetMode="External" Id="rId119"/><Relationship Type="http://schemas.openxmlformats.org/officeDocument/2006/relationships/hyperlink" Target="https://drive.google.com/file/d/19nt9_Pc7ZLzBMkh9rxX3ashw6fPaDBG_/view?usp=drivesdk" TargetMode="External" Id="rId120"/><Relationship Type="http://schemas.openxmlformats.org/officeDocument/2006/relationships/hyperlink" Target="https://drive.google.com/file/d/1qmdVuUyZKvATz7DKzN55oORVw6pAX9mO/view?usp=drivesdk" TargetMode="External" Id="rId121"/><Relationship Type="http://schemas.openxmlformats.org/officeDocument/2006/relationships/hyperlink" Target="https://drive.google.com/file/d/1cfzsuLvXSAtRD2pLnRBZ59veQeIWQKjQ/view?usp=drivesdk" TargetMode="External" Id="rId122"/><Relationship Type="http://schemas.openxmlformats.org/officeDocument/2006/relationships/hyperlink" Target="https://drive.google.com/file/d/1fSgw1oO1UaL0OokALxdVmk9Gs9s5_Vdz/view?usp=drivesdk" TargetMode="External" Id="rId123"/><Relationship Type="http://schemas.openxmlformats.org/officeDocument/2006/relationships/hyperlink" Target="https://drive.google.com/file/d/1Bt_uYId0Ke_7yyUlyt95NlsppeCL3W_F/view?usp=drivesdk" TargetMode="External" Id="rId124"/><Relationship Type="http://schemas.openxmlformats.org/officeDocument/2006/relationships/hyperlink" Target="https://drive.google.com/file/d/194sPXt7bz4RYudtr1LLnRSTHRD3IRfX_/view?usp=drivesdk" TargetMode="External" Id="rId125"/><Relationship Type="http://schemas.openxmlformats.org/officeDocument/2006/relationships/hyperlink" Target="https://drive.google.com/file/d/1Kf3zLbAifsK47hwsfDtdiya2nTjoZhbc/view?usp=drivesdk" TargetMode="External" Id="rId126"/><Relationship Type="http://schemas.openxmlformats.org/officeDocument/2006/relationships/hyperlink" Target="https://drive.google.com/file/d/19BOJcU-tZOdXNewpB9MmZXKbUeYoLmQW/view?usp=drivesdk" TargetMode="External" Id="rId127"/><Relationship Type="http://schemas.openxmlformats.org/officeDocument/2006/relationships/hyperlink" Target="https://drive.google.com/file/d/1OSsPTK_eKr03kWPWfsduaZWbO-PcRSKN/view?usp=drivesdk" TargetMode="External" Id="rId128"/><Relationship Type="http://schemas.openxmlformats.org/officeDocument/2006/relationships/hyperlink" Target="https://drive.google.com/file/d/1d9bGOdNerfRkG8hm-9tNwNLOClNoUKV1/view?usp=drivesdk" TargetMode="External" Id="rId129"/><Relationship Type="http://schemas.openxmlformats.org/officeDocument/2006/relationships/hyperlink" Target="https://drive.google.com/file/d/1RN40IgZT0khKxDgZ1TciqcREU1AzC6iG/view?usp=drivesdk" TargetMode="External" Id="rId130"/><Relationship Type="http://schemas.openxmlformats.org/officeDocument/2006/relationships/hyperlink" Target="https://drive.google.com/file/d/1Fys_Ke3o0S3pZkqtEQkaOmeaEm-sTj0X/view?usp=drivesdk" TargetMode="External" Id="rId131"/><Relationship Type="http://schemas.openxmlformats.org/officeDocument/2006/relationships/hyperlink" Target="https://drive.google.com/file/d/1mhP1xnzmk8CIu8lzS9UTKi1YVgQ0j5vD/view?usp=drivesdk" TargetMode="External" Id="rId132"/><Relationship Type="http://schemas.openxmlformats.org/officeDocument/2006/relationships/hyperlink" Target="https://drive.google.com/file/d/1EeQh_f0ge3L2vpmoZhGqULVvQDnFYlXt/view?usp=drivesdk" TargetMode="External" Id="rId133"/><Relationship Type="http://schemas.openxmlformats.org/officeDocument/2006/relationships/hyperlink" Target="https://drive.google.com/file/d/1s7eUjqGV_ux0WxJrpYLtGKjjOS3f9F_q/view?usp=drivesdk" TargetMode="External" Id="rId134"/><Relationship Type="http://schemas.openxmlformats.org/officeDocument/2006/relationships/hyperlink" Target="https://drive.google.com/file/d/1s7eUjqGV_ux0WxJrpYLtGKjjOS3f9F_q/view?usp=drivesdk" TargetMode="External" Id="rId135"/><Relationship Type="http://schemas.openxmlformats.org/officeDocument/2006/relationships/hyperlink" Target="https://drive.google.com/file/d/1s7eUjqGV_ux0WxJrpYLtGKjjOS3f9F_q/view?usp=drivesdk" TargetMode="External" Id="rId136"/><Relationship Type="http://schemas.openxmlformats.org/officeDocument/2006/relationships/hyperlink" Target="https://drive.google.com/file/d/1l-tObm8vyP3XyPss2x7ZU0ypwypzolZi/view?usp=drivesdk" TargetMode="External" Id="rId137"/><Relationship Type="http://schemas.openxmlformats.org/officeDocument/2006/relationships/hyperlink" Target="https://drive.google.com/file/d/1r5NeAkt6BuK7stM77wMD2GmwfOkmyuaE/view?usp=drivesdk" TargetMode="External" Id="rId138"/><Relationship Type="http://schemas.openxmlformats.org/officeDocument/2006/relationships/hyperlink" Target="https://drive.google.com/file/d/1jBhJD7kS5_SPwJKWbOaHjrF8mX4mpiT8/view?usp=drivesdk" TargetMode="External" Id="rId139"/><Relationship Type="http://schemas.openxmlformats.org/officeDocument/2006/relationships/hyperlink" Target="https://drive.google.com/file/d/1y_VFTA5on6ReO79xvnlu0N3xL-BbnpEM/view?usp=drivesdk" TargetMode="External" Id="rId140"/><Relationship Type="http://schemas.openxmlformats.org/officeDocument/2006/relationships/hyperlink" Target="https://drive.google.com/file/d/1BXJcbamEE34UrEHgJabkn3cuDfiFSgXJ/view?usp=drivesdk" TargetMode="External" Id="rId141"/><Relationship Type="http://schemas.openxmlformats.org/officeDocument/2006/relationships/hyperlink" Target="https://drive.google.com/file/d/1bMdMTYSXLytnvUKxINvo3C-fdr43SmgJ/view?usp=drivesdk" TargetMode="External" Id="rId142"/><Relationship Type="http://schemas.openxmlformats.org/officeDocument/2006/relationships/hyperlink" Target="https://drive.google.com/file/d/1nWo-mNGMmMRAWJEGmVLJaMtqo73kBgzv/view?usp=drivesdk" TargetMode="External" Id="rId143"/><Relationship Type="http://schemas.openxmlformats.org/officeDocument/2006/relationships/hyperlink" Target="https://drive.google.com/file/d/1CqOn2Zx8mbhJOVhiMIiGbOghQnA3vTDp/view?usp=drivesdk" TargetMode="External" Id="rId144"/><Relationship Type="http://schemas.openxmlformats.org/officeDocument/2006/relationships/hyperlink" Target="https://drive.google.com/file/d/1ECBhz1VCwbBVoxwkdm3YFSwEGxpN8nXX/view?usp=drivesdk" TargetMode="External" Id="rId145"/><Relationship Type="http://schemas.openxmlformats.org/officeDocument/2006/relationships/hyperlink" Target="https://drive.google.com/file/d/1UbnHgZczRgp4sJnXfFK7Cmrj-YHdESk5/view?usp=drivesdk" TargetMode="External" Id="rId146"/><Relationship Type="http://schemas.openxmlformats.org/officeDocument/2006/relationships/hyperlink" Target="https://drive.google.com/file/d/18aHMUoONC6SlndhHYF_AWRN3TCOoVrvg/view?usp=drivesdk" TargetMode="External" Id="rId147"/><Relationship Type="http://schemas.openxmlformats.org/officeDocument/2006/relationships/hyperlink" Target="https://drive.google.com/file/d/1g1NqMXMRnrd3ujXFvvHnpVryss1CmF5D/view?usp=drivesdk" TargetMode="External" Id="rId148"/><Relationship Type="http://schemas.openxmlformats.org/officeDocument/2006/relationships/hyperlink" Target="https://drive.google.com/file/d/1g1NqMXMRnrd3ujXFvvHnpVryss1CmF5D/view?usp=drivesdk" TargetMode="External" Id="rId149"/><Relationship Type="http://schemas.openxmlformats.org/officeDocument/2006/relationships/hyperlink" Target="https://drive.google.com/file/d/1g1NqMXMRnrd3ujXFvvHnpVryss1CmF5D/view?usp=drivesdk" TargetMode="External" Id="rId150"/><Relationship Type="http://schemas.openxmlformats.org/officeDocument/2006/relationships/hyperlink" Target="https://drive.google.com/file/d/1DCPq5CCQbxKn8xbE5ConsRttwki8sRoJ/view?usp=drivesdk" TargetMode="External" Id="rId151"/><Relationship Type="http://schemas.openxmlformats.org/officeDocument/2006/relationships/hyperlink" Target="https://drive.google.com/file/d/1j0AP8BcSvjbMkHqbG0jNHzXuXksgaBTp/view?usp=drivesdk" TargetMode="External" Id="rId152"/><Relationship Type="http://schemas.openxmlformats.org/officeDocument/2006/relationships/hyperlink" Target="https://drive.google.com/file/d/14mLVYewapKRBwsNP7f6wLOc4WRmROQLm/view?usp=drivesdk" TargetMode="External" Id="rId153"/><Relationship Type="http://schemas.openxmlformats.org/officeDocument/2006/relationships/hyperlink" Target="https://drive.google.com/file/d/1NnctdjrWo_YQUOWmOChF9VEkLKCvwH7r/view?usp=drivesdk" TargetMode="External" Id="rId154"/><Relationship Type="http://schemas.openxmlformats.org/officeDocument/2006/relationships/hyperlink" Target="https://drive.google.com/file/d/1AS6ZaTkoyH52MXQbp1lIDdFsAOEBnPum/view" TargetMode="External" Id="rId155"/><Relationship Type="http://schemas.openxmlformats.org/officeDocument/2006/relationships/hyperlink" Target="https://drive.google.com/file/d/1q5GM5mcOxTlAfTEBbnsDgygc2l8igChV/view?usp=drivesdk" TargetMode="External" Id="rId156"/><Relationship Type="http://schemas.openxmlformats.org/officeDocument/2006/relationships/hyperlink" Target="https://drive.google.com/file/d/1_zSaGhAEICAUBmqreT7FKVxXgv2-r3jW/view?usp=drivesdk" TargetMode="External" Id="rId157"/><Relationship Type="http://schemas.openxmlformats.org/officeDocument/2006/relationships/hyperlink" Target="https://drive.google.com/file/d/1CWhfJHSOw1n7f9t5k-dWx1KXNq0OtlHl/view?usp=drivesdk" TargetMode="External" Id="rId158"/><Relationship Type="http://schemas.openxmlformats.org/officeDocument/2006/relationships/hyperlink" Target="https://drive.google.com/file/d/1ugF3jSpFNoCK5W7nlv4RnQWYri-rwsCH/view?usp=drivesdk" TargetMode="External" Id="rId159"/><Relationship Type="http://schemas.openxmlformats.org/officeDocument/2006/relationships/hyperlink" Target="https://drive.google.com/file/d/1dHhK1m1wSqKZeeNradd6kO_U1yP4OEZx/view?usp=drivesdk" TargetMode="External" Id="rId160"/><Relationship Type="http://schemas.openxmlformats.org/officeDocument/2006/relationships/hyperlink" Target="https://drive.google.com/file/d/1ZCs5X4Qp9kY8mI50ovA19IzFEuYf6xco/view?usp=drivesdk" TargetMode="External" Id="rId161"/><Relationship Type="http://schemas.openxmlformats.org/officeDocument/2006/relationships/hyperlink" Target="https://drive.google.com/file/d/1dZC3fsBfen5iERm3x2JFrd1LGddt0qLb/view?usp=drivesdk" TargetMode="External" Id="rId162"/><Relationship Type="http://schemas.openxmlformats.org/officeDocument/2006/relationships/hyperlink" Target="https://drive.google.com/file/d/1qLKvi2Ja2apUNKYZBiLqZTt00IfYF7J2/view?usp=drivesdk" TargetMode="External" Id="rId163"/><Relationship Type="http://schemas.openxmlformats.org/officeDocument/2006/relationships/hyperlink" Target="https://drive.google.com/file/d/1szeFukWcwJsTpYUKLKIKWZXLhy2sel8E/view?usp=drivesdk" TargetMode="External" Id="rId164"/><Relationship Type="http://schemas.openxmlformats.org/officeDocument/2006/relationships/hyperlink" Target="https://drive.google.com/file/d/1w16eZ2iuW4dPbkomePY18LR7CPlxsdYp/view?usp=drivesdk" TargetMode="External" Id="rId165"/><Relationship Type="http://schemas.openxmlformats.org/officeDocument/2006/relationships/hyperlink" Target="https://drive.google.com/file/d/1YGt6D24m8-UdGBL3aaHOe0wVC7k4qghi/view?usp=drivesdk" TargetMode="External" Id="rId166"/><Relationship Type="http://schemas.openxmlformats.org/officeDocument/2006/relationships/hyperlink" Target="https://drive.google.com/file/d/1QhIFR8zEdSkOGtyWcVp6DgfqwsZajitQ/view?usp=drivesdk" TargetMode="External" Id="rId167"/><Relationship Type="http://schemas.openxmlformats.org/officeDocument/2006/relationships/hyperlink" Target="https://drive.google.com/file/d/1y_hZpMa4BT8BhTHlM8bSxgLKo9pitazV/view" TargetMode="External" Id="rId168"/><Relationship Type="http://schemas.openxmlformats.org/officeDocument/2006/relationships/hyperlink" Target="https://drive.google.com/file/d/1dZEE0UiuWN9_6DFQnvULQmJU6vHwjGGQ/view" TargetMode="External" Id="rId169"/><Relationship Type="http://schemas.openxmlformats.org/officeDocument/2006/relationships/hyperlink" Target="https://drive.google.com/file/d/1enWtjyf2SUswvIm0_3r2ARUO4Nc_9Jd0/view?usp=drivesdk" TargetMode="External" Id="rId170"/><Relationship Type="http://schemas.openxmlformats.org/officeDocument/2006/relationships/hyperlink" Target="https://drive.google.com/file/d/1KcT0lhE7w43XLBdBTq1BZ9Zohol9cqev/view?usp=drivesdk" TargetMode="External" Id="rId171"/><Relationship Type="http://schemas.openxmlformats.org/officeDocument/2006/relationships/hyperlink" Target="https://drive.google.com/file/d/1YylC1UsF8Mmxn_K1BFQWDm5IBpU5pT4S/view?usp=drivesdk" TargetMode="External" Id="rId172"/><Relationship Type="http://schemas.openxmlformats.org/officeDocument/2006/relationships/hyperlink" Target="https://drive.google.com/file/d/1Dfe3TUTMjwwXhP0sW7OA-brj3bzdreVa/view?usp=drivesdk" TargetMode="External" Id="rId173"/><Relationship Type="http://schemas.openxmlformats.org/officeDocument/2006/relationships/hyperlink" Target="https://drive.google.com/file/d/137vtSAURnNq0lo2-2WeVg0AhuOrEsAZq/view?usp=drivesdk" TargetMode="External" Id="rId174"/><Relationship Type="http://schemas.openxmlformats.org/officeDocument/2006/relationships/hyperlink" Target="https://drive.google.com/file/d/1tK12_snGAqgo3ElAmCRk8OybEVwqohia/view?usp=drivesdk" TargetMode="External" Id="rId175"/><Relationship Type="http://schemas.openxmlformats.org/officeDocument/2006/relationships/hyperlink" Target="https://drive.google.com/file/d/1IiVVkNBHHpO1SKwAMXgkQ7xAlDvvJHGm/view?usp=drivesdk" TargetMode="External" Id="rId176"/><Relationship Type="http://schemas.openxmlformats.org/officeDocument/2006/relationships/hyperlink" Target="https://drive.google.com/file/d/1ZrmXENXWje11a0Xs1zuLjyoaYT49GYdD/view?usp=drivesdk" TargetMode="External" Id="rId177"/><Relationship Type="http://schemas.openxmlformats.org/officeDocument/2006/relationships/hyperlink" Target="https://drive.google.com/file/d/1d9J8SfYBT9zuLpyqY8KWrZ9A69JqhZne/view?usp=drivesdk" TargetMode="External" Id="rId178"/><Relationship Type="http://schemas.openxmlformats.org/officeDocument/2006/relationships/hyperlink" Target="https://drive.google.com/file/d/1Mi7tTWHrGk4_xv5bAeOff-4VPA1ITkSZ/view?usp=drivesdk" TargetMode="External" Id="rId179"/><Relationship Type="http://schemas.openxmlformats.org/officeDocument/2006/relationships/hyperlink" Target="https://drive.google.com/file/d/1k4EkWUe1QzE0u4rHvCLGPIxazKKONDS_/view?usp=drivesdk" TargetMode="External" Id="rId180"/><Relationship Type="http://schemas.openxmlformats.org/officeDocument/2006/relationships/hyperlink" Target="https://drive.google.com/file/d/1wiIr--grhCOwwraj-uSzl6iuHZe-BAnj/view?usp=drivesdk" TargetMode="External" Id="rId181"/><Relationship Type="http://schemas.openxmlformats.org/officeDocument/2006/relationships/hyperlink" Target="https://drive.google.com/file/d/1Iej5j0arIBtLDQjTdIrgaRUdw4csV78Y/view?usp=drivesdk" TargetMode="External" Id="rId182"/><Relationship Type="http://schemas.openxmlformats.org/officeDocument/2006/relationships/hyperlink" Target="https://drive.google.com/file/d/1YU4Rv32gQWRnZltbnXYoiABaHUadZkPC/view?usp=drivesdk" TargetMode="External" Id="rId183"/><Relationship Type="http://schemas.openxmlformats.org/officeDocument/2006/relationships/hyperlink" Target="https://drive.google.com/file/d/1_ZSBLc2T5RQFSA6g-kEsXc5iRZOuOX-t/view?usp=drivesdk" TargetMode="External" Id="rId184"/><Relationship Type="http://schemas.openxmlformats.org/officeDocument/2006/relationships/hyperlink" Target="https://drive.google.com/file/d/1rAt4AT0dB1Q7jTLCXdpabG0G8qJCZTCO/view?usp=drivesdk" TargetMode="External" Id="rId185"/><Relationship Type="http://schemas.openxmlformats.org/officeDocument/2006/relationships/hyperlink" Target="https://drive.google.com/file/d/1bczSdhqB_SLGanlHlvtkHPwjnmVE7gZl/view?usp=drivesdk" TargetMode="External" Id="rId186"/><Relationship Type="http://schemas.openxmlformats.org/officeDocument/2006/relationships/hyperlink" Target="https://drive.google.com/file/d/1VuGJqMszuqN8s1b53HuSZnKDUUGQM3mS/view?usp=drivesdk" TargetMode="External" Id="rId187"/><Relationship Type="http://schemas.openxmlformats.org/officeDocument/2006/relationships/hyperlink" Target="https://drive.google.com/file/d/1LslEZAfUCwFAOXA2gAgYKUvZGbS0P1UO/view?usp=drivesdk" TargetMode="External" Id="rId188"/><Relationship Type="http://schemas.openxmlformats.org/officeDocument/2006/relationships/hyperlink" Target="https://drive.google.com/file/d/1dauw8a38vEytQd5EMcPJ91ZIoDLh-P4P/view?usp=drivesdk" TargetMode="External" Id="rId189"/><Relationship Type="http://schemas.openxmlformats.org/officeDocument/2006/relationships/hyperlink" Target="https://drive.google.com/file/d/1xLUiuyvbp7JDCs41qOWmziDIKnYQOb1p/view?usp=drivesdk" TargetMode="External" Id="rId190"/><Relationship Type="http://schemas.openxmlformats.org/officeDocument/2006/relationships/hyperlink" Target="https://drive.google.com/file/d/1c0VjX1cWSAdy331Zta_fyYCvWZUyaQ4E/view?usp=drivesdk" TargetMode="External" Id="rId191"/><Relationship Type="http://schemas.openxmlformats.org/officeDocument/2006/relationships/hyperlink" Target="https://drive.google.com/file/d/1F-M1iIXOHxm1oEdMUvNgf7LUH0xtukI-/view?usp=drivesdk" TargetMode="External" Id="rId192"/><Relationship Type="http://schemas.openxmlformats.org/officeDocument/2006/relationships/hyperlink" Target="https://drive.google.com/file/d/1f_1Fb8T0U0veHzjvaxYms6nv1llStKYd/view?usp=drivesdk" TargetMode="External" Id="rId193"/><Relationship Type="http://schemas.openxmlformats.org/officeDocument/2006/relationships/hyperlink" Target="https://drive.google.com/file/d/1iVx9NWFkdW2w5j1hem9iffHzx51T3r1P/view?usp=drivesdk" TargetMode="External" Id="rId194"/><Relationship Type="http://schemas.openxmlformats.org/officeDocument/2006/relationships/hyperlink" Target="https://drive.google.com/file/d/1wXG3i4XinZlCfzkkTD_yhKZTOHTc06ap/view?usp=drivesdk" TargetMode="External" Id="rId195"/><Relationship Type="http://schemas.openxmlformats.org/officeDocument/2006/relationships/hyperlink" Target="https://drive.google.com/file/d/16zY4aZZBzNQouNtkzatsS8Qaj2ekpw4D/view?usp=drivesdk" TargetMode="External" Id="rId196"/><Relationship Type="http://schemas.openxmlformats.org/officeDocument/2006/relationships/hyperlink" Target="https://drive.google.com/file/d/1-xq4IUPRTpB5ivXBffuRjE8_-UmzkzOy/view?usp=drivesdk" TargetMode="External" Id="rId197"/><Relationship Type="http://schemas.openxmlformats.org/officeDocument/2006/relationships/hyperlink" Target="https://drive.google.com/file/d/1j6ufi7_TLT24Ofa1BO4zW1oEOXQHTwEx/view?usp=drivesdk" TargetMode="External" Id="rId198"/><Relationship Type="http://schemas.openxmlformats.org/officeDocument/2006/relationships/hyperlink" Target="https://drive.google.com/file/d/1JeIcHyLpXJoeawXb4HBa-8UbGkCM5w3z/view?usp=drivesdk" TargetMode="External" Id="rId199"/><Relationship Type="http://schemas.openxmlformats.org/officeDocument/2006/relationships/hyperlink" Target="https://drive.google.com/file/d/1JeIcHyLpXJoeawXb4HBa-8UbGkCM5w3z/view?usp=drivesdk" TargetMode="External" Id="rId200"/><Relationship Type="http://schemas.openxmlformats.org/officeDocument/2006/relationships/hyperlink" Target="https://drive.google.com/file/d/1JeIcHyLpXJoeawXb4HBa-8UbGkCM5w3z/view?usp=drivesdk" TargetMode="External" Id="rId201"/><Relationship Type="http://schemas.openxmlformats.org/officeDocument/2006/relationships/hyperlink" Target="https://drive.google.com/file/d/10IgWWHTwFL_5OGbdwIFQpiX2oXl3Kv26/view?usp=drivesdk" TargetMode="External" Id="rId202"/><Relationship Type="http://schemas.openxmlformats.org/officeDocument/2006/relationships/hyperlink" Target="https://drive.google.com/file/d/1_Pxvtaj7PulcHVGKDDp450Lbxc2VtzcI/view?usp=drivesdk" TargetMode="External" Id="rId203"/><Relationship Type="http://schemas.openxmlformats.org/officeDocument/2006/relationships/hyperlink" Target="https://drive.google.com/file/d/1pVYnUK3sxsHvnSRpqTfGc0eX8SC-YHad/view?usp=drivesdk" TargetMode="External" Id="rId204"/><Relationship Type="http://schemas.openxmlformats.org/officeDocument/2006/relationships/hyperlink" Target="https://drive.google.com/file/d/1jemgW-7NC6EPj20YLgpPms3scIFsf_id/view?usp=drivesdk" TargetMode="External" Id="rId205"/><Relationship Type="http://schemas.openxmlformats.org/officeDocument/2006/relationships/hyperlink" Target="https://drive.google.com/file/d/1dQgxbuJbEL0KlXrKc_5-oVaiyCBsCYnN/view?usp=drivesdk" TargetMode="External" Id="rId206"/><Relationship Type="http://schemas.openxmlformats.org/officeDocument/2006/relationships/hyperlink" Target="https://drive.google.com/file/d/1dw1bGbU9pHhTsDW2TEd2Ea7DXq1sf3ry/view?usp=drivesdk" TargetMode="External" Id="rId207"/><Relationship Type="http://schemas.openxmlformats.org/officeDocument/2006/relationships/hyperlink" Target="https://drive.google.com/file/d/1CTJssZdhaTfXfclPKvs-wjM5DJmgRYOm/view?usp=drivesdk" TargetMode="External" Id="rId208"/><Relationship Type="http://schemas.openxmlformats.org/officeDocument/2006/relationships/hyperlink" Target="https://drive.google.com/file/d/1X1B58njCpyc9anU293QeVeYg1lgqDJ6f/view?usp=drivesdk" TargetMode="External" Id="rId209"/><Relationship Type="http://schemas.openxmlformats.org/officeDocument/2006/relationships/hyperlink" Target="https://drive.google.com/file/d/1G_eZ_DOu5bIMNbn4c0pEbSBAjVFFU-aV/view?usp=drivesdk" TargetMode="External" Id="rId210"/><Relationship Type="http://schemas.openxmlformats.org/officeDocument/2006/relationships/hyperlink" Target="https://drive.google.com/file/d/1CAMDKbnRLAc0BtTnaayjMCU0RGZ6dmCJ/view?usp=drivesdk" TargetMode="External" Id="rId211"/><Relationship Type="http://schemas.openxmlformats.org/officeDocument/2006/relationships/hyperlink" Target="https://drive.google.com/file/d/1a9PDsbMBEl6jr1J063Bas9xJ16j0K-Vt/view?usp=drivesdk" TargetMode="External" Id="rId212"/><Relationship Type="http://schemas.openxmlformats.org/officeDocument/2006/relationships/hyperlink" Target="https://drive.google.com/file/d/1lqJU7hbkPONqsUch2Pdbx86gwKK54SJa/view?usp=drivesdk" TargetMode="External" Id="rId213"/><Relationship Type="http://schemas.openxmlformats.org/officeDocument/2006/relationships/hyperlink" Target="https://drive.google.com/file/d/1d_U84uWevK2oMCPjUSvzZ7NO5khPgC-P/view?usp=drivesdk" TargetMode="External" Id="rId214"/><Relationship Type="http://schemas.openxmlformats.org/officeDocument/2006/relationships/hyperlink" Target="https://drive.google.com/file/d/19CqsBdkfVuCtWYJwUtZxWcPjUVgdtwXa/view?usp=drivesdk" TargetMode="External" Id="rId215"/><Relationship Type="http://schemas.openxmlformats.org/officeDocument/2006/relationships/hyperlink" Target="https://drive.google.com/file/d/11QFEdz-ALQYNgRguLCU4q390nTPxudFV/view?usp=drivesdk" TargetMode="External" Id="rId216"/><Relationship Type="http://schemas.openxmlformats.org/officeDocument/2006/relationships/hyperlink" Target="https://drive.google.com/file/d/1xEFaJxCuSetNuU_c1vkj7d6aUgi53glp/view?usp=drivesdk" TargetMode="External" Id="rId217"/><Relationship Type="http://schemas.openxmlformats.org/officeDocument/2006/relationships/hyperlink" Target="https://drive.google.com/file/d/1Clt_1oayWTe_uKMWHSxF11W3Hku20TeM/view?usp=drivesdk" TargetMode="External" Id="rId218"/><Relationship Type="http://schemas.openxmlformats.org/officeDocument/2006/relationships/hyperlink" Target="https://drive.google.com/file/d/1sdJO0RvMRxwltlSxDMjH9VJBJL3fNAbd/view?usp=drivesdk" TargetMode="External" Id="rId219"/><Relationship Type="http://schemas.openxmlformats.org/officeDocument/2006/relationships/hyperlink" Target="https://drive.google.com/file/d/1PNaUFC5xahzY51kiiYKZL_S5miIADx75/view?usp=drivesdk" TargetMode="External" Id="rId220"/><Relationship Type="http://schemas.openxmlformats.org/officeDocument/2006/relationships/hyperlink" Target="https://drive.google.com/file/d/1pBkGZaOF08uOTUdOZ4ZJRd2iUXLBS9PX/view?usp=drivesdk" TargetMode="External" Id="rId221"/><Relationship Type="http://schemas.openxmlformats.org/officeDocument/2006/relationships/hyperlink" Target="https://drive.google.com/file/d/1fUSIlYoTBhn7TAaHCd788D_8xidQ3ig6/view?usp=drivesdk" TargetMode="External" Id="rId222"/><Relationship Type="http://schemas.openxmlformats.org/officeDocument/2006/relationships/hyperlink" Target="https://drive.google.com/file/d/1tM1bdI2BnQJKVbAm4TUciB1YXvJJV4Hu/view?usp=drivesdk" TargetMode="External" Id="rId223"/><Relationship Type="http://schemas.openxmlformats.org/officeDocument/2006/relationships/hyperlink" Target="https://drive.google.com/file/d/1iDh4XWKS_aDjaYBRiypOcQR2P0386FEv/view?usp=drivesdk" TargetMode="External" Id="rId224"/><Relationship Type="http://schemas.openxmlformats.org/officeDocument/2006/relationships/hyperlink" Target="https://drive.google.com/file/d/19tKcELT2MryZqzLhcJ7qM7L6kWIUop4G/view?usp=drivesdk" TargetMode="External" Id="rId225"/><Relationship Type="http://schemas.openxmlformats.org/officeDocument/2006/relationships/hyperlink" Target="https://drive.google.com/file/d/15TixRi8khPziOv2mekpECAchiy74hUjx/view?usp=drivesdk" TargetMode="External" Id="rId226"/><Relationship Type="http://schemas.openxmlformats.org/officeDocument/2006/relationships/hyperlink" Target="https://drive.google.com/file/d/1mWUzNUFqlSuq_IXVaK0ShiDcJWC_4FHc/view?usp=drivesdk" TargetMode="External" Id="rId227"/><Relationship Type="http://schemas.openxmlformats.org/officeDocument/2006/relationships/hyperlink" Target="https://drive.google.com/file/d/13likD8WW906M2HGq5Wvug7ODkkHDzKih/view?usp=drivesdk" TargetMode="External" Id="rId228"/><Relationship Type="http://schemas.openxmlformats.org/officeDocument/2006/relationships/hyperlink" Target="https://drive.google.com/file/d/1hhgyUumpffFo7YmK1NDe0hdXFyd2ruoD/view?usp=drivesdk" TargetMode="External" Id="rId229"/><Relationship Type="http://schemas.openxmlformats.org/officeDocument/2006/relationships/hyperlink" Target="https://drive.google.com/file/d/1Pg2_u5XWXUhzEVhWFpk5UAfluB_sxXUg/view?usp=drivesdk" TargetMode="External" Id="rId230"/><Relationship Type="http://schemas.openxmlformats.org/officeDocument/2006/relationships/hyperlink" Target="https://drive.google.com/file/d/1RH3FXE2DoYFOBszznusPUZ6-pYPFhcd2/view?usp=drivesdk" TargetMode="External" Id="rId231"/><Relationship Type="http://schemas.openxmlformats.org/officeDocument/2006/relationships/hyperlink" Target="https://drive.google.com/file/d/1j4riRxHYWnujHzWN4r7XzdH2tv9sMiFH/view?usp=drivesdk" TargetMode="External" Id="rId232"/><Relationship Type="http://schemas.openxmlformats.org/officeDocument/2006/relationships/hyperlink" Target="https://drive.google.com/file/d/15w6ESZfzumdpjDfi9EQN9psMXCJV_Hwd/view?usp=drivesdk" TargetMode="External" Id="rId233"/><Relationship Type="http://schemas.openxmlformats.org/officeDocument/2006/relationships/hyperlink" Target="https://drive.google.com/file/d/1S6TdOUymKmL4uKlQaQmww7hrDCIJ9MJZ/view?usp=drivesdk" TargetMode="External" Id="rId234"/><Relationship Type="http://schemas.openxmlformats.org/officeDocument/2006/relationships/hyperlink" Target="https://drive.google.com/file/d/1TZmzFUj-P1A9vLLo40CWCkWEN2gDeBeK/view?usp=drivesdk" TargetMode="External" Id="rId235"/><Relationship Type="http://schemas.openxmlformats.org/officeDocument/2006/relationships/hyperlink" Target="https://drive.google.com/file/d/1p7nlISEikzDjF5vwBdxYrTaHYsrOxTsX/view?usp=drivesdk" TargetMode="External" Id="rId236"/><Relationship Type="http://schemas.openxmlformats.org/officeDocument/2006/relationships/hyperlink" Target="https://drive.google.com/file/d/1BolX7o1QrQNYcHCahPRhqhQbg0iyzlQf/view?usp=drivesdk" TargetMode="External" Id="rId237"/><Relationship Type="http://schemas.openxmlformats.org/officeDocument/2006/relationships/hyperlink" Target="https://drive.google.com/file/d/1OYzz9PvfXbaPvU6uCj0D6mZ_0y5p7Oyi/view?usp=drivesdk" TargetMode="External" Id="rId238"/><Relationship Type="http://schemas.openxmlformats.org/officeDocument/2006/relationships/hyperlink" Target="https://drive.google.com/file/d/1prmWvnNmo05fERweN1ZTnLwQjwTrlEB0/view?usp=drivesdk" TargetMode="External" Id="rId239"/><Relationship Type="http://schemas.openxmlformats.org/officeDocument/2006/relationships/hyperlink" Target="https://drive.google.com/file/d/1Hqc10pUCh_j3Ti1eEBPf8DGjhW8Uzbl_/view?usp=drivesdk" TargetMode="External" Id="rId240"/><Relationship Type="http://schemas.openxmlformats.org/officeDocument/2006/relationships/hyperlink" Target="https://drive.google.com/file/d/1YFksu1WcH-Wr6jEscurKqhD5-malqHu6/view?usp=drivesdk" TargetMode="External" Id="rId241"/><Relationship Type="http://schemas.openxmlformats.org/officeDocument/2006/relationships/hyperlink" Target="https://drive.google.com/file/d/1ZvHWDlnaKKTQ1UpjbTWqKCQ39KtgcwU-/view?usp=drivesdk" TargetMode="External" Id="rId242"/><Relationship Type="http://schemas.openxmlformats.org/officeDocument/2006/relationships/hyperlink" Target="https://drive.google.com/file/d/10mqHKhDbwH2GXBiCz513VIROyxU9CryF/view?usp=drivesdk" TargetMode="External" Id="rId243"/><Relationship Type="http://schemas.openxmlformats.org/officeDocument/2006/relationships/hyperlink" Target="https://drive.google.com/file/d/10mqHKhDbwH2GXBiCz513VIROyxU9CryF/view?usp=drivesdk" TargetMode="External" Id="rId244"/><Relationship Type="http://schemas.openxmlformats.org/officeDocument/2006/relationships/hyperlink" Target="https://drive.google.com/file/d/10mqHKhDbwH2GXBiCz513VIROyxU9CryF/view?usp=drivesdk" TargetMode="External" Id="rId245"/><Relationship Type="http://schemas.openxmlformats.org/officeDocument/2006/relationships/hyperlink" Target="https://drive.google.com/file/d/1CngyX09_0YFcf5phLUgZ2jOJFWkCUsZK/view?usp=drivesdk" TargetMode="External" Id="rId246"/><Relationship Type="http://schemas.openxmlformats.org/officeDocument/2006/relationships/hyperlink" Target="https://drive.google.com/file/d/1nRw20bQxDFFKrO0NgRD7moO4sS90lxtQ/view?usp=drivesdk" TargetMode="External" Id="rId247"/><Relationship Type="http://schemas.openxmlformats.org/officeDocument/2006/relationships/hyperlink" Target="https://drive.google.com/file/d/1sj8UHvTU5ISFL1Rs_i-s2ZyBVKahvqo3/view?usp=drivesdk" TargetMode="External" Id="rId248"/><Relationship Type="http://schemas.openxmlformats.org/officeDocument/2006/relationships/hyperlink" Target="https://drive.google.com/file/d/1MuU-EL9S6q1MLS-0sXweQf8wj6PaZlwJ/view?usp=drivesdk" TargetMode="External" Id="rId249"/><Relationship Type="http://schemas.openxmlformats.org/officeDocument/2006/relationships/hyperlink" Target="https://drive.google.com/file/d/1bTr0lALr8OQLt3z3XbCj7NEe2jyA9E6n/view?usp=drivesdk" TargetMode="External" Id="rId250"/><Relationship Type="http://schemas.openxmlformats.org/officeDocument/2006/relationships/hyperlink" Target="https://drive.google.com/file/d/1LPWwhNhLyveyge93E3dAJko8qz81iIlS/view?usp=drivesdk" TargetMode="External" Id="rId251"/><Relationship Type="http://schemas.openxmlformats.org/officeDocument/2006/relationships/hyperlink" Target="https://drive.google.com/file/d/1JeZNnXOC1MJIfYK6vxkGZPJzF18Yvf2i/view?usp=drivesdk" TargetMode="External" Id="rId252"/><Relationship Type="http://schemas.openxmlformats.org/officeDocument/2006/relationships/hyperlink" Target="https://drive.google.com/file/d/1UYCZcwrvzaQcFRK_OmGrC0chjho0BH_4/view?usp=drivesdk" TargetMode="External" Id="rId253"/><Relationship Type="http://schemas.openxmlformats.org/officeDocument/2006/relationships/hyperlink" Target="https://drive.google.com/file/d/17SwXOwha93ArgkWqwlGslE2zzaBTHuYm/view?usp=drivesdk" TargetMode="External" Id="rId254"/><Relationship Type="http://schemas.openxmlformats.org/officeDocument/2006/relationships/hyperlink" Target="https://drive.google.com/file/d/17SwXOwha93ArgkWqwlGslE2zzaBTHuYm/view?usp=drivesdk" TargetMode="External" Id="rId255"/><Relationship Type="http://schemas.openxmlformats.org/officeDocument/2006/relationships/hyperlink" Target="https://drive.google.com/file/d/17SwXOwha93ArgkWqwlGslE2zzaBTHuYm/view?usp=drivesdk" TargetMode="External" Id="rId256"/><Relationship Type="http://schemas.openxmlformats.org/officeDocument/2006/relationships/hyperlink" Target="https://drive.google.com/file/d/1BNVhIuKO_nIeduo1mvmED7LGfq8o6pOi/view?usp=drivesdk" TargetMode="External" Id="rId257"/><Relationship Type="http://schemas.openxmlformats.org/officeDocument/2006/relationships/hyperlink" Target="https://drive.google.com/file/d/1WXq6EiWbiSzgzOUg4eKhV7tbiLvwrzOW/view?usp=drivesdk" TargetMode="External" Id="rId258"/><Relationship Type="http://schemas.openxmlformats.org/officeDocument/2006/relationships/hyperlink" Target="https://drive.google.com/file/d/1WOCuBKMJcROwH77yarRkPxZWSIX6v2VQ/view?usp=drivesdk" TargetMode="External" Id="rId259"/><Relationship Type="http://schemas.openxmlformats.org/officeDocument/2006/relationships/hyperlink" Target="https://drive.google.com/file/d/15DJjwL1eyy8fjR_VKlMq9Ge3A4s6lfHR/view?usp=drivesdk" TargetMode="External" Id="rId260"/><Relationship Type="http://schemas.openxmlformats.org/officeDocument/2006/relationships/hyperlink" Target="https://drive.google.com/file/d/1ppfYU6IzVmw57ZjqhkvhEtoxKQN85AaI/view?usp=drivesdk" TargetMode="External" Id="rId261"/><Relationship Type="http://schemas.openxmlformats.org/officeDocument/2006/relationships/hyperlink" Target="https://drive.google.com/file/d/1j8nIqLwP8yL_500gO4VgBF8Uv-q6XDsT/view?usp=drivesdk" TargetMode="External" Id="rId262"/><Relationship Type="http://schemas.openxmlformats.org/officeDocument/2006/relationships/hyperlink" Target="https://drive.google.com/file/d/12TkAAtAMg_0RJTqh75J2fsF0sXtcEvfB/view?usp=drivesdk" TargetMode="External" Id="rId263"/><Relationship Type="http://schemas.openxmlformats.org/officeDocument/2006/relationships/hyperlink" Target="https://drive.google.com/file/d/1ZwcGgiLDPGCIIqv9UvWAzKa_PEzs5uXa/view?usp=drivesdk" TargetMode="External" Id="rId264"/><Relationship Type="http://schemas.openxmlformats.org/officeDocument/2006/relationships/hyperlink" Target="https://drive.google.com/file/d/1Jd8qNT0SBz4iVjv1YguevseqZVvbyiVE/view?usp=drivesdk" TargetMode="External" Id="rId265"/><Relationship Type="http://schemas.openxmlformats.org/officeDocument/2006/relationships/hyperlink" Target="https://drive.google.com/file/d/18ew7IbkFTAN1yEV8RHz3EJLorUqDafPl/view?usp=drivesdk" TargetMode="External" Id="rId266"/><Relationship Type="http://schemas.openxmlformats.org/officeDocument/2006/relationships/hyperlink" Target="https://drive.google.com/file/d/1CrnT09tGBt8_F2_jColZHAjORjWxavXn/view?usp=drivesdk" TargetMode="External" Id="rId267"/><Relationship Type="http://schemas.openxmlformats.org/officeDocument/2006/relationships/hyperlink" Target="https://drive.google.com/file/d/1--2W5HFAPwFPSuJ0Cr1F9zoiV56z1bf3/view?usp=drivesdk" TargetMode="External" Id="rId268"/><Relationship Type="http://schemas.openxmlformats.org/officeDocument/2006/relationships/hyperlink" Target="https://drive.google.com/file/d/1I5esD7OaLVAKRYj9ckZYZ6toIR7o-SI6/view?usp=drivesdk" TargetMode="External" Id="rId269"/><Relationship Type="http://schemas.openxmlformats.org/officeDocument/2006/relationships/hyperlink" Target="https://drive.google.com/file/d/1LMO7OS2rbiaeagVAVFsiylZfpXX1lH_u/view?usp=drivesdk" TargetMode="External" Id="rId270"/><Relationship Type="http://schemas.openxmlformats.org/officeDocument/2006/relationships/hyperlink" Target="https://drive.google.com/file/d/1Q405vsSfYfRhdVVYDxke8jCy8cwxN9_Z/view?usp=drivesdk" TargetMode="External" Id="rId271"/><Relationship Type="http://schemas.openxmlformats.org/officeDocument/2006/relationships/hyperlink" Target="https://drive.google.com/file/d/10g_MKbJ2ynAeEw3uKKeBMDrAGhJT8Sly/view?usp=drivesdk" TargetMode="External" Id="rId272"/><Relationship Type="http://schemas.openxmlformats.org/officeDocument/2006/relationships/hyperlink" Target="https://drive.google.com/file/d/1vDGaym77kIhqv5trImCduBji7GaUBKYT/view?usp=drivesdk" TargetMode="External" Id="rId273"/><Relationship Type="http://schemas.openxmlformats.org/officeDocument/2006/relationships/hyperlink" Target="https://drive.google.com/file/d/1u5uA6L_xghfRuzQ3HCjvU2RQoA-nK6Le/view?usp=drivesdk" TargetMode="External" Id="rId274"/><Relationship Type="http://schemas.openxmlformats.org/officeDocument/2006/relationships/hyperlink" Target="https://drive.google.com/file/d/1CiUO_YtIF9q74J2uqmqqBgcL4mYYpDjR/view?usp=drivesdk" TargetMode="External" Id="rId275"/><Relationship Type="http://schemas.openxmlformats.org/officeDocument/2006/relationships/hyperlink" Target="https://drive.google.com/file/d/15Eg1uHVxRWpncSLvdw4FekYjXjrhyxUU/view?usp=drivesdk" TargetMode="External" Id="rId276"/><Relationship Type="http://schemas.openxmlformats.org/officeDocument/2006/relationships/hyperlink" Target="https://drive.google.com/file/d/1kx8vxFuCt9So8IfVCfmYYTqTZz0ESt9s/view?usp=drivesdk" TargetMode="External" Id="rId277"/><Relationship Type="http://schemas.openxmlformats.org/officeDocument/2006/relationships/hyperlink" Target="https://drive.google.com/file/d/1mRyormfjSBBmhVfcKVXMR3rVYpt5mT-e/view?usp=drivesdk" TargetMode="External" Id="rId278"/><Relationship Type="http://schemas.openxmlformats.org/officeDocument/2006/relationships/hyperlink" Target="https://drive.google.com/file/d/1kVF50XDnWHzX2qZrRhMkhzk0VWgAmaZp/view?usp=drivesdk" TargetMode="External" Id="rId279"/><Relationship Type="http://schemas.openxmlformats.org/officeDocument/2006/relationships/hyperlink" Target="https://drive.google.com/file/d/1HHH8nERBHqYUnyXMXrQOYK5J3yH48gIP/view?usp=drivesdk" TargetMode="External" Id="rId280"/><Relationship Type="http://schemas.openxmlformats.org/officeDocument/2006/relationships/hyperlink" Target="https://drive.google.com/file/d/1PXxDBRRsN2X0xrVa9QNwTz3UogsXyeWB/view?usp=drivesdk" TargetMode="External" Id="rId281"/><Relationship Type="http://schemas.openxmlformats.org/officeDocument/2006/relationships/hyperlink" Target="https://drive.google.com/file/d/1Fx5Rw1EWH7fs1PfneeIGuBXLkMHpHV51/view?usp=drivesdk" TargetMode="External" Id="rId282"/><Relationship Type="http://schemas.openxmlformats.org/officeDocument/2006/relationships/hyperlink" Target="https://drive.google.com/file/d/1X457_NoitFdIi2nH1lGFMbhKad4ZArk7/view?usp=drivesdk" TargetMode="External" Id="rId283"/><Relationship Type="http://schemas.openxmlformats.org/officeDocument/2006/relationships/hyperlink" Target="https://drive.google.com/file/d/1hqmssZhpCe4dGP_xDDgQURd83zkjequL/view?usp=drivesdk" TargetMode="External" Id="rId284"/><Relationship Type="http://schemas.openxmlformats.org/officeDocument/2006/relationships/hyperlink" Target="https://drive.google.com/file/d/1RIY2oBQdXguWBqOiSH7du4GMV6jtmLI4/view?usp=drivesdk" TargetMode="External" Id="rId285"/><Relationship Type="http://schemas.openxmlformats.org/officeDocument/2006/relationships/hyperlink" Target="https://drive.google.com/file/d/1QR0OLJmOG-fpBOFDjOdrllVqOhz_kmP2/view?usp=drivesdk" TargetMode="External" Id="rId286"/><Relationship Type="http://schemas.openxmlformats.org/officeDocument/2006/relationships/hyperlink" Target="https://drive.google.com/file/d/1Zgnmha_ZmBwHV-yowLzjWIXmusIoHbWi/view?usp=drivesdk" TargetMode="External" Id="rId287"/><Relationship Type="http://schemas.openxmlformats.org/officeDocument/2006/relationships/hyperlink" Target="https://drive.google.com/file/d/12KJlRIwF__AoW47dDBPexKCiXUNO81Lg/view?usp=drivesdk" TargetMode="External" Id="rId288"/><Relationship Type="http://schemas.openxmlformats.org/officeDocument/2006/relationships/hyperlink" Target="https://drive.google.com/file/d/1W0DeFOcV_D2WbXs_E7sXmYfSJicNrQzV/view?usp=drivesdk" TargetMode="External" Id="rId289"/><Relationship Type="http://schemas.openxmlformats.org/officeDocument/2006/relationships/hyperlink" Target="https://drive.google.com/file/d/1hqT6yrDxExqJuTIMD80V6gt93ysSwHXN/view?usp=drivesdk" TargetMode="External" Id="rId290"/><Relationship Type="http://schemas.openxmlformats.org/officeDocument/2006/relationships/hyperlink" Target="https://drive.google.com/file/d/1jSTtWTTNJX_JJ-yuq0H1w4dBM1fToU__/view?usp=drivesdk" TargetMode="External" Id="rId291"/><Relationship Type="http://schemas.openxmlformats.org/officeDocument/2006/relationships/hyperlink" Target="https://drive.google.com/file/d/1QgvPkQKQ9LQG_WZIlizNT5H5nDUi9z2w/view?usp=drivesdk" TargetMode="External" Id="rId292"/><Relationship Type="http://schemas.openxmlformats.org/officeDocument/2006/relationships/hyperlink" Target="https://drive.google.com/file/d/1_jJpSoO4g422M-vUT42eU3r8d2InRqXT/view?usp=drivesdk" TargetMode="External" Id="rId293"/><Relationship Type="http://schemas.openxmlformats.org/officeDocument/2006/relationships/hyperlink" Target="https://drive.google.com/file/d/1nK8qzYS78JDK7Bdq5-KChTjB7Lmq0SHE/view?usp=drivesdk" TargetMode="External" Id="rId294"/><Relationship Type="http://schemas.openxmlformats.org/officeDocument/2006/relationships/hyperlink" Target="https://drive.google.com/file/d/1Bx2R5UDHjnjLdOk5EkB3gvMwBXh8QHYt/view?usp=drivesdk" TargetMode="External" Id="rId295"/><Relationship Type="http://schemas.openxmlformats.org/officeDocument/2006/relationships/hyperlink" Target="https://drive.google.com/file/d/17y5_QthnI2mCJHOPwj_c94PK56RPaBfn/view?usp=drivesdk" TargetMode="External" Id="rId296"/><Relationship Type="http://schemas.openxmlformats.org/officeDocument/2006/relationships/hyperlink" Target="https://drive.google.com/file/d/11pAMLyTBeIB39EXjc8sM29SpgvYLIfaY/view?usp=drivesdk" TargetMode="External" Id="rId297"/><Relationship Type="http://schemas.openxmlformats.org/officeDocument/2006/relationships/hyperlink" Target="https://drive.google.com/file/d/1BFEhomoajTlxiC4uPuU_lUaove7Lwfl8/view?usp=drivesdk" TargetMode="External" Id="rId298"/><Relationship Type="http://schemas.openxmlformats.org/officeDocument/2006/relationships/hyperlink" Target="https://drive.google.com/file/d/1AE4790U2J2frI_OMdLO0rRWhPqUzob36/view?usp=drivesdk" TargetMode="External" Id="rId299"/><Relationship Type="http://schemas.openxmlformats.org/officeDocument/2006/relationships/hyperlink" Target="https://drive.google.com/file/d/1d5cIQkZLHfO09p4DlMla8b30BzDilljj/view?usp=drivesdk" TargetMode="External" Id="rId300"/><Relationship Type="http://schemas.openxmlformats.org/officeDocument/2006/relationships/hyperlink" Target="https://drive.google.com/file/d/1d5cIQkZLHfO09p4DlMla8b30BzDilljj/view?usp=drivesdk" TargetMode="External" Id="rId301"/><Relationship Type="http://schemas.openxmlformats.org/officeDocument/2006/relationships/hyperlink" Target="https://drive.google.com/file/d/1d5cIQkZLHfO09p4DlMla8b30BzDilljj/view?usp=drivesdk" TargetMode="External" Id="rId302"/><Relationship Type="http://schemas.openxmlformats.org/officeDocument/2006/relationships/hyperlink" Target="https://drive.google.com/file/d/1C-L0E6JZ703rAbOXxW6hcNFxy4fYhxMv/view?usp=drivesdk" TargetMode="External" Id="rId303"/><Relationship Type="http://schemas.openxmlformats.org/officeDocument/2006/relationships/hyperlink" Target="https://drive.google.com/file/d/1Xy8h3VrGuORkO7QweFT63J0K3bum0GJ6/view?usp=drivesdk" TargetMode="External" Id="rId304"/><Relationship Type="http://schemas.openxmlformats.org/officeDocument/2006/relationships/hyperlink" Target="https://drive.google.com/file/d/1Q8tj6X0_a_j-9Y3JAg27XUnQLJtiC3Jm/view?usp=drivesdk" TargetMode="External" Id="rId305"/><Relationship Type="http://schemas.openxmlformats.org/officeDocument/2006/relationships/hyperlink" Target="https://drive.google.com/file/d/1uadzfsGhGUAk15xuVHCEymbjyHRRLwEf/view?usp=drivesdk" TargetMode="External" Id="rId306"/><Relationship Type="http://schemas.openxmlformats.org/officeDocument/2006/relationships/hyperlink" Target="https://drive.google.com/file/d/1PN00YXqrF6UPpTB1nG5y8rkbD7WVb2qC/view?usp=drivesdk" TargetMode="External" Id="rId307"/><Relationship Type="http://schemas.openxmlformats.org/officeDocument/2006/relationships/hyperlink" Target="https://drive.google.com/file/d/19q6LU0pbFlemP5c6eVPkeFMZ5f7mjVT-/view?usp=drivesdk" TargetMode="External" Id="rId308"/><Relationship Type="http://schemas.openxmlformats.org/officeDocument/2006/relationships/hyperlink" Target="https://drive.google.com/file/d/1tJsgTF1spaCMaPyE8pVb99JnwGqeXnlt/view?usp=drivesdk" TargetMode="External" Id="rId309"/><Relationship Type="http://schemas.openxmlformats.org/officeDocument/2006/relationships/hyperlink" Target="https://drive.google.com/file/d/15ElYvs97D9dESek8WkCpiaKCDxbi6iDr/view?usp=drivesdk" TargetMode="External" Id="rId310"/><Relationship Type="http://schemas.openxmlformats.org/officeDocument/2006/relationships/hyperlink" Target="https://drive.google.com/file/d/15ElYvs97D9dESek8WkCpiaKCDxbi6iDr/view?usp=drivesdk" TargetMode="External" Id="rId311"/><Relationship Type="http://schemas.openxmlformats.org/officeDocument/2006/relationships/hyperlink" Target="https://drive.google.com/file/d/15ElYvs97D9dESek8WkCpiaKCDxbi6iDr/view?usp=drivesdk" TargetMode="External" Id="rId312"/><Relationship Type="http://schemas.openxmlformats.org/officeDocument/2006/relationships/hyperlink" Target="https://drive.google.com/file/d/1_9lSveub21P5dSz2ttoh_l3WhirsozQ8/view?usp=drivesdk" TargetMode="External" Id="rId313"/><Relationship Type="http://schemas.openxmlformats.org/officeDocument/2006/relationships/hyperlink" Target="https://drive.google.com/file/d/1zPJu3jNMluEeYrVIrXR7PyIUxFf-0aqM/view?usp=drivesdk" TargetMode="External" Id="rId314"/><Relationship Type="http://schemas.openxmlformats.org/officeDocument/2006/relationships/hyperlink" Target="https://drive.google.com/file/d/1c_lA4A26W-4zDPjKwAzQuOQndxJDvyBL/view?usp=drivesdk" TargetMode="External" Id="rId315"/><Relationship Type="http://schemas.openxmlformats.org/officeDocument/2006/relationships/hyperlink" Target="https://drive.google.com/file/d/1WKu4lty-yVb4htzMD36LdsY4sAq9moEq/view?usp=drivesdk" TargetMode="External" Id="rId316"/><Relationship Type="http://schemas.openxmlformats.org/officeDocument/2006/relationships/hyperlink" Target="https://drive.google.com/file/d/1y7V69gIwn_3NfAO0wRKc-WDAvJnBwP2H/view?usp=drivesdk" TargetMode="External" Id="rId317"/><Relationship Type="http://schemas.openxmlformats.org/officeDocument/2006/relationships/hyperlink" Target="https://drive.google.com/file/d/1B0Yq8buib1CGNGbrJ3TMCA__-2pIb5JT/view?usp=drivesdk" TargetMode="External" Id="rId318"/><Relationship Type="http://schemas.openxmlformats.org/officeDocument/2006/relationships/hyperlink" Target="https://drive.google.com/file/d/1qSePkLDeT_kWyhpvgjVcHCI5ErpdTCXS/view?usp=drivesdk" TargetMode="External" Id="rId319"/><Relationship Type="http://schemas.openxmlformats.org/officeDocument/2006/relationships/hyperlink" Target="https://drive.google.com/file/d/1jV9pQSqcYhB31OC8OvcTKFh_3-huzdgS/view?usp=drivesdk" TargetMode="External" Id="rId320"/><Relationship Type="http://schemas.openxmlformats.org/officeDocument/2006/relationships/hyperlink" Target="https://drive.google.com/file/d/1La9cQufOlVHKRZteKeEiQGfAMt_2jk3J/view?usp=drivesdk" TargetMode="External" Id="rId321"/><Relationship Type="http://schemas.openxmlformats.org/officeDocument/2006/relationships/hyperlink" Target="https://drive.google.com/file/d/1YamTfUkFQjbLX0mJTtL0zRuLpeiAyl5c/view?usp=drivesdk" TargetMode="External" Id="rId322"/><Relationship Type="http://schemas.openxmlformats.org/officeDocument/2006/relationships/hyperlink" Target="https://drive.google.com/file/d/1rYlbZuwuUeFv4IN9ejPEP5M7bEPqsE6-/view?usp=drivesdk" TargetMode="External" Id="rId323"/><Relationship Type="http://schemas.openxmlformats.org/officeDocument/2006/relationships/hyperlink" Target="https://drive.google.com/file/d/1FNF0cVnIcNEdrTDmuTUkfzSBTJahAbuh/view?usp=drivesdk" TargetMode="External" Id="rId324"/><Relationship Type="http://schemas.openxmlformats.org/officeDocument/2006/relationships/hyperlink" Target="https://drive.google.com/file/d/1aPJFVu0l5QEMWzLFM8Ib2eGxoP1reStK/view?usp=drivesdk" TargetMode="External" Id="rId325"/><Relationship Type="http://schemas.openxmlformats.org/officeDocument/2006/relationships/hyperlink" Target="https://drive.google.com/file/d/1W3NTsMSkfD4YvAyuXCWQr4Y259fV_8q_/view?usp=drivesdk" TargetMode="External" Id="rId326"/><Relationship Type="http://schemas.openxmlformats.org/officeDocument/2006/relationships/hyperlink" Target="https://drive.google.com/file/d/1PDKLPFbjKpJXxLuQii0tgvZrK5ilRucD/view?usp=drivesdk" TargetMode="External" Id="rId327"/><Relationship Type="http://schemas.openxmlformats.org/officeDocument/2006/relationships/hyperlink" Target="https://drive.google.com/file/d/1CI_xweZ1-IruaPvju0RVpLugFoTLxKij/view?usp=drivesdk" TargetMode="External" Id="rId328"/><Relationship Type="http://schemas.openxmlformats.org/officeDocument/2006/relationships/hyperlink" Target="https://drive.google.com/file/d/1n0EywVvrKdYRqYs4baAEGAuqr7MSBRGD/view?usp=drivesdk" TargetMode="External" Id="rId329"/><Relationship Type="http://schemas.openxmlformats.org/officeDocument/2006/relationships/hyperlink" Target="https://drive.google.com/file/d/1_SMyv04TjEj_pqMjdM6BN1fLOg1EMjxI/view?usp=drivesdk" TargetMode="External" Id="rId330"/><Relationship Type="http://schemas.openxmlformats.org/officeDocument/2006/relationships/hyperlink" Target="https://drive.google.com/file/d/1L-eDmPpCHqEwS8D5tG1n1B3IYPViE2NP/view?usp=drivesdk" TargetMode="External" Id="rId331"/><Relationship Type="http://schemas.openxmlformats.org/officeDocument/2006/relationships/hyperlink" Target="https://drive.google.com/file/d/1pneSuUsmZw0hUWw1ciZojQAR-ldIYatr/view?usp=drivesdk" TargetMode="External" Id="rId332"/><Relationship Type="http://schemas.openxmlformats.org/officeDocument/2006/relationships/hyperlink" Target="https://drive.google.com/file/d/1uehnKfRATLukD3EPUq_OL77RNvciYyrG/view?usp=drivesdk" TargetMode="External" Id="rId333"/><Relationship Type="http://schemas.openxmlformats.org/officeDocument/2006/relationships/hyperlink" Target="https://drive.google.com/file/d/1ngXv6P3EpMVSsk_Xi181MJDI-gJJNLQG/view?usp=drivesdk" TargetMode="External" Id="rId334"/><Relationship Type="http://schemas.openxmlformats.org/officeDocument/2006/relationships/hyperlink" Target="https://drive.google.com/file/d/1wWU_1nxgnvGfJUBcCaGgklACXoJaxvbg/view?usp=drivesdk" TargetMode="External" Id="rId335"/><Relationship Type="http://schemas.openxmlformats.org/officeDocument/2006/relationships/hyperlink" Target="https://drive.google.com/file/d/1CEaV1ZL3XX_6ZsYmSQV156w3w7FUD3op/view?usp=drivesdk" TargetMode="External" Id="rId336"/><Relationship Type="http://schemas.openxmlformats.org/officeDocument/2006/relationships/hyperlink" Target="https://drive.google.com/file/d/1BM56av5Su52R9xl2zVzpTsV2Z22sXKSl/view?usp=drivesdk" TargetMode="External" Id="rId337"/><Relationship Type="http://schemas.openxmlformats.org/officeDocument/2006/relationships/hyperlink" Target="https://drive.google.com/file/d/1OnH6_2PjvqUsDL0XnuvOokFkkYG2X9Br/view?usp=drivesdk" TargetMode="External" Id="rId338"/><Relationship Type="http://schemas.openxmlformats.org/officeDocument/2006/relationships/hyperlink" Target="https://drive.google.com/file/d/1dcfQU6ijQUA8-liR_VkhfMF0wTXRGFVB/view?usp=drivesdk" TargetMode="External" Id="rId339"/><Relationship Type="http://schemas.openxmlformats.org/officeDocument/2006/relationships/hyperlink" Target="https://drive.google.com/file/d/1g1Y3RrhvD1Qc9dHf-fZCKIgii3fFwBxV/view?usp=drivesdk" TargetMode="External" Id="rId340"/><Relationship Type="http://schemas.openxmlformats.org/officeDocument/2006/relationships/hyperlink" Target="https://drive.google.com/file/d/1QWX30mJJP3flv2k032ih5-Qx5nSyFWxf/view?usp=drivesdk" TargetMode="External" Id="rId341"/><Relationship Type="http://schemas.openxmlformats.org/officeDocument/2006/relationships/hyperlink" Target="https://drive.google.com/file/d/1EpCqqEQoivfUVUTWlNFEQKtkgInSdgQ3/view?usp=drivesdk" TargetMode="External" Id="rId342"/><Relationship Type="http://schemas.openxmlformats.org/officeDocument/2006/relationships/hyperlink" Target="https://drive.google.com/file/d/1xoGJMdZJtQYYM2n2pm-jO7fbhtlQwbwi/view?usp=drivesdk" TargetMode="External" Id="rId343"/><Relationship Type="http://schemas.openxmlformats.org/officeDocument/2006/relationships/hyperlink" Target="https://drive.google.com/file/d/1MDIs28rK5i9mubCddtlPkRt30aDpNl8U/view?usp=drivesdk" TargetMode="External" Id="rId344"/><Relationship Type="http://schemas.openxmlformats.org/officeDocument/2006/relationships/hyperlink" Target="https://drive.google.com/file/d/15GVedhY_Gl0PpYtjqFX3NWCQlKZKQ8cn/view?usp=drivesdk" TargetMode="External" Id="rId345"/><Relationship Type="http://schemas.openxmlformats.org/officeDocument/2006/relationships/hyperlink" Target="https://drive.google.com/file/d/1gGxwu4sgSQALHI5GuZLsNjcbCAVNHe2R/view?usp=drivesdk" TargetMode="External" Id="rId346"/><Relationship Type="http://schemas.openxmlformats.org/officeDocument/2006/relationships/hyperlink" Target="https://drive.google.com/file/d/1tff0GJT8Ypaz3kXZw2X6rnZkrJvcGYKR/view?usp=drivesdk" TargetMode="External" Id="rId347"/><Relationship Type="http://schemas.openxmlformats.org/officeDocument/2006/relationships/hyperlink" Target="https://drive.google.com/file/d/12aAWFEEdzb5j2tV4l0A0oQ8GR9NHRtgI/view?usp=drivesdk" TargetMode="External" Id="rId348"/><Relationship Type="http://schemas.openxmlformats.org/officeDocument/2006/relationships/hyperlink" Target="https://drive.google.com/file/d/1B3io5YGmR3RT24Qbh5AQXrPR9ViffHIS/view?usp=drivesdk" TargetMode="External" Id="rId349"/><Relationship Type="http://schemas.openxmlformats.org/officeDocument/2006/relationships/hyperlink" Target="https://drive.google.com/file/d/1CrwqKvYiDQBox1HOG9l8DscgX3UBvWbS/view?usp=drivesdk" TargetMode="External" Id="rId350"/><Relationship Type="http://schemas.openxmlformats.org/officeDocument/2006/relationships/hyperlink" Target="https://drive.google.com/file/d/1R23fupAyC7WD-BZwliBegEBTxNl2N03B/view?usp=drivesdk" TargetMode="External" Id="rId351"/><Relationship Type="http://schemas.openxmlformats.org/officeDocument/2006/relationships/hyperlink" Target="https://drive.google.com/file/d/1hoWg6TfcG-NPv7hMfITu-oKnH2oVr_eX/view?usp=drivesdk" TargetMode="External" Id="rId352"/><Relationship Type="http://schemas.openxmlformats.org/officeDocument/2006/relationships/hyperlink" Target="https://drive.google.com/file/d/1hPMWmwoSk_E-NyCq2uC5-Bms9wRJESlM/view?usp=drivesdk" TargetMode="External" Id="rId353"/><Relationship Type="http://schemas.openxmlformats.org/officeDocument/2006/relationships/hyperlink" Target="https://drive.google.com/file/d/1MjbvGYnouuMkppyPq0weIAEzTe4k5xge/view?usp=drivesdk" TargetMode="External" Id="rId354"/><Relationship Type="http://schemas.openxmlformats.org/officeDocument/2006/relationships/hyperlink" Target="https://drive.google.com/file/d/1zz5LASlTYsQglYZHAdlobUGBURvgCxBV/view?usp=drivesdk" TargetMode="External" Id="rId355"/><Relationship Type="http://schemas.openxmlformats.org/officeDocument/2006/relationships/hyperlink" Target="https://drive.google.com/file/d/1XiV0belx8HMpXLhBrEEw7NdwOr6W6EpP/view?usp=drivesdk" TargetMode="External" Id="rId356"/><Relationship Type="http://schemas.openxmlformats.org/officeDocument/2006/relationships/hyperlink" Target="https://drive.google.com/file/d/1BgipjaNJok28U6NHH7hb1HzCn7H_8YYR/view?usp=drivesdk" TargetMode="External" Id="rId357"/><Relationship Type="http://schemas.openxmlformats.org/officeDocument/2006/relationships/hyperlink" Target="https://drive.google.com/file/d/1rfPfdJcTvizW0eXGbWDtwHLLG8g79BXM/view?usp=drivesdk" TargetMode="External" Id="rId358"/><Relationship Type="http://schemas.openxmlformats.org/officeDocument/2006/relationships/hyperlink" Target="https://drive.google.com/file/d/17YPz8z7fRt7mMpHRe7X63aN95sJfrkid/view?usp=drivesdk" TargetMode="External" Id="rId359"/><Relationship Type="http://schemas.openxmlformats.org/officeDocument/2006/relationships/hyperlink" Target="https://drive.google.com/file/d/1tSGPsHHVzqmLGDRBLKLoeEggwrJqW_6L/view?usp=drivesdk" TargetMode="External" Id="rId360"/><Relationship Type="http://schemas.openxmlformats.org/officeDocument/2006/relationships/hyperlink" Target="https://drive.google.com/file/d/1z4saK7F3rxKzXrumdfYopy3wLeFqH0Dt/view?usp=drivesdk" TargetMode="External" Id="rId361"/><Relationship Type="http://schemas.openxmlformats.org/officeDocument/2006/relationships/hyperlink" Target="https://drive.google.com/file/d/12u1CWpL1978NM0H-5y0u3Q9eDkS_FVGw/view?usp=drivesdk" TargetMode="External" Id="rId362"/><Relationship Type="http://schemas.openxmlformats.org/officeDocument/2006/relationships/hyperlink" Target="https://drive.google.com/file/d/1vWhd7Pa5SP43onRKws4nymWiU7NozmOg/view?usp=drivesdk" TargetMode="External" Id="rId363"/><Relationship Type="http://schemas.openxmlformats.org/officeDocument/2006/relationships/hyperlink" Target="https://drive.google.com/file/d/1z8NVoi-_e47R6qkIxAaXaFscoze8wk2b/view?usp=drivesdk" TargetMode="External" Id="rId364"/><Relationship Type="http://schemas.openxmlformats.org/officeDocument/2006/relationships/hyperlink" Target="https://drive.google.com/file/d/11-v2MJhXEqPk_yYCx2KlK8ou1Hj1nl96/view?usp=drivesdk" TargetMode="External" Id="rId365"/><Relationship Type="http://schemas.openxmlformats.org/officeDocument/2006/relationships/hyperlink" Target="https://drive.google.com/file/d/16ubitUS_HwiWCAlQIEN9NuPpQ3Kiu4wg/view?usp=drivesdk" TargetMode="External" Id="rId366"/><Relationship Type="http://schemas.openxmlformats.org/officeDocument/2006/relationships/hyperlink" Target="https://drive.google.com/file/d/1hjw_XrPrz9bJ96OfjFlmMQIFAS8EGuwO/view?usp=drivesdk" TargetMode="External" Id="rId367"/><Relationship Type="http://schemas.openxmlformats.org/officeDocument/2006/relationships/hyperlink" Target="https://drive.google.com/file/d/1A2tjqFyfnDai7ZyuG3PAxaNkx_P1PrBZ/view?usp=drivesdk" TargetMode="External" Id="rId368"/><Relationship Type="http://schemas.openxmlformats.org/officeDocument/2006/relationships/hyperlink" Target="https://drive.google.com/file/d/10MqUF30Ux7n5Fvsju3KK47wWlXhb1deQ/view?usp=drivesdk" TargetMode="External" Id="rId369"/><Relationship Type="http://schemas.openxmlformats.org/officeDocument/2006/relationships/hyperlink" Target="https://drive.google.com/file/d/1sO9yIL4F2nAwRKASwSF6ZpxjuzHEmOc7/view?usp=drivesdk" TargetMode="External" Id="rId370"/><Relationship Type="http://schemas.openxmlformats.org/officeDocument/2006/relationships/hyperlink" Target="https://drive.google.com/file/d/1CktdzAiLdEaTGp8PTl1rBwlPK6ofbmCk/view?usp=drivesdk" TargetMode="External" Id="rId371"/><Relationship Type="http://schemas.openxmlformats.org/officeDocument/2006/relationships/hyperlink" Target="https://drive.google.com/file/d/1FXNVZoKgHf-kpedRvpbGDRh36qQQk2gb/view?usp=drivesdk" TargetMode="External" Id="rId372"/></Relationships>
</file>

<file path=xl/worksheets/_rels/sheet15.xml.rels><Relationships xmlns="http://schemas.openxmlformats.org/package/2006/relationships"><Relationship Type="http://schemas.openxmlformats.org/officeDocument/2006/relationships/hyperlink" Target="#'i-shared-services-sl'!A1" TargetMode="External" Id="rId1"/><Relationship Type="http://schemas.openxmlformats.org/officeDocument/2006/relationships/hyperlink" Target="#'i-shared-services-sl'!A1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13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  <c r="Q1" s="1" t="inlineStr"/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  <c r="Q2" s="1" t="inlineStr"/>
    </row>
    <row r="3" ht="12" customHeight="1">
      <c r="A3" s="3" t="inlineStr">
        <is>
          <t>Shopify daily average | Actualizado: 31/07/2026 12:25 h</t>
        </is>
      </c>
      <c r="B3" s="4" t="n"/>
      <c r="C3" s="4" t="n"/>
      <c r="D3" s="5">
        <f>IFERROR(IF(DATE(VALUE(LEFT(D$1,4)),VALUE(RIGHT(D$1,2)),1)&gt;TODAY(),"",IF(EOMONTH(DATE(VALUE(LEFT(D$1,4)),VALUE(RIGHT(D$1,2)),1),0)&lt;TODAY(),D6/DAY(EOMONTH(DATE(VALUE(LEFT(D$1,4)),VALUE(RIGHT(D$1,2)),1),0)),D6/MAX(NOW()-DATE(VALUE(LEFT(D$1,4)),VALUE(RIGHT(D$1,2)),1),1/24))),"")</f>
        <v/>
      </c>
      <c r="E3" s="5">
        <f>IFERROR(IF(DATE(VALUE(LEFT(E$1,4)),VALUE(RIGHT(E$1,2)),1)&gt;TODAY(),"",IF(EOMONTH(DATE(VALUE(LEFT(E$1,4)),VALUE(RIGHT(E$1,2)),1),0)&lt;TODAY(),E6/DAY(EOMONTH(DATE(VALUE(LEFT(E$1,4)),VALUE(RIGHT(E$1,2)),1),0)),E6/MAX(NOW()-DATE(VALUE(LEFT(E$1,4)),VALUE(RIGHT(E$1,2)),1),1/24))),"")</f>
        <v/>
      </c>
      <c r="F3" s="5">
        <f>IFERROR(IF(DATE(VALUE(LEFT(F$1,4)),VALUE(RIGHT(F$1,2)),1)&gt;TODAY(),"",IF(EOMONTH(DATE(VALUE(LEFT(F$1,4)),VALUE(RIGHT(F$1,2)),1),0)&lt;TODAY(),F6/DAY(EOMONTH(DATE(VALUE(LEFT(F$1,4)),VALUE(RIGHT(F$1,2)),1),0)),F6/MAX(NOW()-DATE(VALUE(LEFT(F$1,4)),VALUE(RIGHT(F$1,2)),1),1/24))),"")</f>
        <v/>
      </c>
      <c r="G3" s="5">
        <f>IFERROR(IF(DATE(VALUE(LEFT(G$1,4)),VALUE(RIGHT(G$1,2)),1)&gt;TODAY(),"",IF(EOMONTH(DATE(VALUE(LEFT(G$1,4)),VALUE(RIGHT(G$1,2)),1),0)&lt;TODAY(),G6/DAY(EOMONTH(DATE(VALUE(LEFT(G$1,4)),VALUE(RIGHT(G$1,2)),1),0)),G6/MAX(NOW()-DATE(VALUE(LEFT(G$1,4)),VALUE(RIGHT(G$1,2)),1),1/24))),"")</f>
        <v/>
      </c>
      <c r="H3" s="5">
        <f>IFERROR(IF(DATE(VALUE(LEFT(H$1,4)),VALUE(RIGHT(H$1,2)),1)&gt;TODAY(),"",IF(EOMONTH(DATE(VALUE(LEFT(H$1,4)),VALUE(RIGHT(H$1,2)),1),0)&lt;TODAY(),H6/DAY(EOMONTH(DATE(VALUE(LEFT(H$1,4)),VALUE(RIGHT(H$1,2)),1),0)),H6/MAX(NOW()-DATE(VALUE(LEFT(H$1,4)),VALUE(RIGHT(H$1,2)),1),1/24))),"")</f>
        <v/>
      </c>
      <c r="I3" s="5">
        <f>IFERROR(IF(DATE(VALUE(LEFT(I$1,4)),VALUE(RIGHT(I$1,2)),1)&gt;TODAY(),"",IF(EOMONTH(DATE(VALUE(LEFT(I$1,4)),VALUE(RIGHT(I$1,2)),1),0)&lt;TODAY(),I6/DAY(EOMONTH(DATE(VALUE(LEFT(I$1,4)),VALUE(RIGHT(I$1,2)),1),0)),I6/MAX(NOW()-DATE(VALUE(LEFT(I$1,4)),VALUE(RIGHT(I$1,2)),1),1/24))),"")</f>
        <v/>
      </c>
      <c r="J3" s="5">
        <f>IFERROR(IF(DATE(VALUE(LEFT(J$1,4)),VALUE(RIGHT(J$1,2)),1)&gt;TODAY(),"",IF(EOMONTH(DATE(VALUE(LEFT(J$1,4)),VALUE(RIGHT(J$1,2)),1),0)&lt;TODAY(),J6/DAY(EOMONTH(DATE(VALUE(LEFT(J$1,4)),VALUE(RIGHT(J$1,2)),1),0)),J6/MAX(NOW()-DATE(VALUE(LEFT(J$1,4)),VALUE(RIGHT(J$1,2)),1),1/24))),"")</f>
        <v/>
      </c>
      <c r="K3" s="5">
        <f>IFERROR(IF(DATE(VALUE(LEFT(K$1,4)),VALUE(RIGHT(K$1,2)),1)&gt;TODAY(),"",IF(EOMONTH(DATE(VALUE(LEFT(K$1,4)),VALUE(RIGHT(K$1,2)),1),0)&lt;TODAY(),K6/DAY(EOMONTH(DATE(VALUE(LEFT(K$1,4)),VALUE(RIGHT(K$1,2)),1),0)),K6/MAX(NOW()-DATE(VALUE(LEFT(K$1,4)),VALUE(RIGHT(K$1,2)),1),1/24))),"")</f>
        <v/>
      </c>
      <c r="L3" s="5">
        <f>IFERROR(IF(DATE(VALUE(LEFT(L$1,4)),VALUE(RIGHT(L$1,2)),1)&gt;TODAY(),"",IF(EOMONTH(DATE(VALUE(LEFT(L$1,4)),VALUE(RIGHT(L$1,2)),1),0)&lt;TODAY(),L6/DAY(EOMONTH(DATE(VALUE(LEFT(L$1,4)),VALUE(RIGHT(L$1,2)),1),0)),L6/MAX(NOW()-DATE(VALUE(LEFT(L$1,4)),VALUE(RIGHT(L$1,2)),1),1/24))),"")</f>
        <v/>
      </c>
      <c r="M3" s="5">
        <f>IFERROR(IF(DATE(VALUE(LEFT(M$1,4)),VALUE(RIGHT(M$1,2)),1)&gt;TODAY(),"",IF(EOMONTH(DATE(VALUE(LEFT(M$1,4)),VALUE(RIGHT(M$1,2)),1),0)&lt;TODAY(),M6/DAY(EOMONTH(DATE(VALUE(LEFT(M$1,4)),VALUE(RIGHT(M$1,2)),1),0)),M6/MAX(NOW()-DATE(VALUE(LEFT(M$1,4)),VALUE(RIGHT(M$1,2)),1),1/24))),"")</f>
        <v/>
      </c>
      <c r="N3" s="5">
        <f>IFERROR(IF(DATE(VALUE(LEFT(N$1,4)),VALUE(RIGHT(N$1,2)),1)&gt;TODAY(),"",IF(EOMONTH(DATE(VALUE(LEFT(N$1,4)),VALUE(RIGHT(N$1,2)),1),0)&lt;TODAY(),N6/DAY(EOMONTH(DATE(VALUE(LEFT(N$1,4)),VALUE(RIGHT(N$1,2)),1),0)),N6/MAX(NOW()-DATE(VALUE(LEFT(N$1,4)),VALUE(RIGHT(N$1,2)),1),1/24))),"")</f>
        <v/>
      </c>
      <c r="O3" s="5">
        <f>IFERROR(IF(DATE(VALUE(LEFT(O$1,4)),VALUE(RIGHT(O$1,2)),1)&gt;TODAY(),"",IF(EOMONTH(DATE(VALUE(LEFT(O$1,4)),VALUE(RIGHT(O$1,2)),1),0)&lt;TODAY(),O6/DAY(EOMONTH(DATE(VALUE(LEFT(O$1,4)),VALUE(RIGHT(O$1,2)),1),0)),O6/MAX(NOW()-DATE(VALUE(LEFT(O$1,4)),VALUE(RIGHT(O$1,2)),1),1/24))),"")</f>
        <v/>
      </c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D5+D45+D50</f>
        <v/>
      </c>
      <c r="E4" s="8">
        <f>E5+E45+E50</f>
        <v/>
      </c>
      <c r="F4" s="8">
        <f>F5+F45+F50</f>
        <v/>
      </c>
      <c r="G4" s="8">
        <f>G5+G45+G50</f>
        <v/>
      </c>
      <c r="H4" s="8">
        <f>H5+H45+H50</f>
        <v/>
      </c>
      <c r="I4" s="8">
        <f>I5+I45+I50</f>
        <v/>
      </c>
      <c r="J4" s="8">
        <f>J5+J45+J50</f>
        <v/>
      </c>
      <c r="K4" s="8">
        <f>K5+K45+K50</f>
        <v/>
      </c>
      <c r="L4" s="8">
        <f>L5+L45+L50</f>
        <v/>
      </c>
      <c r="M4" s="8">
        <f>M5+M45+M50</f>
        <v/>
      </c>
      <c r="N4" s="8">
        <f>N5+N45+N50</f>
        <v/>
      </c>
      <c r="O4" s="8">
        <f>O5+O45+O50</f>
        <v/>
      </c>
      <c r="P4" s="9">
        <f>SUM(D4:O4)</f>
        <v/>
      </c>
      <c r="Q4" s="10" t="n"/>
    </row>
    <row r="5" ht="12" customHeight="1">
      <c r="A5" s="11" t="inlineStr">
        <is>
          <t xml:space="preserve">    Product sales</t>
        </is>
      </c>
      <c r="B5" s="12" t="inlineStr">
        <is>
          <t>Product sales</t>
        </is>
      </c>
      <c r="C5" s="13" t="n"/>
      <c r="D5" s="14">
        <f>D6+D35+D40+D42</f>
        <v/>
      </c>
      <c r="E5" s="14">
        <f>E6+E35+E40+E42</f>
        <v/>
      </c>
      <c r="F5" s="14">
        <f>F6+F35+F40+F42</f>
        <v/>
      </c>
      <c r="G5" s="14">
        <f>G6+G35+G40+G42</f>
        <v/>
      </c>
      <c r="H5" s="14">
        <f>H6+H35+H40+H42</f>
        <v/>
      </c>
      <c r="I5" s="14">
        <f>I6+I35+I40+I42</f>
        <v/>
      </c>
      <c r="J5" s="14">
        <f>J6+J35+J40+J42</f>
        <v/>
      </c>
      <c r="K5" s="14">
        <f>K6+K35+K40+K42</f>
        <v/>
      </c>
      <c r="L5" s="14">
        <f>L6+L35+L40+L42</f>
        <v/>
      </c>
      <c r="M5" s="14">
        <f>M6+M35+M40+M42</f>
        <v/>
      </c>
      <c r="N5" s="14">
        <f>N6+N35+N40+N42</f>
        <v/>
      </c>
      <c r="O5" s="14">
        <f>O6+O35+O40+O42</f>
        <v/>
      </c>
      <c r="P5" s="15">
        <f>SUM(D5:O5)</f>
        <v/>
      </c>
      <c r="Q5" s="16" t="n"/>
    </row>
    <row r="6" ht="12" customHeight="1">
      <c r="A6" s="17" t="inlineStr">
        <is>
          <t xml:space="preserve">        Shopify</t>
        </is>
      </c>
      <c r="B6" s="18" t="n"/>
      <c r="C6" s="19" t="inlineStr">
        <is>
          <t>Shopify</t>
        </is>
      </c>
      <c r="D6" s="20">
        <f>D7+D9+D11+D13+D15+D17+D19+D21+D23+D25+D27+D29+D31+D33</f>
        <v/>
      </c>
      <c r="E6" s="20">
        <f>E7+E9+E11+E13+E15+E17+E19+E21+E23+E25+E27+E29+E31+E33</f>
        <v/>
      </c>
      <c r="F6" s="20">
        <f>F7+F9+F11+F13+F15+F17+F19+F21+F23+F25+F27+F29+F31+F33</f>
        <v/>
      </c>
      <c r="G6" s="20">
        <f>G7+G9+G11+G13+G15+G17+G19+G21+G23+G25+G27+G29+G31+G33</f>
        <v/>
      </c>
      <c r="H6" s="20">
        <f>H7+H9+H11+H13+H15+H17+H19+H21+H23+H25+H27+H29+H31+H33</f>
        <v/>
      </c>
      <c r="I6" s="20">
        <f>I7+I9+I11+I13+I15+I17+I19+I21+I23+I25+I27+I29+I31+I33</f>
        <v/>
      </c>
      <c r="J6" s="20">
        <f>J7+J9+J11+J13+J15+J17+J19+J21+J23+J25+J27+J29+J31+J33</f>
        <v/>
      </c>
      <c r="K6" s="20">
        <f>K7+K9+K11+K13+K15+K17+K19+K21+K23+K25+K27+K29+K31+K33</f>
        <v/>
      </c>
      <c r="L6" s="20">
        <f>L7+L9+L11+L13+L15+L17+L19+L21+L23+L25+L27+L29+L31+L33</f>
        <v/>
      </c>
      <c r="M6" s="20">
        <f>M7+M9+M11+M13+M15+M17+M19+M21+M23+M25+M27+M29+M31+M33</f>
        <v/>
      </c>
      <c r="N6" s="20">
        <f>N7+N9+N11+N13+N15+N17+N19+N21+N23+N25+N27+N29+N31+N33</f>
        <v/>
      </c>
      <c r="O6" s="20">
        <f>O7+O9+O11+O13+O15+O17+O19+O21+O23+O25+O27+O29+O31+O33</f>
        <v/>
      </c>
      <c r="P6" s="21">
        <f>SUM(D6:O6)</f>
        <v/>
      </c>
      <c r="Q6" s="22" t="inlineStr">
        <is>
          <t>-&gt;</t>
        </is>
      </c>
    </row>
    <row r="7" ht="12" customHeight="1">
      <c r="A7" s="23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SUMIFS('i-shopify-sl'!$I:$I,'i-shopify-sl'!$A:$A,D$1,'i-shopify-sl'!$C:$C,$C7)</f>
        <v/>
      </c>
      <c r="E7" s="5">
        <f>SUMIFS('i-shopify-sl'!$I:$I,'i-shopify-sl'!$A:$A,E$1,'i-shopify-sl'!$C:$C,$C7)</f>
        <v/>
      </c>
      <c r="F7" s="5">
        <f>SUMIFS('i-shopify-sl'!$I:$I,'i-shopify-sl'!$A:$A,F$1,'i-shopify-sl'!$C:$C,$C7)</f>
        <v/>
      </c>
      <c r="G7" s="5">
        <f>SUMIFS('i-shopify-sl'!$I:$I,'i-shopify-sl'!$A:$A,G$1,'i-shopify-sl'!$C:$C,$C7)</f>
        <v/>
      </c>
      <c r="H7" s="5">
        <f>SUMIFS('i-shopify-sl'!$I:$I,'i-shopify-sl'!$A:$A,H$1,'i-shopify-sl'!$C:$C,$C7)</f>
        <v/>
      </c>
      <c r="I7" s="5">
        <f>SUMIFS('i-shopify-sl'!$I:$I,'i-shopify-sl'!$A:$A,I$1,'i-shopify-sl'!$C:$C,$C7)</f>
        <v/>
      </c>
      <c r="J7" s="5">
        <f>SUMIFS('i-shopify-sl'!$I:$I,'i-shopify-sl'!$A:$A,J$1,'i-shopify-sl'!$C:$C,$C7)</f>
        <v/>
      </c>
      <c r="K7" s="5">
        <f>SUMIFS('i-shopify-sl'!$I:$I,'i-shopify-sl'!$A:$A,K$1,'i-shopify-sl'!$C:$C,$C7)</f>
        <v/>
      </c>
      <c r="L7" s="5">
        <f>SUMIFS('i-shopify-sl'!$I:$I,'i-shopify-sl'!$A:$A,L$1,'i-shopify-sl'!$C:$C,$C7)</f>
        <v/>
      </c>
      <c r="M7" s="5">
        <f>SUMIFS('i-shopify-sl'!$I:$I,'i-shopify-sl'!$A:$A,M$1,'i-shopify-sl'!$C:$C,$C7)</f>
        <v/>
      </c>
      <c r="N7" s="5">
        <f>SUMIFS('i-shopify-sl'!$I:$I,'i-shopify-sl'!$A:$A,N$1,'i-shopify-sl'!$C:$C,$C7)</f>
        <v/>
      </c>
      <c r="O7" s="5">
        <f>SUMIFS('i-shopify-sl'!$I:$I,'i-shopify-sl'!$A:$A,O$1,'i-shopify-sl'!$C:$C,$C7)</f>
        <v/>
      </c>
      <c r="P7" s="24">
        <f>SUM(D7:O7)</f>
        <v/>
      </c>
      <c r="Q7" s="25" t="inlineStr">
        <is>
          <t>-&gt;</t>
        </is>
      </c>
    </row>
    <row r="8" hidden="1" outlineLevel="1" ht="12" customHeight="1">
      <c r="A8" s="26" t="inlineStr">
        <is>
          <t>avg/day</t>
        </is>
      </c>
      <c r="B8" s="4" t="n"/>
      <c r="C8" s="3" t="inlineStr">
        <is>
          <t>avg/day</t>
        </is>
      </c>
      <c r="D8" s="27">
        <f>IFERROR(IF(DATE(VALUE(LEFT(D$1,4)),VALUE(RIGHT(D$1,2)),1)&gt;TODAY(),"",IF(EOMONTH(DATE(VALUE(LEFT(D$1,4)),VALUE(RIGHT(D$1,2)),1),0)&lt;TODAY(),D7/DAY(EOMONTH(DATE(VALUE(LEFT(D$1,4)),VALUE(RIGHT(D$1,2)),1),0)),D7/MAX(NOW()-DATE(VALUE(LEFT(D$1,4)),VALUE(RIGHT(D$1,2)),1),1/24))),"")</f>
        <v/>
      </c>
      <c r="E8" s="27">
        <f>IFERROR(IF(DATE(VALUE(LEFT(E$1,4)),VALUE(RIGHT(E$1,2)),1)&gt;TODAY(),"",IF(EOMONTH(DATE(VALUE(LEFT(E$1,4)),VALUE(RIGHT(E$1,2)),1),0)&lt;TODAY(),E7/DAY(EOMONTH(DATE(VALUE(LEFT(E$1,4)),VALUE(RIGHT(E$1,2)),1),0)),E7/MAX(NOW()-DATE(VALUE(LEFT(E$1,4)),VALUE(RIGHT(E$1,2)),1),1/24))),"")</f>
        <v/>
      </c>
      <c r="F8" s="27">
        <f>IFERROR(IF(DATE(VALUE(LEFT(F$1,4)),VALUE(RIGHT(F$1,2)),1)&gt;TODAY(),"",IF(EOMONTH(DATE(VALUE(LEFT(F$1,4)),VALUE(RIGHT(F$1,2)),1),0)&lt;TODAY(),F7/DAY(EOMONTH(DATE(VALUE(LEFT(F$1,4)),VALUE(RIGHT(F$1,2)),1),0)),F7/MAX(NOW()-DATE(VALUE(LEFT(F$1,4)),VALUE(RIGHT(F$1,2)),1),1/24))),"")</f>
        <v/>
      </c>
      <c r="G8" s="27">
        <f>IFERROR(IF(DATE(VALUE(LEFT(G$1,4)),VALUE(RIGHT(G$1,2)),1)&gt;TODAY(),"",IF(EOMONTH(DATE(VALUE(LEFT(G$1,4)),VALUE(RIGHT(G$1,2)),1),0)&lt;TODAY(),G7/DAY(EOMONTH(DATE(VALUE(LEFT(G$1,4)),VALUE(RIGHT(G$1,2)),1),0)),G7/MAX(NOW()-DATE(VALUE(LEFT(G$1,4)),VALUE(RIGHT(G$1,2)),1),1/24))),"")</f>
        <v/>
      </c>
      <c r="H8" s="27">
        <f>IFERROR(IF(DATE(VALUE(LEFT(H$1,4)),VALUE(RIGHT(H$1,2)),1)&gt;TODAY(),"",IF(EOMONTH(DATE(VALUE(LEFT(H$1,4)),VALUE(RIGHT(H$1,2)),1),0)&lt;TODAY(),H7/DAY(EOMONTH(DATE(VALUE(LEFT(H$1,4)),VALUE(RIGHT(H$1,2)),1),0)),H7/MAX(NOW()-DATE(VALUE(LEFT(H$1,4)),VALUE(RIGHT(H$1,2)),1),1/24))),"")</f>
        <v/>
      </c>
      <c r="I8" s="27">
        <f>IFERROR(IF(DATE(VALUE(LEFT(I$1,4)),VALUE(RIGHT(I$1,2)),1)&gt;TODAY(),"",IF(EOMONTH(DATE(VALUE(LEFT(I$1,4)),VALUE(RIGHT(I$1,2)),1),0)&lt;TODAY(),I7/DAY(EOMONTH(DATE(VALUE(LEFT(I$1,4)),VALUE(RIGHT(I$1,2)),1),0)),I7/MAX(NOW()-DATE(VALUE(LEFT(I$1,4)),VALUE(RIGHT(I$1,2)),1),1/24))),"")</f>
        <v/>
      </c>
      <c r="J8" s="27">
        <f>IFERROR(IF(DATE(VALUE(LEFT(J$1,4)),VALUE(RIGHT(J$1,2)),1)&gt;TODAY(),"",IF(EOMONTH(DATE(VALUE(LEFT(J$1,4)),VALUE(RIGHT(J$1,2)),1),0)&lt;TODAY(),J7/DAY(EOMONTH(DATE(VALUE(LEFT(J$1,4)),VALUE(RIGHT(J$1,2)),1),0)),J7/MAX(NOW()-DATE(VALUE(LEFT(J$1,4)),VALUE(RIGHT(J$1,2)),1),1/24))),"")</f>
        <v/>
      </c>
      <c r="K8" s="27">
        <f>IFERROR(IF(DATE(VALUE(LEFT(K$1,4)),VALUE(RIGHT(K$1,2)),1)&gt;TODAY(),"",IF(EOMONTH(DATE(VALUE(LEFT(K$1,4)),VALUE(RIGHT(K$1,2)),1),0)&lt;TODAY(),K7/DAY(EOMONTH(DATE(VALUE(LEFT(K$1,4)),VALUE(RIGHT(K$1,2)),1),0)),K7/MAX(NOW()-DATE(VALUE(LEFT(K$1,4)),VALUE(RIGHT(K$1,2)),1),1/24))),"")</f>
        <v/>
      </c>
      <c r="L8" s="27">
        <f>IFERROR(IF(DATE(VALUE(LEFT(L$1,4)),VALUE(RIGHT(L$1,2)),1)&gt;TODAY(),"",IF(EOMONTH(DATE(VALUE(LEFT(L$1,4)),VALUE(RIGHT(L$1,2)),1),0)&lt;TODAY(),L7/DAY(EOMONTH(DATE(VALUE(LEFT(L$1,4)),VALUE(RIGHT(L$1,2)),1),0)),L7/MAX(NOW()-DATE(VALUE(LEFT(L$1,4)),VALUE(RIGHT(L$1,2)),1),1/24))),"")</f>
        <v/>
      </c>
      <c r="M8" s="27">
        <f>IFERROR(IF(DATE(VALUE(LEFT(M$1,4)),VALUE(RIGHT(M$1,2)),1)&gt;TODAY(),"",IF(EOMONTH(DATE(VALUE(LEFT(M$1,4)),VALUE(RIGHT(M$1,2)),1),0)&lt;TODAY(),M7/DAY(EOMONTH(DATE(VALUE(LEFT(M$1,4)),VALUE(RIGHT(M$1,2)),1),0)),M7/MAX(NOW()-DATE(VALUE(LEFT(M$1,4)),VALUE(RIGHT(M$1,2)),1),1/24))),"")</f>
        <v/>
      </c>
      <c r="N8" s="27">
        <f>IFERROR(IF(DATE(VALUE(LEFT(N$1,4)),VALUE(RIGHT(N$1,2)),1)&gt;TODAY(),"",IF(EOMONTH(DATE(VALUE(LEFT(N$1,4)),VALUE(RIGHT(N$1,2)),1),0)&lt;TODAY(),N7/DAY(EOMONTH(DATE(VALUE(LEFT(N$1,4)),VALUE(RIGHT(N$1,2)),1),0)),N7/MAX(NOW()-DATE(VALUE(LEFT(N$1,4)),VALUE(RIGHT(N$1,2)),1),1/24))),"")</f>
        <v/>
      </c>
      <c r="O8" s="27">
        <f>IFERROR(IF(DATE(VALUE(LEFT(O$1,4)),VALUE(RIGHT(O$1,2)),1)&gt;TODAY(),"",IF(EOMONTH(DATE(VALUE(LEFT(O$1,4)),VALUE(RIGHT(O$1,2)),1),0)&lt;TODAY(),O7/DAY(EOMONTH(DATE(VALUE(LEFT(O$1,4)),VALUE(RIGHT(O$1,2)),1),0)),O7/MAX(NOW()-DATE(VALUE(LEFT(O$1,4)),VALUE(RIGHT(O$1,2)),1),1/24))),"")</f>
        <v/>
      </c>
      <c r="P8" s="28">
        <f>SUM(D8:O8)</f>
        <v/>
      </c>
      <c r="Q8" s="27" t="n"/>
    </row>
    <row r="9" ht="12" customHeight="1">
      <c r="A9" s="23" t="inlineStr">
        <is>
          <t xml:space="preserve">            FR</t>
        </is>
      </c>
      <c r="B9" s="4" t="n"/>
      <c r="C9" s="4" t="inlineStr">
        <is>
          <t>FR</t>
        </is>
      </c>
      <c r="D9" s="5">
        <f>SUMIFS('i-shopify-sl'!$I:$I,'i-shopify-sl'!$A:$A,D$1,'i-shopify-sl'!$C:$C,$C9)</f>
        <v/>
      </c>
      <c r="E9" s="5">
        <f>SUMIFS('i-shopify-sl'!$I:$I,'i-shopify-sl'!$A:$A,E$1,'i-shopify-sl'!$C:$C,$C9)</f>
        <v/>
      </c>
      <c r="F9" s="5">
        <f>SUMIFS('i-shopify-sl'!$I:$I,'i-shopify-sl'!$A:$A,F$1,'i-shopify-sl'!$C:$C,$C9)</f>
        <v/>
      </c>
      <c r="G9" s="5">
        <f>SUMIFS('i-shopify-sl'!$I:$I,'i-shopify-sl'!$A:$A,G$1,'i-shopify-sl'!$C:$C,$C9)</f>
        <v/>
      </c>
      <c r="H9" s="5">
        <f>SUMIFS('i-shopify-sl'!$I:$I,'i-shopify-sl'!$A:$A,H$1,'i-shopify-sl'!$C:$C,$C9)</f>
        <v/>
      </c>
      <c r="I9" s="5">
        <f>SUMIFS('i-shopify-sl'!$I:$I,'i-shopify-sl'!$A:$A,I$1,'i-shopify-sl'!$C:$C,$C9)</f>
        <v/>
      </c>
      <c r="J9" s="5">
        <f>SUMIFS('i-shopify-sl'!$I:$I,'i-shopify-sl'!$A:$A,J$1,'i-shopify-sl'!$C:$C,$C9)</f>
        <v/>
      </c>
      <c r="K9" s="5">
        <f>SUMIFS('i-shopify-sl'!$I:$I,'i-shopify-sl'!$A:$A,K$1,'i-shopify-sl'!$C:$C,$C9)</f>
        <v/>
      </c>
      <c r="L9" s="5">
        <f>SUMIFS('i-shopify-sl'!$I:$I,'i-shopify-sl'!$A:$A,L$1,'i-shopify-sl'!$C:$C,$C9)</f>
        <v/>
      </c>
      <c r="M9" s="5">
        <f>SUMIFS('i-shopify-sl'!$I:$I,'i-shopify-sl'!$A:$A,M$1,'i-shopify-sl'!$C:$C,$C9)</f>
        <v/>
      </c>
      <c r="N9" s="5">
        <f>SUMIFS('i-shopify-sl'!$I:$I,'i-shopify-sl'!$A:$A,N$1,'i-shopify-sl'!$C:$C,$C9)</f>
        <v/>
      </c>
      <c r="O9" s="5">
        <f>SUMIFS('i-shopify-sl'!$I:$I,'i-shopify-sl'!$A:$A,O$1,'i-shopify-sl'!$C:$C,$C9)</f>
        <v/>
      </c>
      <c r="P9" s="24">
        <f>SUM(D9:O9)</f>
        <v/>
      </c>
      <c r="Q9" s="25" t="inlineStr">
        <is>
          <t>-&gt;</t>
        </is>
      </c>
    </row>
    <row r="10" hidden="1" outlineLevel="1" ht="12" customHeight="1">
      <c r="A10" s="26" t="inlineStr">
        <is>
          <t>avg/day</t>
        </is>
      </c>
      <c r="B10" s="4" t="n"/>
      <c r="C10" s="3" t="inlineStr">
        <is>
          <t>avg/day</t>
        </is>
      </c>
      <c r="D10" s="27">
        <f>IFERROR(IF(DATE(VALUE(LEFT(D$1,4)),VALUE(RIGHT(D$1,2)),1)&gt;TODAY(),"",IF(EOMONTH(DATE(VALUE(LEFT(D$1,4)),VALUE(RIGHT(D$1,2)),1),0)&lt;TODAY(),D9/DAY(EOMONTH(DATE(VALUE(LEFT(D$1,4)),VALUE(RIGHT(D$1,2)),1),0)),D9/MAX(NOW()-DATE(VALUE(LEFT(D$1,4)),VALUE(RIGHT(D$1,2)),1),1/24))),"")</f>
        <v/>
      </c>
      <c r="E10" s="27">
        <f>IFERROR(IF(DATE(VALUE(LEFT(E$1,4)),VALUE(RIGHT(E$1,2)),1)&gt;TODAY(),"",IF(EOMONTH(DATE(VALUE(LEFT(E$1,4)),VALUE(RIGHT(E$1,2)),1),0)&lt;TODAY(),E9/DAY(EOMONTH(DATE(VALUE(LEFT(E$1,4)),VALUE(RIGHT(E$1,2)),1),0)),E9/MAX(NOW()-DATE(VALUE(LEFT(E$1,4)),VALUE(RIGHT(E$1,2)),1),1/24))),"")</f>
        <v/>
      </c>
      <c r="F10" s="27">
        <f>IFERROR(IF(DATE(VALUE(LEFT(F$1,4)),VALUE(RIGHT(F$1,2)),1)&gt;TODAY(),"",IF(EOMONTH(DATE(VALUE(LEFT(F$1,4)),VALUE(RIGHT(F$1,2)),1),0)&lt;TODAY(),F9/DAY(EOMONTH(DATE(VALUE(LEFT(F$1,4)),VALUE(RIGHT(F$1,2)),1),0)),F9/MAX(NOW()-DATE(VALUE(LEFT(F$1,4)),VALUE(RIGHT(F$1,2)),1),1/24))),"")</f>
        <v/>
      </c>
      <c r="G10" s="27">
        <f>IFERROR(IF(DATE(VALUE(LEFT(G$1,4)),VALUE(RIGHT(G$1,2)),1)&gt;TODAY(),"",IF(EOMONTH(DATE(VALUE(LEFT(G$1,4)),VALUE(RIGHT(G$1,2)),1),0)&lt;TODAY(),G9/DAY(EOMONTH(DATE(VALUE(LEFT(G$1,4)),VALUE(RIGHT(G$1,2)),1),0)),G9/MAX(NOW()-DATE(VALUE(LEFT(G$1,4)),VALUE(RIGHT(G$1,2)),1),1/24))),"")</f>
        <v/>
      </c>
      <c r="H10" s="27">
        <f>IFERROR(IF(DATE(VALUE(LEFT(H$1,4)),VALUE(RIGHT(H$1,2)),1)&gt;TODAY(),"",IF(EOMONTH(DATE(VALUE(LEFT(H$1,4)),VALUE(RIGHT(H$1,2)),1),0)&lt;TODAY(),H9/DAY(EOMONTH(DATE(VALUE(LEFT(H$1,4)),VALUE(RIGHT(H$1,2)),1),0)),H9/MAX(NOW()-DATE(VALUE(LEFT(H$1,4)),VALUE(RIGHT(H$1,2)),1),1/24))),"")</f>
        <v/>
      </c>
      <c r="I10" s="27">
        <f>IFERROR(IF(DATE(VALUE(LEFT(I$1,4)),VALUE(RIGHT(I$1,2)),1)&gt;TODAY(),"",IF(EOMONTH(DATE(VALUE(LEFT(I$1,4)),VALUE(RIGHT(I$1,2)),1),0)&lt;TODAY(),I9/DAY(EOMONTH(DATE(VALUE(LEFT(I$1,4)),VALUE(RIGHT(I$1,2)),1),0)),I9/MAX(NOW()-DATE(VALUE(LEFT(I$1,4)),VALUE(RIGHT(I$1,2)),1),1/24))),"")</f>
        <v/>
      </c>
      <c r="J10" s="27">
        <f>IFERROR(IF(DATE(VALUE(LEFT(J$1,4)),VALUE(RIGHT(J$1,2)),1)&gt;TODAY(),"",IF(EOMONTH(DATE(VALUE(LEFT(J$1,4)),VALUE(RIGHT(J$1,2)),1),0)&lt;TODAY(),J9/DAY(EOMONTH(DATE(VALUE(LEFT(J$1,4)),VALUE(RIGHT(J$1,2)),1),0)),J9/MAX(NOW()-DATE(VALUE(LEFT(J$1,4)),VALUE(RIGHT(J$1,2)),1),1/24))),"")</f>
        <v/>
      </c>
      <c r="K10" s="27">
        <f>IFERROR(IF(DATE(VALUE(LEFT(K$1,4)),VALUE(RIGHT(K$1,2)),1)&gt;TODAY(),"",IF(EOMONTH(DATE(VALUE(LEFT(K$1,4)),VALUE(RIGHT(K$1,2)),1),0)&lt;TODAY(),K9/DAY(EOMONTH(DATE(VALUE(LEFT(K$1,4)),VALUE(RIGHT(K$1,2)),1),0)),K9/MAX(NOW()-DATE(VALUE(LEFT(K$1,4)),VALUE(RIGHT(K$1,2)),1),1/24))),"")</f>
        <v/>
      </c>
      <c r="L10" s="27">
        <f>IFERROR(IF(DATE(VALUE(LEFT(L$1,4)),VALUE(RIGHT(L$1,2)),1)&gt;TODAY(),"",IF(EOMONTH(DATE(VALUE(LEFT(L$1,4)),VALUE(RIGHT(L$1,2)),1),0)&lt;TODAY(),L9/DAY(EOMONTH(DATE(VALUE(LEFT(L$1,4)),VALUE(RIGHT(L$1,2)),1),0)),L9/MAX(NOW()-DATE(VALUE(LEFT(L$1,4)),VALUE(RIGHT(L$1,2)),1),1/24))),"")</f>
        <v/>
      </c>
      <c r="M10" s="27">
        <f>IFERROR(IF(DATE(VALUE(LEFT(M$1,4)),VALUE(RIGHT(M$1,2)),1)&gt;TODAY(),"",IF(EOMONTH(DATE(VALUE(LEFT(M$1,4)),VALUE(RIGHT(M$1,2)),1),0)&lt;TODAY(),M9/DAY(EOMONTH(DATE(VALUE(LEFT(M$1,4)),VALUE(RIGHT(M$1,2)),1),0)),M9/MAX(NOW()-DATE(VALUE(LEFT(M$1,4)),VALUE(RIGHT(M$1,2)),1),1/24))),"")</f>
        <v/>
      </c>
      <c r="N10" s="27">
        <f>IFERROR(IF(DATE(VALUE(LEFT(N$1,4)),VALUE(RIGHT(N$1,2)),1)&gt;TODAY(),"",IF(EOMONTH(DATE(VALUE(LEFT(N$1,4)),VALUE(RIGHT(N$1,2)),1),0)&lt;TODAY(),N9/DAY(EOMONTH(DATE(VALUE(LEFT(N$1,4)),VALUE(RIGHT(N$1,2)),1),0)),N9/MAX(NOW()-DATE(VALUE(LEFT(N$1,4)),VALUE(RIGHT(N$1,2)),1),1/24))),"")</f>
        <v/>
      </c>
      <c r="O10" s="27">
        <f>IFERROR(IF(DATE(VALUE(LEFT(O$1,4)),VALUE(RIGHT(O$1,2)),1)&gt;TODAY(),"",IF(EOMONTH(DATE(VALUE(LEFT(O$1,4)),VALUE(RIGHT(O$1,2)),1),0)&lt;TODAY(),O9/DAY(EOMONTH(DATE(VALUE(LEFT(O$1,4)),VALUE(RIGHT(O$1,2)),1),0)),O9/MAX(NOW()-DATE(VALUE(LEFT(O$1,4)),VALUE(RIGHT(O$1,2)),1),1/24))),"")</f>
        <v/>
      </c>
      <c r="P10" s="28">
        <f>SUM(D10:O10)</f>
        <v/>
      </c>
      <c r="Q10" s="27" t="n"/>
    </row>
    <row r="11" ht="12" customHeight="1">
      <c r="A11" s="23" t="inlineStr">
        <is>
          <t xml:space="preserve">            DE</t>
        </is>
      </c>
      <c r="B11" s="4" t="n"/>
      <c r="C11" s="4" t="inlineStr">
        <is>
          <t>DE</t>
        </is>
      </c>
      <c r="D11" s="5">
        <f>SUMIFS('i-shopify-sl'!$I:$I,'i-shopify-sl'!$A:$A,D$1,'i-shopify-sl'!$C:$C,$C11)</f>
        <v/>
      </c>
      <c r="E11" s="5">
        <f>SUMIFS('i-shopify-sl'!$I:$I,'i-shopify-sl'!$A:$A,E$1,'i-shopify-sl'!$C:$C,$C11)</f>
        <v/>
      </c>
      <c r="F11" s="5">
        <f>SUMIFS('i-shopify-sl'!$I:$I,'i-shopify-sl'!$A:$A,F$1,'i-shopify-sl'!$C:$C,$C11)</f>
        <v/>
      </c>
      <c r="G11" s="5">
        <f>SUMIFS('i-shopify-sl'!$I:$I,'i-shopify-sl'!$A:$A,G$1,'i-shopify-sl'!$C:$C,$C11)</f>
        <v/>
      </c>
      <c r="H11" s="5">
        <f>SUMIFS('i-shopify-sl'!$I:$I,'i-shopify-sl'!$A:$A,H$1,'i-shopify-sl'!$C:$C,$C11)</f>
        <v/>
      </c>
      <c r="I11" s="5">
        <f>SUMIFS('i-shopify-sl'!$I:$I,'i-shopify-sl'!$A:$A,I$1,'i-shopify-sl'!$C:$C,$C11)</f>
        <v/>
      </c>
      <c r="J11" s="5">
        <f>SUMIFS('i-shopify-sl'!$I:$I,'i-shopify-sl'!$A:$A,J$1,'i-shopify-sl'!$C:$C,$C11)</f>
        <v/>
      </c>
      <c r="K11" s="5">
        <f>SUMIFS('i-shopify-sl'!$I:$I,'i-shopify-sl'!$A:$A,K$1,'i-shopify-sl'!$C:$C,$C11)</f>
        <v/>
      </c>
      <c r="L11" s="5">
        <f>SUMIFS('i-shopify-sl'!$I:$I,'i-shopify-sl'!$A:$A,L$1,'i-shopify-sl'!$C:$C,$C11)</f>
        <v/>
      </c>
      <c r="M11" s="5">
        <f>SUMIFS('i-shopify-sl'!$I:$I,'i-shopify-sl'!$A:$A,M$1,'i-shopify-sl'!$C:$C,$C11)</f>
        <v/>
      </c>
      <c r="N11" s="5">
        <f>SUMIFS('i-shopify-sl'!$I:$I,'i-shopify-sl'!$A:$A,N$1,'i-shopify-sl'!$C:$C,$C11)</f>
        <v/>
      </c>
      <c r="O11" s="5">
        <f>SUMIFS('i-shopify-sl'!$I:$I,'i-shopify-sl'!$A:$A,O$1,'i-shopify-sl'!$C:$C,$C11)</f>
        <v/>
      </c>
      <c r="P11" s="24">
        <f>SUM(D11:O11)</f>
        <v/>
      </c>
      <c r="Q11" s="25" t="inlineStr">
        <is>
          <t>-&gt;</t>
        </is>
      </c>
    </row>
    <row r="12" hidden="1" outlineLevel="1" ht="12" customHeight="1">
      <c r="A12" s="26" t="inlineStr">
        <is>
          <t>avg/day</t>
        </is>
      </c>
      <c r="B12" s="4" t="n"/>
      <c r="C12" s="3" t="inlineStr">
        <is>
          <t>avg/day</t>
        </is>
      </c>
      <c r="D12" s="27">
        <f>IFERROR(IF(DATE(VALUE(LEFT(D$1,4)),VALUE(RIGHT(D$1,2)),1)&gt;TODAY(),"",IF(EOMONTH(DATE(VALUE(LEFT(D$1,4)),VALUE(RIGHT(D$1,2)),1),0)&lt;TODAY(),D11/DAY(EOMONTH(DATE(VALUE(LEFT(D$1,4)),VALUE(RIGHT(D$1,2)),1),0)),D11/MAX(NOW()-DATE(VALUE(LEFT(D$1,4)),VALUE(RIGHT(D$1,2)),1),1/24))),"")</f>
        <v/>
      </c>
      <c r="E12" s="27">
        <f>IFERROR(IF(DATE(VALUE(LEFT(E$1,4)),VALUE(RIGHT(E$1,2)),1)&gt;TODAY(),"",IF(EOMONTH(DATE(VALUE(LEFT(E$1,4)),VALUE(RIGHT(E$1,2)),1),0)&lt;TODAY(),E11/DAY(EOMONTH(DATE(VALUE(LEFT(E$1,4)),VALUE(RIGHT(E$1,2)),1),0)),E11/MAX(NOW()-DATE(VALUE(LEFT(E$1,4)),VALUE(RIGHT(E$1,2)),1),1/24))),"")</f>
        <v/>
      </c>
      <c r="F12" s="27">
        <f>IFERROR(IF(DATE(VALUE(LEFT(F$1,4)),VALUE(RIGHT(F$1,2)),1)&gt;TODAY(),"",IF(EOMONTH(DATE(VALUE(LEFT(F$1,4)),VALUE(RIGHT(F$1,2)),1),0)&lt;TODAY(),F11/DAY(EOMONTH(DATE(VALUE(LEFT(F$1,4)),VALUE(RIGHT(F$1,2)),1),0)),F11/MAX(NOW()-DATE(VALUE(LEFT(F$1,4)),VALUE(RIGHT(F$1,2)),1),1/24))),"")</f>
        <v/>
      </c>
      <c r="G12" s="27">
        <f>IFERROR(IF(DATE(VALUE(LEFT(G$1,4)),VALUE(RIGHT(G$1,2)),1)&gt;TODAY(),"",IF(EOMONTH(DATE(VALUE(LEFT(G$1,4)),VALUE(RIGHT(G$1,2)),1),0)&lt;TODAY(),G11/DAY(EOMONTH(DATE(VALUE(LEFT(G$1,4)),VALUE(RIGHT(G$1,2)),1),0)),G11/MAX(NOW()-DATE(VALUE(LEFT(G$1,4)),VALUE(RIGHT(G$1,2)),1),1/24))),"")</f>
        <v/>
      </c>
      <c r="H12" s="27">
        <f>IFERROR(IF(DATE(VALUE(LEFT(H$1,4)),VALUE(RIGHT(H$1,2)),1)&gt;TODAY(),"",IF(EOMONTH(DATE(VALUE(LEFT(H$1,4)),VALUE(RIGHT(H$1,2)),1),0)&lt;TODAY(),H11/DAY(EOMONTH(DATE(VALUE(LEFT(H$1,4)),VALUE(RIGHT(H$1,2)),1),0)),H11/MAX(NOW()-DATE(VALUE(LEFT(H$1,4)),VALUE(RIGHT(H$1,2)),1),1/24))),"")</f>
        <v/>
      </c>
      <c r="I12" s="27">
        <f>IFERROR(IF(DATE(VALUE(LEFT(I$1,4)),VALUE(RIGHT(I$1,2)),1)&gt;TODAY(),"",IF(EOMONTH(DATE(VALUE(LEFT(I$1,4)),VALUE(RIGHT(I$1,2)),1),0)&lt;TODAY(),I11/DAY(EOMONTH(DATE(VALUE(LEFT(I$1,4)),VALUE(RIGHT(I$1,2)),1),0)),I11/MAX(NOW()-DATE(VALUE(LEFT(I$1,4)),VALUE(RIGHT(I$1,2)),1),1/24))),"")</f>
        <v/>
      </c>
      <c r="J12" s="27">
        <f>IFERROR(IF(DATE(VALUE(LEFT(J$1,4)),VALUE(RIGHT(J$1,2)),1)&gt;TODAY(),"",IF(EOMONTH(DATE(VALUE(LEFT(J$1,4)),VALUE(RIGHT(J$1,2)),1),0)&lt;TODAY(),J11/DAY(EOMONTH(DATE(VALUE(LEFT(J$1,4)),VALUE(RIGHT(J$1,2)),1),0)),J11/MAX(NOW()-DATE(VALUE(LEFT(J$1,4)),VALUE(RIGHT(J$1,2)),1),1/24))),"")</f>
        <v/>
      </c>
      <c r="K12" s="27">
        <f>IFERROR(IF(DATE(VALUE(LEFT(K$1,4)),VALUE(RIGHT(K$1,2)),1)&gt;TODAY(),"",IF(EOMONTH(DATE(VALUE(LEFT(K$1,4)),VALUE(RIGHT(K$1,2)),1),0)&lt;TODAY(),K11/DAY(EOMONTH(DATE(VALUE(LEFT(K$1,4)),VALUE(RIGHT(K$1,2)),1),0)),K11/MAX(NOW()-DATE(VALUE(LEFT(K$1,4)),VALUE(RIGHT(K$1,2)),1),1/24))),"")</f>
        <v/>
      </c>
      <c r="L12" s="27">
        <f>IFERROR(IF(DATE(VALUE(LEFT(L$1,4)),VALUE(RIGHT(L$1,2)),1)&gt;TODAY(),"",IF(EOMONTH(DATE(VALUE(LEFT(L$1,4)),VALUE(RIGHT(L$1,2)),1),0)&lt;TODAY(),L11/DAY(EOMONTH(DATE(VALUE(LEFT(L$1,4)),VALUE(RIGHT(L$1,2)),1),0)),L11/MAX(NOW()-DATE(VALUE(LEFT(L$1,4)),VALUE(RIGHT(L$1,2)),1),1/24))),"")</f>
        <v/>
      </c>
      <c r="M12" s="27">
        <f>IFERROR(IF(DATE(VALUE(LEFT(M$1,4)),VALUE(RIGHT(M$1,2)),1)&gt;TODAY(),"",IF(EOMONTH(DATE(VALUE(LEFT(M$1,4)),VALUE(RIGHT(M$1,2)),1),0)&lt;TODAY(),M11/DAY(EOMONTH(DATE(VALUE(LEFT(M$1,4)),VALUE(RIGHT(M$1,2)),1),0)),M11/MAX(NOW()-DATE(VALUE(LEFT(M$1,4)),VALUE(RIGHT(M$1,2)),1),1/24))),"")</f>
        <v/>
      </c>
      <c r="N12" s="27">
        <f>IFERROR(IF(DATE(VALUE(LEFT(N$1,4)),VALUE(RIGHT(N$1,2)),1)&gt;TODAY(),"",IF(EOMONTH(DATE(VALUE(LEFT(N$1,4)),VALUE(RIGHT(N$1,2)),1),0)&lt;TODAY(),N11/DAY(EOMONTH(DATE(VALUE(LEFT(N$1,4)),VALUE(RIGHT(N$1,2)),1),0)),N11/MAX(NOW()-DATE(VALUE(LEFT(N$1,4)),VALUE(RIGHT(N$1,2)),1),1/24))),"")</f>
        <v/>
      </c>
      <c r="O12" s="27">
        <f>IFERROR(IF(DATE(VALUE(LEFT(O$1,4)),VALUE(RIGHT(O$1,2)),1)&gt;TODAY(),"",IF(EOMONTH(DATE(VALUE(LEFT(O$1,4)),VALUE(RIGHT(O$1,2)),1),0)&lt;TODAY(),O11/DAY(EOMONTH(DATE(VALUE(LEFT(O$1,4)),VALUE(RIGHT(O$1,2)),1),0)),O11/MAX(NOW()-DATE(VALUE(LEFT(O$1,4)),VALUE(RIGHT(O$1,2)),1),1/24))),"")</f>
        <v/>
      </c>
      <c r="P12" s="28">
        <f>SUM(D12:O12)</f>
        <v/>
      </c>
      <c r="Q12" s="27" t="n"/>
    </row>
    <row r="13" ht="12" customHeight="1">
      <c r="A13" s="23" t="inlineStr">
        <is>
          <t xml:space="preserve">            IT</t>
        </is>
      </c>
      <c r="B13" s="4" t="n"/>
      <c r="C13" s="4" t="inlineStr">
        <is>
          <t>IT</t>
        </is>
      </c>
      <c r="D13" s="5">
        <f>SUMIFS('i-shopify-sl'!$I:$I,'i-shopify-sl'!$A:$A,D$1,'i-shopify-sl'!$C:$C,$C13)</f>
        <v/>
      </c>
      <c r="E13" s="5">
        <f>SUMIFS('i-shopify-sl'!$I:$I,'i-shopify-sl'!$A:$A,E$1,'i-shopify-sl'!$C:$C,$C13)</f>
        <v/>
      </c>
      <c r="F13" s="5">
        <f>SUMIFS('i-shopify-sl'!$I:$I,'i-shopify-sl'!$A:$A,F$1,'i-shopify-sl'!$C:$C,$C13)</f>
        <v/>
      </c>
      <c r="G13" s="5">
        <f>SUMIFS('i-shopify-sl'!$I:$I,'i-shopify-sl'!$A:$A,G$1,'i-shopify-sl'!$C:$C,$C13)</f>
        <v/>
      </c>
      <c r="H13" s="5">
        <f>SUMIFS('i-shopify-sl'!$I:$I,'i-shopify-sl'!$A:$A,H$1,'i-shopify-sl'!$C:$C,$C13)</f>
        <v/>
      </c>
      <c r="I13" s="5">
        <f>SUMIFS('i-shopify-sl'!$I:$I,'i-shopify-sl'!$A:$A,I$1,'i-shopify-sl'!$C:$C,$C13)</f>
        <v/>
      </c>
      <c r="J13" s="5">
        <f>SUMIFS('i-shopify-sl'!$I:$I,'i-shopify-sl'!$A:$A,J$1,'i-shopify-sl'!$C:$C,$C13)</f>
        <v/>
      </c>
      <c r="K13" s="5">
        <f>SUMIFS('i-shopify-sl'!$I:$I,'i-shopify-sl'!$A:$A,K$1,'i-shopify-sl'!$C:$C,$C13)</f>
        <v/>
      </c>
      <c r="L13" s="5">
        <f>SUMIFS('i-shopify-sl'!$I:$I,'i-shopify-sl'!$A:$A,L$1,'i-shopify-sl'!$C:$C,$C13)</f>
        <v/>
      </c>
      <c r="M13" s="5">
        <f>SUMIFS('i-shopify-sl'!$I:$I,'i-shopify-sl'!$A:$A,M$1,'i-shopify-sl'!$C:$C,$C13)</f>
        <v/>
      </c>
      <c r="N13" s="5">
        <f>SUMIFS('i-shopify-sl'!$I:$I,'i-shopify-sl'!$A:$A,N$1,'i-shopify-sl'!$C:$C,$C13)</f>
        <v/>
      </c>
      <c r="O13" s="5">
        <f>SUMIFS('i-shopify-sl'!$I:$I,'i-shopify-sl'!$A:$A,O$1,'i-shopify-sl'!$C:$C,$C13)</f>
        <v/>
      </c>
      <c r="P13" s="24">
        <f>SUM(D13:O13)</f>
        <v/>
      </c>
      <c r="Q13" s="25" t="inlineStr">
        <is>
          <t>-&gt;</t>
        </is>
      </c>
    </row>
    <row r="14" hidden="1" outlineLevel="1" ht="12" customHeight="1">
      <c r="A14" s="26" t="inlineStr">
        <is>
          <t>avg/day</t>
        </is>
      </c>
      <c r="B14" s="4" t="n"/>
      <c r="C14" s="3" t="inlineStr">
        <is>
          <t>avg/day</t>
        </is>
      </c>
      <c r="D14" s="27">
        <f>IFERROR(IF(DATE(VALUE(LEFT(D$1,4)),VALUE(RIGHT(D$1,2)),1)&gt;TODAY(),"",IF(EOMONTH(DATE(VALUE(LEFT(D$1,4)),VALUE(RIGHT(D$1,2)),1),0)&lt;TODAY(),D13/DAY(EOMONTH(DATE(VALUE(LEFT(D$1,4)),VALUE(RIGHT(D$1,2)),1),0)),D13/MAX(NOW()-DATE(VALUE(LEFT(D$1,4)),VALUE(RIGHT(D$1,2)),1),1/24))),"")</f>
        <v/>
      </c>
      <c r="E14" s="27">
        <f>IFERROR(IF(DATE(VALUE(LEFT(E$1,4)),VALUE(RIGHT(E$1,2)),1)&gt;TODAY(),"",IF(EOMONTH(DATE(VALUE(LEFT(E$1,4)),VALUE(RIGHT(E$1,2)),1),0)&lt;TODAY(),E13/DAY(EOMONTH(DATE(VALUE(LEFT(E$1,4)),VALUE(RIGHT(E$1,2)),1),0)),E13/MAX(NOW()-DATE(VALUE(LEFT(E$1,4)),VALUE(RIGHT(E$1,2)),1),1/24))),"")</f>
        <v/>
      </c>
      <c r="F14" s="27">
        <f>IFERROR(IF(DATE(VALUE(LEFT(F$1,4)),VALUE(RIGHT(F$1,2)),1)&gt;TODAY(),"",IF(EOMONTH(DATE(VALUE(LEFT(F$1,4)),VALUE(RIGHT(F$1,2)),1),0)&lt;TODAY(),F13/DAY(EOMONTH(DATE(VALUE(LEFT(F$1,4)),VALUE(RIGHT(F$1,2)),1),0)),F13/MAX(NOW()-DATE(VALUE(LEFT(F$1,4)),VALUE(RIGHT(F$1,2)),1),1/24))),"")</f>
        <v/>
      </c>
      <c r="G14" s="27">
        <f>IFERROR(IF(DATE(VALUE(LEFT(G$1,4)),VALUE(RIGHT(G$1,2)),1)&gt;TODAY(),"",IF(EOMONTH(DATE(VALUE(LEFT(G$1,4)),VALUE(RIGHT(G$1,2)),1),0)&lt;TODAY(),G13/DAY(EOMONTH(DATE(VALUE(LEFT(G$1,4)),VALUE(RIGHT(G$1,2)),1),0)),G13/MAX(NOW()-DATE(VALUE(LEFT(G$1,4)),VALUE(RIGHT(G$1,2)),1),1/24))),"")</f>
        <v/>
      </c>
      <c r="H14" s="27">
        <f>IFERROR(IF(DATE(VALUE(LEFT(H$1,4)),VALUE(RIGHT(H$1,2)),1)&gt;TODAY(),"",IF(EOMONTH(DATE(VALUE(LEFT(H$1,4)),VALUE(RIGHT(H$1,2)),1),0)&lt;TODAY(),H13/DAY(EOMONTH(DATE(VALUE(LEFT(H$1,4)),VALUE(RIGHT(H$1,2)),1),0)),H13/MAX(NOW()-DATE(VALUE(LEFT(H$1,4)),VALUE(RIGHT(H$1,2)),1),1/24))),"")</f>
        <v/>
      </c>
      <c r="I14" s="27">
        <f>IFERROR(IF(DATE(VALUE(LEFT(I$1,4)),VALUE(RIGHT(I$1,2)),1)&gt;TODAY(),"",IF(EOMONTH(DATE(VALUE(LEFT(I$1,4)),VALUE(RIGHT(I$1,2)),1),0)&lt;TODAY(),I13/DAY(EOMONTH(DATE(VALUE(LEFT(I$1,4)),VALUE(RIGHT(I$1,2)),1),0)),I13/MAX(NOW()-DATE(VALUE(LEFT(I$1,4)),VALUE(RIGHT(I$1,2)),1),1/24))),"")</f>
        <v/>
      </c>
      <c r="J14" s="27">
        <f>IFERROR(IF(DATE(VALUE(LEFT(J$1,4)),VALUE(RIGHT(J$1,2)),1)&gt;TODAY(),"",IF(EOMONTH(DATE(VALUE(LEFT(J$1,4)),VALUE(RIGHT(J$1,2)),1),0)&lt;TODAY(),J13/DAY(EOMONTH(DATE(VALUE(LEFT(J$1,4)),VALUE(RIGHT(J$1,2)),1),0)),J13/MAX(NOW()-DATE(VALUE(LEFT(J$1,4)),VALUE(RIGHT(J$1,2)),1),1/24))),"")</f>
        <v/>
      </c>
      <c r="K14" s="27">
        <f>IFERROR(IF(DATE(VALUE(LEFT(K$1,4)),VALUE(RIGHT(K$1,2)),1)&gt;TODAY(),"",IF(EOMONTH(DATE(VALUE(LEFT(K$1,4)),VALUE(RIGHT(K$1,2)),1),0)&lt;TODAY(),K13/DAY(EOMONTH(DATE(VALUE(LEFT(K$1,4)),VALUE(RIGHT(K$1,2)),1),0)),K13/MAX(NOW()-DATE(VALUE(LEFT(K$1,4)),VALUE(RIGHT(K$1,2)),1),1/24))),"")</f>
        <v/>
      </c>
      <c r="L14" s="27">
        <f>IFERROR(IF(DATE(VALUE(LEFT(L$1,4)),VALUE(RIGHT(L$1,2)),1)&gt;TODAY(),"",IF(EOMONTH(DATE(VALUE(LEFT(L$1,4)),VALUE(RIGHT(L$1,2)),1),0)&lt;TODAY(),L13/DAY(EOMONTH(DATE(VALUE(LEFT(L$1,4)),VALUE(RIGHT(L$1,2)),1),0)),L13/MAX(NOW()-DATE(VALUE(LEFT(L$1,4)),VALUE(RIGHT(L$1,2)),1),1/24))),"")</f>
        <v/>
      </c>
      <c r="M14" s="27">
        <f>IFERROR(IF(DATE(VALUE(LEFT(M$1,4)),VALUE(RIGHT(M$1,2)),1)&gt;TODAY(),"",IF(EOMONTH(DATE(VALUE(LEFT(M$1,4)),VALUE(RIGHT(M$1,2)),1),0)&lt;TODAY(),M13/DAY(EOMONTH(DATE(VALUE(LEFT(M$1,4)),VALUE(RIGHT(M$1,2)),1),0)),M13/MAX(NOW()-DATE(VALUE(LEFT(M$1,4)),VALUE(RIGHT(M$1,2)),1),1/24))),"")</f>
        <v/>
      </c>
      <c r="N14" s="27">
        <f>IFERROR(IF(DATE(VALUE(LEFT(N$1,4)),VALUE(RIGHT(N$1,2)),1)&gt;TODAY(),"",IF(EOMONTH(DATE(VALUE(LEFT(N$1,4)),VALUE(RIGHT(N$1,2)),1),0)&lt;TODAY(),N13/DAY(EOMONTH(DATE(VALUE(LEFT(N$1,4)),VALUE(RIGHT(N$1,2)),1),0)),N13/MAX(NOW()-DATE(VALUE(LEFT(N$1,4)),VALUE(RIGHT(N$1,2)),1),1/24))),"")</f>
        <v/>
      </c>
      <c r="O14" s="27">
        <f>IFERROR(IF(DATE(VALUE(LEFT(O$1,4)),VALUE(RIGHT(O$1,2)),1)&gt;TODAY(),"",IF(EOMONTH(DATE(VALUE(LEFT(O$1,4)),VALUE(RIGHT(O$1,2)),1),0)&lt;TODAY(),O13/DAY(EOMONTH(DATE(VALUE(LEFT(O$1,4)),VALUE(RIGHT(O$1,2)),1),0)),O13/MAX(NOW()-DATE(VALUE(LEFT(O$1,4)),VALUE(RIGHT(O$1,2)),1),1/24))),"")</f>
        <v/>
      </c>
      <c r="P14" s="28">
        <f>SUM(D14:O14)</f>
        <v/>
      </c>
      <c r="Q14" s="27" t="n"/>
    </row>
    <row r="15" ht="12" customHeight="1">
      <c r="A15" s="23" t="inlineStr">
        <is>
          <t xml:space="preserve">            AT</t>
        </is>
      </c>
      <c r="B15" s="4" t="n"/>
      <c r="C15" s="4" t="inlineStr">
        <is>
          <t>AT</t>
        </is>
      </c>
      <c r="D15" s="5">
        <f>SUMIFS('i-shopify-sl'!$I:$I,'i-shopify-sl'!$A:$A,D$1,'i-shopify-sl'!$C:$C,$C15)</f>
        <v/>
      </c>
      <c r="E15" s="5">
        <f>SUMIFS('i-shopify-sl'!$I:$I,'i-shopify-sl'!$A:$A,E$1,'i-shopify-sl'!$C:$C,$C15)</f>
        <v/>
      </c>
      <c r="F15" s="5">
        <f>SUMIFS('i-shopify-sl'!$I:$I,'i-shopify-sl'!$A:$A,F$1,'i-shopify-sl'!$C:$C,$C15)</f>
        <v/>
      </c>
      <c r="G15" s="5">
        <f>SUMIFS('i-shopify-sl'!$I:$I,'i-shopify-sl'!$A:$A,G$1,'i-shopify-sl'!$C:$C,$C15)</f>
        <v/>
      </c>
      <c r="H15" s="5">
        <f>SUMIFS('i-shopify-sl'!$I:$I,'i-shopify-sl'!$A:$A,H$1,'i-shopify-sl'!$C:$C,$C15)</f>
        <v/>
      </c>
      <c r="I15" s="5">
        <f>SUMIFS('i-shopify-sl'!$I:$I,'i-shopify-sl'!$A:$A,I$1,'i-shopify-sl'!$C:$C,$C15)</f>
        <v/>
      </c>
      <c r="J15" s="5">
        <f>SUMIFS('i-shopify-sl'!$I:$I,'i-shopify-sl'!$A:$A,J$1,'i-shopify-sl'!$C:$C,$C15)</f>
        <v/>
      </c>
      <c r="K15" s="5">
        <f>SUMIFS('i-shopify-sl'!$I:$I,'i-shopify-sl'!$A:$A,K$1,'i-shopify-sl'!$C:$C,$C15)</f>
        <v/>
      </c>
      <c r="L15" s="5">
        <f>SUMIFS('i-shopify-sl'!$I:$I,'i-shopify-sl'!$A:$A,L$1,'i-shopify-sl'!$C:$C,$C15)</f>
        <v/>
      </c>
      <c r="M15" s="5">
        <f>SUMIFS('i-shopify-sl'!$I:$I,'i-shopify-sl'!$A:$A,M$1,'i-shopify-sl'!$C:$C,$C15)</f>
        <v/>
      </c>
      <c r="N15" s="5">
        <f>SUMIFS('i-shopify-sl'!$I:$I,'i-shopify-sl'!$A:$A,N$1,'i-shopify-sl'!$C:$C,$C15)</f>
        <v/>
      </c>
      <c r="O15" s="5">
        <f>SUMIFS('i-shopify-sl'!$I:$I,'i-shopify-sl'!$A:$A,O$1,'i-shopify-sl'!$C:$C,$C15)</f>
        <v/>
      </c>
      <c r="P15" s="24">
        <f>SUM(D15:O15)</f>
        <v/>
      </c>
      <c r="Q15" s="25" t="inlineStr">
        <is>
          <t>-&gt;</t>
        </is>
      </c>
    </row>
    <row r="16" hidden="1" outlineLevel="1" ht="12" customHeight="1">
      <c r="A16" s="26" t="inlineStr">
        <is>
          <t>avg/day</t>
        </is>
      </c>
      <c r="B16" s="4" t="n"/>
      <c r="C16" s="3" t="inlineStr">
        <is>
          <t>avg/day</t>
        </is>
      </c>
      <c r="D16" s="27">
        <f>IFERROR(IF(DATE(VALUE(LEFT(D$1,4)),VALUE(RIGHT(D$1,2)),1)&gt;TODAY(),"",IF(EOMONTH(DATE(VALUE(LEFT(D$1,4)),VALUE(RIGHT(D$1,2)),1),0)&lt;TODAY(),D15/DAY(EOMONTH(DATE(VALUE(LEFT(D$1,4)),VALUE(RIGHT(D$1,2)),1),0)),D15/MAX(NOW()-DATE(VALUE(LEFT(D$1,4)),VALUE(RIGHT(D$1,2)),1),1/24))),"")</f>
        <v/>
      </c>
      <c r="E16" s="27">
        <f>IFERROR(IF(DATE(VALUE(LEFT(E$1,4)),VALUE(RIGHT(E$1,2)),1)&gt;TODAY(),"",IF(EOMONTH(DATE(VALUE(LEFT(E$1,4)),VALUE(RIGHT(E$1,2)),1),0)&lt;TODAY(),E15/DAY(EOMONTH(DATE(VALUE(LEFT(E$1,4)),VALUE(RIGHT(E$1,2)),1),0)),E15/MAX(NOW()-DATE(VALUE(LEFT(E$1,4)),VALUE(RIGHT(E$1,2)),1),1/24))),"")</f>
        <v/>
      </c>
      <c r="F16" s="27">
        <f>IFERROR(IF(DATE(VALUE(LEFT(F$1,4)),VALUE(RIGHT(F$1,2)),1)&gt;TODAY(),"",IF(EOMONTH(DATE(VALUE(LEFT(F$1,4)),VALUE(RIGHT(F$1,2)),1),0)&lt;TODAY(),F15/DAY(EOMONTH(DATE(VALUE(LEFT(F$1,4)),VALUE(RIGHT(F$1,2)),1),0)),F15/MAX(NOW()-DATE(VALUE(LEFT(F$1,4)),VALUE(RIGHT(F$1,2)),1),1/24))),"")</f>
        <v/>
      </c>
      <c r="G16" s="27">
        <f>IFERROR(IF(DATE(VALUE(LEFT(G$1,4)),VALUE(RIGHT(G$1,2)),1)&gt;TODAY(),"",IF(EOMONTH(DATE(VALUE(LEFT(G$1,4)),VALUE(RIGHT(G$1,2)),1),0)&lt;TODAY(),G15/DAY(EOMONTH(DATE(VALUE(LEFT(G$1,4)),VALUE(RIGHT(G$1,2)),1),0)),G15/MAX(NOW()-DATE(VALUE(LEFT(G$1,4)),VALUE(RIGHT(G$1,2)),1),1/24))),"")</f>
        <v/>
      </c>
      <c r="H16" s="27">
        <f>IFERROR(IF(DATE(VALUE(LEFT(H$1,4)),VALUE(RIGHT(H$1,2)),1)&gt;TODAY(),"",IF(EOMONTH(DATE(VALUE(LEFT(H$1,4)),VALUE(RIGHT(H$1,2)),1),0)&lt;TODAY(),H15/DAY(EOMONTH(DATE(VALUE(LEFT(H$1,4)),VALUE(RIGHT(H$1,2)),1),0)),H15/MAX(NOW()-DATE(VALUE(LEFT(H$1,4)),VALUE(RIGHT(H$1,2)),1),1/24))),"")</f>
        <v/>
      </c>
      <c r="I16" s="27">
        <f>IFERROR(IF(DATE(VALUE(LEFT(I$1,4)),VALUE(RIGHT(I$1,2)),1)&gt;TODAY(),"",IF(EOMONTH(DATE(VALUE(LEFT(I$1,4)),VALUE(RIGHT(I$1,2)),1),0)&lt;TODAY(),I15/DAY(EOMONTH(DATE(VALUE(LEFT(I$1,4)),VALUE(RIGHT(I$1,2)),1),0)),I15/MAX(NOW()-DATE(VALUE(LEFT(I$1,4)),VALUE(RIGHT(I$1,2)),1),1/24))),"")</f>
        <v/>
      </c>
      <c r="J16" s="27">
        <f>IFERROR(IF(DATE(VALUE(LEFT(J$1,4)),VALUE(RIGHT(J$1,2)),1)&gt;TODAY(),"",IF(EOMONTH(DATE(VALUE(LEFT(J$1,4)),VALUE(RIGHT(J$1,2)),1),0)&lt;TODAY(),J15/DAY(EOMONTH(DATE(VALUE(LEFT(J$1,4)),VALUE(RIGHT(J$1,2)),1),0)),J15/MAX(NOW()-DATE(VALUE(LEFT(J$1,4)),VALUE(RIGHT(J$1,2)),1),1/24))),"")</f>
        <v/>
      </c>
      <c r="K16" s="27">
        <f>IFERROR(IF(DATE(VALUE(LEFT(K$1,4)),VALUE(RIGHT(K$1,2)),1)&gt;TODAY(),"",IF(EOMONTH(DATE(VALUE(LEFT(K$1,4)),VALUE(RIGHT(K$1,2)),1),0)&lt;TODAY(),K15/DAY(EOMONTH(DATE(VALUE(LEFT(K$1,4)),VALUE(RIGHT(K$1,2)),1),0)),K15/MAX(NOW()-DATE(VALUE(LEFT(K$1,4)),VALUE(RIGHT(K$1,2)),1),1/24))),"")</f>
        <v/>
      </c>
      <c r="L16" s="27">
        <f>IFERROR(IF(DATE(VALUE(LEFT(L$1,4)),VALUE(RIGHT(L$1,2)),1)&gt;TODAY(),"",IF(EOMONTH(DATE(VALUE(LEFT(L$1,4)),VALUE(RIGHT(L$1,2)),1),0)&lt;TODAY(),L15/DAY(EOMONTH(DATE(VALUE(LEFT(L$1,4)),VALUE(RIGHT(L$1,2)),1),0)),L15/MAX(NOW()-DATE(VALUE(LEFT(L$1,4)),VALUE(RIGHT(L$1,2)),1),1/24))),"")</f>
        <v/>
      </c>
      <c r="M16" s="27">
        <f>IFERROR(IF(DATE(VALUE(LEFT(M$1,4)),VALUE(RIGHT(M$1,2)),1)&gt;TODAY(),"",IF(EOMONTH(DATE(VALUE(LEFT(M$1,4)),VALUE(RIGHT(M$1,2)),1),0)&lt;TODAY(),M15/DAY(EOMONTH(DATE(VALUE(LEFT(M$1,4)),VALUE(RIGHT(M$1,2)),1),0)),M15/MAX(NOW()-DATE(VALUE(LEFT(M$1,4)),VALUE(RIGHT(M$1,2)),1),1/24))),"")</f>
        <v/>
      </c>
      <c r="N16" s="27">
        <f>IFERROR(IF(DATE(VALUE(LEFT(N$1,4)),VALUE(RIGHT(N$1,2)),1)&gt;TODAY(),"",IF(EOMONTH(DATE(VALUE(LEFT(N$1,4)),VALUE(RIGHT(N$1,2)),1),0)&lt;TODAY(),N15/DAY(EOMONTH(DATE(VALUE(LEFT(N$1,4)),VALUE(RIGHT(N$1,2)),1),0)),N15/MAX(NOW()-DATE(VALUE(LEFT(N$1,4)),VALUE(RIGHT(N$1,2)),1),1/24))),"")</f>
        <v/>
      </c>
      <c r="O16" s="27">
        <f>IFERROR(IF(DATE(VALUE(LEFT(O$1,4)),VALUE(RIGHT(O$1,2)),1)&gt;TODAY(),"",IF(EOMONTH(DATE(VALUE(LEFT(O$1,4)),VALUE(RIGHT(O$1,2)),1),0)&lt;TODAY(),O15/DAY(EOMONTH(DATE(VALUE(LEFT(O$1,4)),VALUE(RIGHT(O$1,2)),1),0)),O15/MAX(NOW()-DATE(VALUE(LEFT(O$1,4)),VALUE(RIGHT(O$1,2)),1),1/24))),"")</f>
        <v/>
      </c>
      <c r="P16" s="28">
        <f>SUM(D16:O16)</f>
        <v/>
      </c>
      <c r="Q16" s="27" t="n"/>
    </row>
    <row r="17" ht="12" customHeight="1">
      <c r="A17" s="23" t="inlineStr">
        <is>
          <t xml:space="preserve">            BE</t>
        </is>
      </c>
      <c r="B17" s="4" t="n"/>
      <c r="C17" s="4" t="inlineStr">
        <is>
          <t>BE</t>
        </is>
      </c>
      <c r="D17" s="5">
        <f>SUMIFS('i-shopify-sl'!$I:$I,'i-shopify-sl'!$A:$A,D$1,'i-shopify-sl'!$C:$C,$C17)</f>
        <v/>
      </c>
      <c r="E17" s="5">
        <f>SUMIFS('i-shopify-sl'!$I:$I,'i-shopify-sl'!$A:$A,E$1,'i-shopify-sl'!$C:$C,$C17)</f>
        <v/>
      </c>
      <c r="F17" s="5">
        <f>SUMIFS('i-shopify-sl'!$I:$I,'i-shopify-sl'!$A:$A,F$1,'i-shopify-sl'!$C:$C,$C17)</f>
        <v/>
      </c>
      <c r="G17" s="5">
        <f>SUMIFS('i-shopify-sl'!$I:$I,'i-shopify-sl'!$A:$A,G$1,'i-shopify-sl'!$C:$C,$C17)</f>
        <v/>
      </c>
      <c r="H17" s="5">
        <f>SUMIFS('i-shopify-sl'!$I:$I,'i-shopify-sl'!$A:$A,H$1,'i-shopify-sl'!$C:$C,$C17)</f>
        <v/>
      </c>
      <c r="I17" s="5">
        <f>SUMIFS('i-shopify-sl'!$I:$I,'i-shopify-sl'!$A:$A,I$1,'i-shopify-sl'!$C:$C,$C17)</f>
        <v/>
      </c>
      <c r="J17" s="5">
        <f>SUMIFS('i-shopify-sl'!$I:$I,'i-shopify-sl'!$A:$A,J$1,'i-shopify-sl'!$C:$C,$C17)</f>
        <v/>
      </c>
      <c r="K17" s="5">
        <f>SUMIFS('i-shopify-sl'!$I:$I,'i-shopify-sl'!$A:$A,K$1,'i-shopify-sl'!$C:$C,$C17)</f>
        <v/>
      </c>
      <c r="L17" s="5">
        <f>SUMIFS('i-shopify-sl'!$I:$I,'i-shopify-sl'!$A:$A,L$1,'i-shopify-sl'!$C:$C,$C17)</f>
        <v/>
      </c>
      <c r="M17" s="5">
        <f>SUMIFS('i-shopify-sl'!$I:$I,'i-shopify-sl'!$A:$A,M$1,'i-shopify-sl'!$C:$C,$C17)</f>
        <v/>
      </c>
      <c r="N17" s="5">
        <f>SUMIFS('i-shopify-sl'!$I:$I,'i-shopify-sl'!$A:$A,N$1,'i-shopify-sl'!$C:$C,$C17)</f>
        <v/>
      </c>
      <c r="O17" s="5">
        <f>SUMIFS('i-shopify-sl'!$I:$I,'i-shopify-sl'!$A:$A,O$1,'i-shopify-sl'!$C:$C,$C17)</f>
        <v/>
      </c>
      <c r="P17" s="24">
        <f>SUM(D17:O17)</f>
        <v/>
      </c>
      <c r="Q17" s="25" t="inlineStr">
        <is>
          <t>-&gt;</t>
        </is>
      </c>
    </row>
    <row r="18" hidden="1" outlineLevel="1" ht="12" customHeight="1">
      <c r="A18" s="26" t="inlineStr">
        <is>
          <t>avg/day</t>
        </is>
      </c>
      <c r="B18" s="4" t="n"/>
      <c r="C18" s="3" t="inlineStr">
        <is>
          <t>avg/day</t>
        </is>
      </c>
      <c r="D18" s="27">
        <f>IFERROR(IF(DATE(VALUE(LEFT(D$1,4)),VALUE(RIGHT(D$1,2)),1)&gt;TODAY(),"",IF(EOMONTH(DATE(VALUE(LEFT(D$1,4)),VALUE(RIGHT(D$1,2)),1),0)&lt;TODAY(),D17/DAY(EOMONTH(DATE(VALUE(LEFT(D$1,4)),VALUE(RIGHT(D$1,2)),1),0)),D17/MAX(NOW()-DATE(VALUE(LEFT(D$1,4)),VALUE(RIGHT(D$1,2)),1),1/24))),"")</f>
        <v/>
      </c>
      <c r="E18" s="27">
        <f>IFERROR(IF(DATE(VALUE(LEFT(E$1,4)),VALUE(RIGHT(E$1,2)),1)&gt;TODAY(),"",IF(EOMONTH(DATE(VALUE(LEFT(E$1,4)),VALUE(RIGHT(E$1,2)),1),0)&lt;TODAY(),E17/DAY(EOMONTH(DATE(VALUE(LEFT(E$1,4)),VALUE(RIGHT(E$1,2)),1),0)),E17/MAX(NOW()-DATE(VALUE(LEFT(E$1,4)),VALUE(RIGHT(E$1,2)),1),1/24))),"")</f>
        <v/>
      </c>
      <c r="F18" s="27">
        <f>IFERROR(IF(DATE(VALUE(LEFT(F$1,4)),VALUE(RIGHT(F$1,2)),1)&gt;TODAY(),"",IF(EOMONTH(DATE(VALUE(LEFT(F$1,4)),VALUE(RIGHT(F$1,2)),1),0)&lt;TODAY(),F17/DAY(EOMONTH(DATE(VALUE(LEFT(F$1,4)),VALUE(RIGHT(F$1,2)),1),0)),F17/MAX(NOW()-DATE(VALUE(LEFT(F$1,4)),VALUE(RIGHT(F$1,2)),1),1/24))),"")</f>
        <v/>
      </c>
      <c r="G18" s="27">
        <f>IFERROR(IF(DATE(VALUE(LEFT(G$1,4)),VALUE(RIGHT(G$1,2)),1)&gt;TODAY(),"",IF(EOMONTH(DATE(VALUE(LEFT(G$1,4)),VALUE(RIGHT(G$1,2)),1),0)&lt;TODAY(),G17/DAY(EOMONTH(DATE(VALUE(LEFT(G$1,4)),VALUE(RIGHT(G$1,2)),1),0)),G17/MAX(NOW()-DATE(VALUE(LEFT(G$1,4)),VALUE(RIGHT(G$1,2)),1),1/24))),"")</f>
        <v/>
      </c>
      <c r="H18" s="27">
        <f>IFERROR(IF(DATE(VALUE(LEFT(H$1,4)),VALUE(RIGHT(H$1,2)),1)&gt;TODAY(),"",IF(EOMONTH(DATE(VALUE(LEFT(H$1,4)),VALUE(RIGHT(H$1,2)),1),0)&lt;TODAY(),H17/DAY(EOMONTH(DATE(VALUE(LEFT(H$1,4)),VALUE(RIGHT(H$1,2)),1),0)),H17/MAX(NOW()-DATE(VALUE(LEFT(H$1,4)),VALUE(RIGHT(H$1,2)),1),1/24))),"")</f>
        <v/>
      </c>
      <c r="I18" s="27">
        <f>IFERROR(IF(DATE(VALUE(LEFT(I$1,4)),VALUE(RIGHT(I$1,2)),1)&gt;TODAY(),"",IF(EOMONTH(DATE(VALUE(LEFT(I$1,4)),VALUE(RIGHT(I$1,2)),1),0)&lt;TODAY(),I17/DAY(EOMONTH(DATE(VALUE(LEFT(I$1,4)),VALUE(RIGHT(I$1,2)),1),0)),I17/MAX(NOW()-DATE(VALUE(LEFT(I$1,4)),VALUE(RIGHT(I$1,2)),1),1/24))),"")</f>
        <v/>
      </c>
      <c r="J18" s="27">
        <f>IFERROR(IF(DATE(VALUE(LEFT(J$1,4)),VALUE(RIGHT(J$1,2)),1)&gt;TODAY(),"",IF(EOMONTH(DATE(VALUE(LEFT(J$1,4)),VALUE(RIGHT(J$1,2)),1),0)&lt;TODAY(),J17/DAY(EOMONTH(DATE(VALUE(LEFT(J$1,4)),VALUE(RIGHT(J$1,2)),1),0)),J17/MAX(NOW()-DATE(VALUE(LEFT(J$1,4)),VALUE(RIGHT(J$1,2)),1),1/24))),"")</f>
        <v/>
      </c>
      <c r="K18" s="27">
        <f>IFERROR(IF(DATE(VALUE(LEFT(K$1,4)),VALUE(RIGHT(K$1,2)),1)&gt;TODAY(),"",IF(EOMONTH(DATE(VALUE(LEFT(K$1,4)),VALUE(RIGHT(K$1,2)),1),0)&lt;TODAY(),K17/DAY(EOMONTH(DATE(VALUE(LEFT(K$1,4)),VALUE(RIGHT(K$1,2)),1),0)),K17/MAX(NOW()-DATE(VALUE(LEFT(K$1,4)),VALUE(RIGHT(K$1,2)),1),1/24))),"")</f>
        <v/>
      </c>
      <c r="L18" s="27">
        <f>IFERROR(IF(DATE(VALUE(LEFT(L$1,4)),VALUE(RIGHT(L$1,2)),1)&gt;TODAY(),"",IF(EOMONTH(DATE(VALUE(LEFT(L$1,4)),VALUE(RIGHT(L$1,2)),1),0)&lt;TODAY(),L17/DAY(EOMONTH(DATE(VALUE(LEFT(L$1,4)),VALUE(RIGHT(L$1,2)),1),0)),L17/MAX(NOW()-DATE(VALUE(LEFT(L$1,4)),VALUE(RIGHT(L$1,2)),1),1/24))),"")</f>
        <v/>
      </c>
      <c r="M18" s="27">
        <f>IFERROR(IF(DATE(VALUE(LEFT(M$1,4)),VALUE(RIGHT(M$1,2)),1)&gt;TODAY(),"",IF(EOMONTH(DATE(VALUE(LEFT(M$1,4)),VALUE(RIGHT(M$1,2)),1),0)&lt;TODAY(),M17/DAY(EOMONTH(DATE(VALUE(LEFT(M$1,4)),VALUE(RIGHT(M$1,2)),1),0)),M17/MAX(NOW()-DATE(VALUE(LEFT(M$1,4)),VALUE(RIGHT(M$1,2)),1),1/24))),"")</f>
        <v/>
      </c>
      <c r="N18" s="27">
        <f>IFERROR(IF(DATE(VALUE(LEFT(N$1,4)),VALUE(RIGHT(N$1,2)),1)&gt;TODAY(),"",IF(EOMONTH(DATE(VALUE(LEFT(N$1,4)),VALUE(RIGHT(N$1,2)),1),0)&lt;TODAY(),N17/DAY(EOMONTH(DATE(VALUE(LEFT(N$1,4)),VALUE(RIGHT(N$1,2)),1),0)),N17/MAX(NOW()-DATE(VALUE(LEFT(N$1,4)),VALUE(RIGHT(N$1,2)),1),1/24))),"")</f>
        <v/>
      </c>
      <c r="O18" s="27">
        <f>IFERROR(IF(DATE(VALUE(LEFT(O$1,4)),VALUE(RIGHT(O$1,2)),1)&gt;TODAY(),"",IF(EOMONTH(DATE(VALUE(LEFT(O$1,4)),VALUE(RIGHT(O$1,2)),1),0)&lt;TODAY(),O17/DAY(EOMONTH(DATE(VALUE(LEFT(O$1,4)),VALUE(RIGHT(O$1,2)),1),0)),O17/MAX(NOW()-DATE(VALUE(LEFT(O$1,4)),VALUE(RIGHT(O$1,2)),1),1/24))),"")</f>
        <v/>
      </c>
      <c r="P18" s="28">
        <f>SUM(D18:O18)</f>
        <v/>
      </c>
      <c r="Q18" s="27" t="n"/>
    </row>
    <row r="19" ht="12" customHeight="1">
      <c r="A19" s="23" t="inlineStr">
        <is>
          <t xml:space="preserve">            NL</t>
        </is>
      </c>
      <c r="B19" s="4" t="n"/>
      <c r="C19" s="4" t="inlineStr">
        <is>
          <t>NL</t>
        </is>
      </c>
      <c r="D19" s="5">
        <f>SUMIFS('i-shopify-sl'!$I:$I,'i-shopify-sl'!$A:$A,D$1,'i-shopify-sl'!$C:$C,$C19)</f>
        <v/>
      </c>
      <c r="E19" s="5">
        <f>SUMIFS('i-shopify-sl'!$I:$I,'i-shopify-sl'!$A:$A,E$1,'i-shopify-sl'!$C:$C,$C19)</f>
        <v/>
      </c>
      <c r="F19" s="5">
        <f>SUMIFS('i-shopify-sl'!$I:$I,'i-shopify-sl'!$A:$A,F$1,'i-shopify-sl'!$C:$C,$C19)</f>
        <v/>
      </c>
      <c r="G19" s="5">
        <f>SUMIFS('i-shopify-sl'!$I:$I,'i-shopify-sl'!$A:$A,G$1,'i-shopify-sl'!$C:$C,$C19)</f>
        <v/>
      </c>
      <c r="H19" s="5">
        <f>SUMIFS('i-shopify-sl'!$I:$I,'i-shopify-sl'!$A:$A,H$1,'i-shopify-sl'!$C:$C,$C19)</f>
        <v/>
      </c>
      <c r="I19" s="5">
        <f>SUMIFS('i-shopify-sl'!$I:$I,'i-shopify-sl'!$A:$A,I$1,'i-shopify-sl'!$C:$C,$C19)</f>
        <v/>
      </c>
      <c r="J19" s="5">
        <f>SUMIFS('i-shopify-sl'!$I:$I,'i-shopify-sl'!$A:$A,J$1,'i-shopify-sl'!$C:$C,$C19)</f>
        <v/>
      </c>
      <c r="K19" s="5">
        <f>SUMIFS('i-shopify-sl'!$I:$I,'i-shopify-sl'!$A:$A,K$1,'i-shopify-sl'!$C:$C,$C19)</f>
        <v/>
      </c>
      <c r="L19" s="5">
        <f>SUMIFS('i-shopify-sl'!$I:$I,'i-shopify-sl'!$A:$A,L$1,'i-shopify-sl'!$C:$C,$C19)</f>
        <v/>
      </c>
      <c r="M19" s="5">
        <f>SUMIFS('i-shopify-sl'!$I:$I,'i-shopify-sl'!$A:$A,M$1,'i-shopify-sl'!$C:$C,$C19)</f>
        <v/>
      </c>
      <c r="N19" s="5">
        <f>SUMIFS('i-shopify-sl'!$I:$I,'i-shopify-sl'!$A:$A,N$1,'i-shopify-sl'!$C:$C,$C19)</f>
        <v/>
      </c>
      <c r="O19" s="5">
        <f>SUMIFS('i-shopify-sl'!$I:$I,'i-shopify-sl'!$A:$A,O$1,'i-shopify-sl'!$C:$C,$C19)</f>
        <v/>
      </c>
      <c r="P19" s="24">
        <f>SUM(D19:O19)</f>
        <v/>
      </c>
      <c r="Q19" s="25" t="inlineStr">
        <is>
          <t>-&gt;</t>
        </is>
      </c>
    </row>
    <row r="20" hidden="1" outlineLevel="1" ht="12" customHeight="1">
      <c r="A20" s="26" t="inlineStr">
        <is>
          <t>avg/day</t>
        </is>
      </c>
      <c r="B20" s="4" t="n"/>
      <c r="C20" s="3" t="inlineStr">
        <is>
          <t>avg/day</t>
        </is>
      </c>
      <c r="D20" s="27">
        <f>IFERROR(IF(DATE(VALUE(LEFT(D$1,4)),VALUE(RIGHT(D$1,2)),1)&gt;TODAY(),"",IF(EOMONTH(DATE(VALUE(LEFT(D$1,4)),VALUE(RIGHT(D$1,2)),1),0)&lt;TODAY(),D19/DAY(EOMONTH(DATE(VALUE(LEFT(D$1,4)),VALUE(RIGHT(D$1,2)),1),0)),D19/MAX(NOW()-DATE(VALUE(LEFT(D$1,4)),VALUE(RIGHT(D$1,2)),1),1/24))),"")</f>
        <v/>
      </c>
      <c r="E20" s="27">
        <f>IFERROR(IF(DATE(VALUE(LEFT(E$1,4)),VALUE(RIGHT(E$1,2)),1)&gt;TODAY(),"",IF(EOMONTH(DATE(VALUE(LEFT(E$1,4)),VALUE(RIGHT(E$1,2)),1),0)&lt;TODAY(),E19/DAY(EOMONTH(DATE(VALUE(LEFT(E$1,4)),VALUE(RIGHT(E$1,2)),1),0)),E19/MAX(NOW()-DATE(VALUE(LEFT(E$1,4)),VALUE(RIGHT(E$1,2)),1),1/24))),"")</f>
        <v/>
      </c>
      <c r="F20" s="27">
        <f>IFERROR(IF(DATE(VALUE(LEFT(F$1,4)),VALUE(RIGHT(F$1,2)),1)&gt;TODAY(),"",IF(EOMONTH(DATE(VALUE(LEFT(F$1,4)),VALUE(RIGHT(F$1,2)),1),0)&lt;TODAY(),F19/DAY(EOMONTH(DATE(VALUE(LEFT(F$1,4)),VALUE(RIGHT(F$1,2)),1),0)),F19/MAX(NOW()-DATE(VALUE(LEFT(F$1,4)),VALUE(RIGHT(F$1,2)),1),1/24))),"")</f>
        <v/>
      </c>
      <c r="G20" s="27">
        <f>IFERROR(IF(DATE(VALUE(LEFT(G$1,4)),VALUE(RIGHT(G$1,2)),1)&gt;TODAY(),"",IF(EOMONTH(DATE(VALUE(LEFT(G$1,4)),VALUE(RIGHT(G$1,2)),1),0)&lt;TODAY(),G19/DAY(EOMONTH(DATE(VALUE(LEFT(G$1,4)),VALUE(RIGHT(G$1,2)),1),0)),G19/MAX(NOW()-DATE(VALUE(LEFT(G$1,4)),VALUE(RIGHT(G$1,2)),1),1/24))),"")</f>
        <v/>
      </c>
      <c r="H20" s="27">
        <f>IFERROR(IF(DATE(VALUE(LEFT(H$1,4)),VALUE(RIGHT(H$1,2)),1)&gt;TODAY(),"",IF(EOMONTH(DATE(VALUE(LEFT(H$1,4)),VALUE(RIGHT(H$1,2)),1),0)&lt;TODAY(),H19/DAY(EOMONTH(DATE(VALUE(LEFT(H$1,4)),VALUE(RIGHT(H$1,2)),1),0)),H19/MAX(NOW()-DATE(VALUE(LEFT(H$1,4)),VALUE(RIGHT(H$1,2)),1),1/24))),"")</f>
        <v/>
      </c>
      <c r="I20" s="27">
        <f>IFERROR(IF(DATE(VALUE(LEFT(I$1,4)),VALUE(RIGHT(I$1,2)),1)&gt;TODAY(),"",IF(EOMONTH(DATE(VALUE(LEFT(I$1,4)),VALUE(RIGHT(I$1,2)),1),0)&lt;TODAY(),I19/DAY(EOMONTH(DATE(VALUE(LEFT(I$1,4)),VALUE(RIGHT(I$1,2)),1),0)),I19/MAX(NOW()-DATE(VALUE(LEFT(I$1,4)),VALUE(RIGHT(I$1,2)),1),1/24))),"")</f>
        <v/>
      </c>
      <c r="J20" s="27">
        <f>IFERROR(IF(DATE(VALUE(LEFT(J$1,4)),VALUE(RIGHT(J$1,2)),1)&gt;TODAY(),"",IF(EOMONTH(DATE(VALUE(LEFT(J$1,4)),VALUE(RIGHT(J$1,2)),1),0)&lt;TODAY(),J19/DAY(EOMONTH(DATE(VALUE(LEFT(J$1,4)),VALUE(RIGHT(J$1,2)),1),0)),J19/MAX(NOW()-DATE(VALUE(LEFT(J$1,4)),VALUE(RIGHT(J$1,2)),1),1/24))),"")</f>
        <v/>
      </c>
      <c r="K20" s="27">
        <f>IFERROR(IF(DATE(VALUE(LEFT(K$1,4)),VALUE(RIGHT(K$1,2)),1)&gt;TODAY(),"",IF(EOMONTH(DATE(VALUE(LEFT(K$1,4)),VALUE(RIGHT(K$1,2)),1),0)&lt;TODAY(),K19/DAY(EOMONTH(DATE(VALUE(LEFT(K$1,4)),VALUE(RIGHT(K$1,2)),1),0)),K19/MAX(NOW()-DATE(VALUE(LEFT(K$1,4)),VALUE(RIGHT(K$1,2)),1),1/24))),"")</f>
        <v/>
      </c>
      <c r="L20" s="27">
        <f>IFERROR(IF(DATE(VALUE(LEFT(L$1,4)),VALUE(RIGHT(L$1,2)),1)&gt;TODAY(),"",IF(EOMONTH(DATE(VALUE(LEFT(L$1,4)),VALUE(RIGHT(L$1,2)),1),0)&lt;TODAY(),L19/DAY(EOMONTH(DATE(VALUE(LEFT(L$1,4)),VALUE(RIGHT(L$1,2)),1),0)),L19/MAX(NOW()-DATE(VALUE(LEFT(L$1,4)),VALUE(RIGHT(L$1,2)),1),1/24))),"")</f>
        <v/>
      </c>
      <c r="M20" s="27">
        <f>IFERROR(IF(DATE(VALUE(LEFT(M$1,4)),VALUE(RIGHT(M$1,2)),1)&gt;TODAY(),"",IF(EOMONTH(DATE(VALUE(LEFT(M$1,4)),VALUE(RIGHT(M$1,2)),1),0)&lt;TODAY(),M19/DAY(EOMONTH(DATE(VALUE(LEFT(M$1,4)),VALUE(RIGHT(M$1,2)),1),0)),M19/MAX(NOW()-DATE(VALUE(LEFT(M$1,4)),VALUE(RIGHT(M$1,2)),1),1/24))),"")</f>
        <v/>
      </c>
      <c r="N20" s="27">
        <f>IFERROR(IF(DATE(VALUE(LEFT(N$1,4)),VALUE(RIGHT(N$1,2)),1)&gt;TODAY(),"",IF(EOMONTH(DATE(VALUE(LEFT(N$1,4)),VALUE(RIGHT(N$1,2)),1),0)&lt;TODAY(),N19/DAY(EOMONTH(DATE(VALUE(LEFT(N$1,4)),VALUE(RIGHT(N$1,2)),1),0)),N19/MAX(NOW()-DATE(VALUE(LEFT(N$1,4)),VALUE(RIGHT(N$1,2)),1),1/24))),"")</f>
        <v/>
      </c>
      <c r="O20" s="27">
        <f>IFERROR(IF(DATE(VALUE(LEFT(O$1,4)),VALUE(RIGHT(O$1,2)),1)&gt;TODAY(),"",IF(EOMONTH(DATE(VALUE(LEFT(O$1,4)),VALUE(RIGHT(O$1,2)),1),0)&lt;TODAY(),O19/DAY(EOMONTH(DATE(VALUE(LEFT(O$1,4)),VALUE(RIGHT(O$1,2)),1),0)),O19/MAX(NOW()-DATE(VALUE(LEFT(O$1,4)),VALUE(RIGHT(O$1,2)),1),1/24))),"")</f>
        <v/>
      </c>
      <c r="P20" s="28">
        <f>SUM(D20:O20)</f>
        <v/>
      </c>
      <c r="Q20" s="27" t="n"/>
    </row>
    <row r="21" ht="12" customHeight="1">
      <c r="A21" s="23" t="inlineStr">
        <is>
          <t xml:space="preserve">            PT</t>
        </is>
      </c>
      <c r="B21" s="4" t="n"/>
      <c r="C21" s="4" t="inlineStr">
        <is>
          <t>PT</t>
        </is>
      </c>
      <c r="D21" s="5">
        <f>SUMIFS('i-shopify-sl'!$I:$I,'i-shopify-sl'!$A:$A,D$1,'i-shopify-sl'!$C:$C,$C21)</f>
        <v/>
      </c>
      <c r="E21" s="5">
        <f>SUMIFS('i-shopify-sl'!$I:$I,'i-shopify-sl'!$A:$A,E$1,'i-shopify-sl'!$C:$C,$C21)</f>
        <v/>
      </c>
      <c r="F21" s="5">
        <f>SUMIFS('i-shopify-sl'!$I:$I,'i-shopify-sl'!$A:$A,F$1,'i-shopify-sl'!$C:$C,$C21)</f>
        <v/>
      </c>
      <c r="G21" s="5">
        <f>SUMIFS('i-shopify-sl'!$I:$I,'i-shopify-sl'!$A:$A,G$1,'i-shopify-sl'!$C:$C,$C21)</f>
        <v/>
      </c>
      <c r="H21" s="5">
        <f>SUMIFS('i-shopify-sl'!$I:$I,'i-shopify-sl'!$A:$A,H$1,'i-shopify-sl'!$C:$C,$C21)</f>
        <v/>
      </c>
      <c r="I21" s="5">
        <f>SUMIFS('i-shopify-sl'!$I:$I,'i-shopify-sl'!$A:$A,I$1,'i-shopify-sl'!$C:$C,$C21)</f>
        <v/>
      </c>
      <c r="J21" s="5">
        <f>SUMIFS('i-shopify-sl'!$I:$I,'i-shopify-sl'!$A:$A,J$1,'i-shopify-sl'!$C:$C,$C21)</f>
        <v/>
      </c>
      <c r="K21" s="5">
        <f>SUMIFS('i-shopify-sl'!$I:$I,'i-shopify-sl'!$A:$A,K$1,'i-shopify-sl'!$C:$C,$C21)</f>
        <v/>
      </c>
      <c r="L21" s="5">
        <f>SUMIFS('i-shopify-sl'!$I:$I,'i-shopify-sl'!$A:$A,L$1,'i-shopify-sl'!$C:$C,$C21)</f>
        <v/>
      </c>
      <c r="M21" s="5">
        <f>SUMIFS('i-shopify-sl'!$I:$I,'i-shopify-sl'!$A:$A,M$1,'i-shopify-sl'!$C:$C,$C21)</f>
        <v/>
      </c>
      <c r="N21" s="5">
        <f>SUMIFS('i-shopify-sl'!$I:$I,'i-shopify-sl'!$A:$A,N$1,'i-shopify-sl'!$C:$C,$C21)</f>
        <v/>
      </c>
      <c r="O21" s="5">
        <f>SUMIFS('i-shopify-sl'!$I:$I,'i-shopify-sl'!$A:$A,O$1,'i-shopify-sl'!$C:$C,$C21)</f>
        <v/>
      </c>
      <c r="P21" s="24">
        <f>SUM(D21:O21)</f>
        <v/>
      </c>
      <c r="Q21" s="25" t="inlineStr">
        <is>
          <t>-&gt;</t>
        </is>
      </c>
    </row>
    <row r="22" hidden="1" outlineLevel="1" ht="12" customHeight="1">
      <c r="A22" s="26" t="inlineStr">
        <is>
          <t>avg/day</t>
        </is>
      </c>
      <c r="B22" s="4" t="n"/>
      <c r="C22" s="3" t="inlineStr">
        <is>
          <t>avg/day</t>
        </is>
      </c>
      <c r="D22" s="27">
        <f>IFERROR(IF(DATE(VALUE(LEFT(D$1,4)),VALUE(RIGHT(D$1,2)),1)&gt;TODAY(),"",IF(EOMONTH(DATE(VALUE(LEFT(D$1,4)),VALUE(RIGHT(D$1,2)),1),0)&lt;TODAY(),D21/DAY(EOMONTH(DATE(VALUE(LEFT(D$1,4)),VALUE(RIGHT(D$1,2)),1),0)),D21/MAX(NOW()-DATE(VALUE(LEFT(D$1,4)),VALUE(RIGHT(D$1,2)),1),1/24))),"")</f>
        <v/>
      </c>
      <c r="E22" s="27">
        <f>IFERROR(IF(DATE(VALUE(LEFT(E$1,4)),VALUE(RIGHT(E$1,2)),1)&gt;TODAY(),"",IF(EOMONTH(DATE(VALUE(LEFT(E$1,4)),VALUE(RIGHT(E$1,2)),1),0)&lt;TODAY(),E21/DAY(EOMONTH(DATE(VALUE(LEFT(E$1,4)),VALUE(RIGHT(E$1,2)),1),0)),E21/MAX(NOW()-DATE(VALUE(LEFT(E$1,4)),VALUE(RIGHT(E$1,2)),1),1/24))),"")</f>
        <v/>
      </c>
      <c r="F22" s="27">
        <f>IFERROR(IF(DATE(VALUE(LEFT(F$1,4)),VALUE(RIGHT(F$1,2)),1)&gt;TODAY(),"",IF(EOMONTH(DATE(VALUE(LEFT(F$1,4)),VALUE(RIGHT(F$1,2)),1),0)&lt;TODAY(),F21/DAY(EOMONTH(DATE(VALUE(LEFT(F$1,4)),VALUE(RIGHT(F$1,2)),1),0)),F21/MAX(NOW()-DATE(VALUE(LEFT(F$1,4)),VALUE(RIGHT(F$1,2)),1),1/24))),"")</f>
        <v/>
      </c>
      <c r="G22" s="27">
        <f>IFERROR(IF(DATE(VALUE(LEFT(G$1,4)),VALUE(RIGHT(G$1,2)),1)&gt;TODAY(),"",IF(EOMONTH(DATE(VALUE(LEFT(G$1,4)),VALUE(RIGHT(G$1,2)),1),0)&lt;TODAY(),G21/DAY(EOMONTH(DATE(VALUE(LEFT(G$1,4)),VALUE(RIGHT(G$1,2)),1),0)),G21/MAX(NOW()-DATE(VALUE(LEFT(G$1,4)),VALUE(RIGHT(G$1,2)),1),1/24))),"")</f>
        <v/>
      </c>
      <c r="H22" s="27">
        <f>IFERROR(IF(DATE(VALUE(LEFT(H$1,4)),VALUE(RIGHT(H$1,2)),1)&gt;TODAY(),"",IF(EOMONTH(DATE(VALUE(LEFT(H$1,4)),VALUE(RIGHT(H$1,2)),1),0)&lt;TODAY(),H21/DAY(EOMONTH(DATE(VALUE(LEFT(H$1,4)),VALUE(RIGHT(H$1,2)),1),0)),H21/MAX(NOW()-DATE(VALUE(LEFT(H$1,4)),VALUE(RIGHT(H$1,2)),1),1/24))),"")</f>
        <v/>
      </c>
      <c r="I22" s="27">
        <f>IFERROR(IF(DATE(VALUE(LEFT(I$1,4)),VALUE(RIGHT(I$1,2)),1)&gt;TODAY(),"",IF(EOMONTH(DATE(VALUE(LEFT(I$1,4)),VALUE(RIGHT(I$1,2)),1),0)&lt;TODAY(),I21/DAY(EOMONTH(DATE(VALUE(LEFT(I$1,4)),VALUE(RIGHT(I$1,2)),1),0)),I21/MAX(NOW()-DATE(VALUE(LEFT(I$1,4)),VALUE(RIGHT(I$1,2)),1),1/24))),"")</f>
        <v/>
      </c>
      <c r="J22" s="27">
        <f>IFERROR(IF(DATE(VALUE(LEFT(J$1,4)),VALUE(RIGHT(J$1,2)),1)&gt;TODAY(),"",IF(EOMONTH(DATE(VALUE(LEFT(J$1,4)),VALUE(RIGHT(J$1,2)),1),0)&lt;TODAY(),J21/DAY(EOMONTH(DATE(VALUE(LEFT(J$1,4)),VALUE(RIGHT(J$1,2)),1),0)),J21/MAX(NOW()-DATE(VALUE(LEFT(J$1,4)),VALUE(RIGHT(J$1,2)),1),1/24))),"")</f>
        <v/>
      </c>
      <c r="K22" s="27">
        <f>IFERROR(IF(DATE(VALUE(LEFT(K$1,4)),VALUE(RIGHT(K$1,2)),1)&gt;TODAY(),"",IF(EOMONTH(DATE(VALUE(LEFT(K$1,4)),VALUE(RIGHT(K$1,2)),1),0)&lt;TODAY(),K21/DAY(EOMONTH(DATE(VALUE(LEFT(K$1,4)),VALUE(RIGHT(K$1,2)),1),0)),K21/MAX(NOW()-DATE(VALUE(LEFT(K$1,4)),VALUE(RIGHT(K$1,2)),1),1/24))),"")</f>
        <v/>
      </c>
      <c r="L22" s="27">
        <f>IFERROR(IF(DATE(VALUE(LEFT(L$1,4)),VALUE(RIGHT(L$1,2)),1)&gt;TODAY(),"",IF(EOMONTH(DATE(VALUE(LEFT(L$1,4)),VALUE(RIGHT(L$1,2)),1),0)&lt;TODAY(),L21/DAY(EOMONTH(DATE(VALUE(LEFT(L$1,4)),VALUE(RIGHT(L$1,2)),1),0)),L21/MAX(NOW()-DATE(VALUE(LEFT(L$1,4)),VALUE(RIGHT(L$1,2)),1),1/24))),"")</f>
        <v/>
      </c>
      <c r="M22" s="27">
        <f>IFERROR(IF(DATE(VALUE(LEFT(M$1,4)),VALUE(RIGHT(M$1,2)),1)&gt;TODAY(),"",IF(EOMONTH(DATE(VALUE(LEFT(M$1,4)),VALUE(RIGHT(M$1,2)),1),0)&lt;TODAY(),M21/DAY(EOMONTH(DATE(VALUE(LEFT(M$1,4)),VALUE(RIGHT(M$1,2)),1),0)),M21/MAX(NOW()-DATE(VALUE(LEFT(M$1,4)),VALUE(RIGHT(M$1,2)),1),1/24))),"")</f>
        <v/>
      </c>
      <c r="N22" s="27">
        <f>IFERROR(IF(DATE(VALUE(LEFT(N$1,4)),VALUE(RIGHT(N$1,2)),1)&gt;TODAY(),"",IF(EOMONTH(DATE(VALUE(LEFT(N$1,4)),VALUE(RIGHT(N$1,2)),1),0)&lt;TODAY(),N21/DAY(EOMONTH(DATE(VALUE(LEFT(N$1,4)),VALUE(RIGHT(N$1,2)),1),0)),N21/MAX(NOW()-DATE(VALUE(LEFT(N$1,4)),VALUE(RIGHT(N$1,2)),1),1/24))),"")</f>
        <v/>
      </c>
      <c r="O22" s="27">
        <f>IFERROR(IF(DATE(VALUE(LEFT(O$1,4)),VALUE(RIGHT(O$1,2)),1)&gt;TODAY(),"",IF(EOMONTH(DATE(VALUE(LEFT(O$1,4)),VALUE(RIGHT(O$1,2)),1),0)&lt;TODAY(),O21/DAY(EOMONTH(DATE(VALUE(LEFT(O$1,4)),VALUE(RIGHT(O$1,2)),1),0)),O21/MAX(NOW()-DATE(VALUE(LEFT(O$1,4)),VALUE(RIGHT(O$1,2)),1),1/24))),"")</f>
        <v/>
      </c>
      <c r="P22" s="28">
        <f>SUM(D22:O22)</f>
        <v/>
      </c>
      <c r="Q22" s="27" t="n"/>
    </row>
    <row r="23" ht="12" customHeight="1">
      <c r="A23" s="23" t="inlineStr">
        <is>
          <t xml:space="preserve">            CZ</t>
        </is>
      </c>
      <c r="B23" s="4" t="n"/>
      <c r="C23" s="4" t="inlineStr">
        <is>
          <t>CZ</t>
        </is>
      </c>
      <c r="D23" s="5">
        <f>SUMIFS('i-shopify-sl'!$I:$I,'i-shopify-sl'!$A:$A,D$1,'i-shopify-sl'!$C:$C,$C23)</f>
        <v/>
      </c>
      <c r="E23" s="5">
        <f>SUMIFS('i-shopify-sl'!$I:$I,'i-shopify-sl'!$A:$A,E$1,'i-shopify-sl'!$C:$C,$C23)</f>
        <v/>
      </c>
      <c r="F23" s="5">
        <f>SUMIFS('i-shopify-sl'!$I:$I,'i-shopify-sl'!$A:$A,F$1,'i-shopify-sl'!$C:$C,$C23)</f>
        <v/>
      </c>
      <c r="G23" s="5">
        <f>SUMIFS('i-shopify-sl'!$I:$I,'i-shopify-sl'!$A:$A,G$1,'i-shopify-sl'!$C:$C,$C23)</f>
        <v/>
      </c>
      <c r="H23" s="5">
        <f>SUMIFS('i-shopify-sl'!$I:$I,'i-shopify-sl'!$A:$A,H$1,'i-shopify-sl'!$C:$C,$C23)</f>
        <v/>
      </c>
      <c r="I23" s="5">
        <f>SUMIFS('i-shopify-sl'!$I:$I,'i-shopify-sl'!$A:$A,I$1,'i-shopify-sl'!$C:$C,$C23)</f>
        <v/>
      </c>
      <c r="J23" s="5">
        <f>SUMIFS('i-shopify-sl'!$I:$I,'i-shopify-sl'!$A:$A,J$1,'i-shopify-sl'!$C:$C,$C23)</f>
        <v/>
      </c>
      <c r="K23" s="5">
        <f>SUMIFS('i-shopify-sl'!$I:$I,'i-shopify-sl'!$A:$A,K$1,'i-shopify-sl'!$C:$C,$C23)</f>
        <v/>
      </c>
      <c r="L23" s="5">
        <f>SUMIFS('i-shopify-sl'!$I:$I,'i-shopify-sl'!$A:$A,L$1,'i-shopify-sl'!$C:$C,$C23)</f>
        <v/>
      </c>
      <c r="M23" s="5">
        <f>SUMIFS('i-shopify-sl'!$I:$I,'i-shopify-sl'!$A:$A,M$1,'i-shopify-sl'!$C:$C,$C23)</f>
        <v/>
      </c>
      <c r="N23" s="5">
        <f>SUMIFS('i-shopify-sl'!$I:$I,'i-shopify-sl'!$A:$A,N$1,'i-shopify-sl'!$C:$C,$C23)</f>
        <v/>
      </c>
      <c r="O23" s="5">
        <f>SUMIFS('i-shopify-sl'!$I:$I,'i-shopify-sl'!$A:$A,O$1,'i-shopify-sl'!$C:$C,$C23)</f>
        <v/>
      </c>
      <c r="P23" s="24">
        <f>SUM(D23:O23)</f>
        <v/>
      </c>
      <c r="Q23" s="25" t="inlineStr">
        <is>
          <t>-&gt;</t>
        </is>
      </c>
    </row>
    <row r="24" hidden="1" outlineLevel="1" ht="12" customHeight="1">
      <c r="A24" s="26" t="inlineStr">
        <is>
          <t>avg/day</t>
        </is>
      </c>
      <c r="B24" s="4" t="n"/>
      <c r="C24" s="3" t="inlineStr">
        <is>
          <t>avg/day</t>
        </is>
      </c>
      <c r="D24" s="27">
        <f>IFERROR(IF(DATE(VALUE(LEFT(D$1,4)),VALUE(RIGHT(D$1,2)),1)&gt;TODAY(),"",IF(EOMONTH(DATE(VALUE(LEFT(D$1,4)),VALUE(RIGHT(D$1,2)),1),0)&lt;TODAY(),D23/DAY(EOMONTH(DATE(VALUE(LEFT(D$1,4)),VALUE(RIGHT(D$1,2)),1),0)),D23/MAX(NOW()-DATE(VALUE(LEFT(D$1,4)),VALUE(RIGHT(D$1,2)),1),1/24))),"")</f>
        <v/>
      </c>
      <c r="E24" s="27">
        <f>IFERROR(IF(DATE(VALUE(LEFT(E$1,4)),VALUE(RIGHT(E$1,2)),1)&gt;TODAY(),"",IF(EOMONTH(DATE(VALUE(LEFT(E$1,4)),VALUE(RIGHT(E$1,2)),1),0)&lt;TODAY(),E23/DAY(EOMONTH(DATE(VALUE(LEFT(E$1,4)),VALUE(RIGHT(E$1,2)),1),0)),E23/MAX(NOW()-DATE(VALUE(LEFT(E$1,4)),VALUE(RIGHT(E$1,2)),1),1/24))),"")</f>
        <v/>
      </c>
      <c r="F24" s="27">
        <f>IFERROR(IF(DATE(VALUE(LEFT(F$1,4)),VALUE(RIGHT(F$1,2)),1)&gt;TODAY(),"",IF(EOMONTH(DATE(VALUE(LEFT(F$1,4)),VALUE(RIGHT(F$1,2)),1),0)&lt;TODAY(),F23/DAY(EOMONTH(DATE(VALUE(LEFT(F$1,4)),VALUE(RIGHT(F$1,2)),1),0)),F23/MAX(NOW()-DATE(VALUE(LEFT(F$1,4)),VALUE(RIGHT(F$1,2)),1),1/24))),"")</f>
        <v/>
      </c>
      <c r="G24" s="27">
        <f>IFERROR(IF(DATE(VALUE(LEFT(G$1,4)),VALUE(RIGHT(G$1,2)),1)&gt;TODAY(),"",IF(EOMONTH(DATE(VALUE(LEFT(G$1,4)),VALUE(RIGHT(G$1,2)),1),0)&lt;TODAY(),G23/DAY(EOMONTH(DATE(VALUE(LEFT(G$1,4)),VALUE(RIGHT(G$1,2)),1),0)),G23/MAX(NOW()-DATE(VALUE(LEFT(G$1,4)),VALUE(RIGHT(G$1,2)),1),1/24))),"")</f>
        <v/>
      </c>
      <c r="H24" s="27">
        <f>IFERROR(IF(DATE(VALUE(LEFT(H$1,4)),VALUE(RIGHT(H$1,2)),1)&gt;TODAY(),"",IF(EOMONTH(DATE(VALUE(LEFT(H$1,4)),VALUE(RIGHT(H$1,2)),1),0)&lt;TODAY(),H23/DAY(EOMONTH(DATE(VALUE(LEFT(H$1,4)),VALUE(RIGHT(H$1,2)),1),0)),H23/MAX(NOW()-DATE(VALUE(LEFT(H$1,4)),VALUE(RIGHT(H$1,2)),1),1/24))),"")</f>
        <v/>
      </c>
      <c r="I24" s="27">
        <f>IFERROR(IF(DATE(VALUE(LEFT(I$1,4)),VALUE(RIGHT(I$1,2)),1)&gt;TODAY(),"",IF(EOMONTH(DATE(VALUE(LEFT(I$1,4)),VALUE(RIGHT(I$1,2)),1),0)&lt;TODAY(),I23/DAY(EOMONTH(DATE(VALUE(LEFT(I$1,4)),VALUE(RIGHT(I$1,2)),1),0)),I23/MAX(NOW()-DATE(VALUE(LEFT(I$1,4)),VALUE(RIGHT(I$1,2)),1),1/24))),"")</f>
        <v/>
      </c>
      <c r="J24" s="27">
        <f>IFERROR(IF(DATE(VALUE(LEFT(J$1,4)),VALUE(RIGHT(J$1,2)),1)&gt;TODAY(),"",IF(EOMONTH(DATE(VALUE(LEFT(J$1,4)),VALUE(RIGHT(J$1,2)),1),0)&lt;TODAY(),J23/DAY(EOMONTH(DATE(VALUE(LEFT(J$1,4)),VALUE(RIGHT(J$1,2)),1),0)),J23/MAX(NOW()-DATE(VALUE(LEFT(J$1,4)),VALUE(RIGHT(J$1,2)),1),1/24))),"")</f>
        <v/>
      </c>
      <c r="K24" s="27">
        <f>IFERROR(IF(DATE(VALUE(LEFT(K$1,4)),VALUE(RIGHT(K$1,2)),1)&gt;TODAY(),"",IF(EOMONTH(DATE(VALUE(LEFT(K$1,4)),VALUE(RIGHT(K$1,2)),1),0)&lt;TODAY(),K23/DAY(EOMONTH(DATE(VALUE(LEFT(K$1,4)),VALUE(RIGHT(K$1,2)),1),0)),K23/MAX(NOW()-DATE(VALUE(LEFT(K$1,4)),VALUE(RIGHT(K$1,2)),1),1/24))),"")</f>
        <v/>
      </c>
      <c r="L24" s="27">
        <f>IFERROR(IF(DATE(VALUE(LEFT(L$1,4)),VALUE(RIGHT(L$1,2)),1)&gt;TODAY(),"",IF(EOMONTH(DATE(VALUE(LEFT(L$1,4)),VALUE(RIGHT(L$1,2)),1),0)&lt;TODAY(),L23/DAY(EOMONTH(DATE(VALUE(LEFT(L$1,4)),VALUE(RIGHT(L$1,2)),1),0)),L23/MAX(NOW()-DATE(VALUE(LEFT(L$1,4)),VALUE(RIGHT(L$1,2)),1),1/24))),"")</f>
        <v/>
      </c>
      <c r="M24" s="27">
        <f>IFERROR(IF(DATE(VALUE(LEFT(M$1,4)),VALUE(RIGHT(M$1,2)),1)&gt;TODAY(),"",IF(EOMONTH(DATE(VALUE(LEFT(M$1,4)),VALUE(RIGHT(M$1,2)),1),0)&lt;TODAY(),M23/DAY(EOMONTH(DATE(VALUE(LEFT(M$1,4)),VALUE(RIGHT(M$1,2)),1),0)),M23/MAX(NOW()-DATE(VALUE(LEFT(M$1,4)),VALUE(RIGHT(M$1,2)),1),1/24))),"")</f>
        <v/>
      </c>
      <c r="N24" s="27">
        <f>IFERROR(IF(DATE(VALUE(LEFT(N$1,4)),VALUE(RIGHT(N$1,2)),1)&gt;TODAY(),"",IF(EOMONTH(DATE(VALUE(LEFT(N$1,4)),VALUE(RIGHT(N$1,2)),1),0)&lt;TODAY(),N23/DAY(EOMONTH(DATE(VALUE(LEFT(N$1,4)),VALUE(RIGHT(N$1,2)),1),0)),N23/MAX(NOW()-DATE(VALUE(LEFT(N$1,4)),VALUE(RIGHT(N$1,2)),1),1/24))),"")</f>
        <v/>
      </c>
      <c r="O24" s="27">
        <f>IFERROR(IF(DATE(VALUE(LEFT(O$1,4)),VALUE(RIGHT(O$1,2)),1)&gt;TODAY(),"",IF(EOMONTH(DATE(VALUE(LEFT(O$1,4)),VALUE(RIGHT(O$1,2)),1),0)&lt;TODAY(),O23/DAY(EOMONTH(DATE(VALUE(LEFT(O$1,4)),VALUE(RIGHT(O$1,2)),1),0)),O23/MAX(NOW()-DATE(VALUE(LEFT(O$1,4)),VALUE(RIGHT(O$1,2)),1),1/24))),"")</f>
        <v/>
      </c>
      <c r="P24" s="28">
        <f>SUM(D24:O24)</f>
        <v/>
      </c>
      <c r="Q24" s="27" t="n"/>
    </row>
    <row r="25" ht="12" customHeight="1">
      <c r="A25" s="23" t="inlineStr">
        <is>
          <t xml:space="preserve">            DK</t>
        </is>
      </c>
      <c r="B25" s="4" t="n"/>
      <c r="C25" s="4" t="inlineStr">
        <is>
          <t>DK</t>
        </is>
      </c>
      <c r="D25" s="5">
        <f>SUMIFS('i-shopify-sl'!$I:$I,'i-shopify-sl'!$A:$A,D$1,'i-shopify-sl'!$C:$C,$C25)</f>
        <v/>
      </c>
      <c r="E25" s="5">
        <f>SUMIFS('i-shopify-sl'!$I:$I,'i-shopify-sl'!$A:$A,E$1,'i-shopify-sl'!$C:$C,$C25)</f>
        <v/>
      </c>
      <c r="F25" s="5">
        <f>SUMIFS('i-shopify-sl'!$I:$I,'i-shopify-sl'!$A:$A,F$1,'i-shopify-sl'!$C:$C,$C25)</f>
        <v/>
      </c>
      <c r="G25" s="5">
        <f>SUMIFS('i-shopify-sl'!$I:$I,'i-shopify-sl'!$A:$A,G$1,'i-shopify-sl'!$C:$C,$C25)</f>
        <v/>
      </c>
      <c r="H25" s="5">
        <f>SUMIFS('i-shopify-sl'!$I:$I,'i-shopify-sl'!$A:$A,H$1,'i-shopify-sl'!$C:$C,$C25)</f>
        <v/>
      </c>
      <c r="I25" s="5">
        <f>SUMIFS('i-shopify-sl'!$I:$I,'i-shopify-sl'!$A:$A,I$1,'i-shopify-sl'!$C:$C,$C25)</f>
        <v/>
      </c>
      <c r="J25" s="5">
        <f>SUMIFS('i-shopify-sl'!$I:$I,'i-shopify-sl'!$A:$A,J$1,'i-shopify-sl'!$C:$C,$C25)</f>
        <v/>
      </c>
      <c r="K25" s="5">
        <f>SUMIFS('i-shopify-sl'!$I:$I,'i-shopify-sl'!$A:$A,K$1,'i-shopify-sl'!$C:$C,$C25)</f>
        <v/>
      </c>
      <c r="L25" s="5">
        <f>SUMIFS('i-shopify-sl'!$I:$I,'i-shopify-sl'!$A:$A,L$1,'i-shopify-sl'!$C:$C,$C25)</f>
        <v/>
      </c>
      <c r="M25" s="5">
        <f>SUMIFS('i-shopify-sl'!$I:$I,'i-shopify-sl'!$A:$A,M$1,'i-shopify-sl'!$C:$C,$C25)</f>
        <v/>
      </c>
      <c r="N25" s="5">
        <f>SUMIFS('i-shopify-sl'!$I:$I,'i-shopify-sl'!$A:$A,N$1,'i-shopify-sl'!$C:$C,$C25)</f>
        <v/>
      </c>
      <c r="O25" s="5">
        <f>SUMIFS('i-shopify-sl'!$I:$I,'i-shopify-sl'!$A:$A,O$1,'i-shopify-sl'!$C:$C,$C25)</f>
        <v/>
      </c>
      <c r="P25" s="24">
        <f>SUM(D25:O25)</f>
        <v/>
      </c>
      <c r="Q25" s="25" t="inlineStr">
        <is>
          <t>-&gt;</t>
        </is>
      </c>
    </row>
    <row r="26" hidden="1" outlineLevel="1" ht="12" customHeight="1">
      <c r="A26" s="26" t="inlineStr">
        <is>
          <t>avg/day</t>
        </is>
      </c>
      <c r="B26" s="4" t="n"/>
      <c r="C26" s="3" t="inlineStr">
        <is>
          <t>avg/day</t>
        </is>
      </c>
      <c r="D26" s="27">
        <f>IFERROR(IF(DATE(VALUE(LEFT(D$1,4)),VALUE(RIGHT(D$1,2)),1)&gt;TODAY(),"",IF(EOMONTH(DATE(VALUE(LEFT(D$1,4)),VALUE(RIGHT(D$1,2)),1),0)&lt;TODAY(),D25/DAY(EOMONTH(DATE(VALUE(LEFT(D$1,4)),VALUE(RIGHT(D$1,2)),1),0)),D25/MAX(NOW()-DATE(VALUE(LEFT(D$1,4)),VALUE(RIGHT(D$1,2)),1),1/24))),"")</f>
        <v/>
      </c>
      <c r="E26" s="27">
        <f>IFERROR(IF(DATE(VALUE(LEFT(E$1,4)),VALUE(RIGHT(E$1,2)),1)&gt;TODAY(),"",IF(EOMONTH(DATE(VALUE(LEFT(E$1,4)),VALUE(RIGHT(E$1,2)),1),0)&lt;TODAY(),E25/DAY(EOMONTH(DATE(VALUE(LEFT(E$1,4)),VALUE(RIGHT(E$1,2)),1),0)),E25/MAX(NOW()-DATE(VALUE(LEFT(E$1,4)),VALUE(RIGHT(E$1,2)),1),1/24))),"")</f>
        <v/>
      </c>
      <c r="F26" s="27">
        <f>IFERROR(IF(DATE(VALUE(LEFT(F$1,4)),VALUE(RIGHT(F$1,2)),1)&gt;TODAY(),"",IF(EOMONTH(DATE(VALUE(LEFT(F$1,4)),VALUE(RIGHT(F$1,2)),1),0)&lt;TODAY(),F25/DAY(EOMONTH(DATE(VALUE(LEFT(F$1,4)),VALUE(RIGHT(F$1,2)),1),0)),F25/MAX(NOW()-DATE(VALUE(LEFT(F$1,4)),VALUE(RIGHT(F$1,2)),1),1/24))),"")</f>
        <v/>
      </c>
      <c r="G26" s="27">
        <f>IFERROR(IF(DATE(VALUE(LEFT(G$1,4)),VALUE(RIGHT(G$1,2)),1)&gt;TODAY(),"",IF(EOMONTH(DATE(VALUE(LEFT(G$1,4)),VALUE(RIGHT(G$1,2)),1),0)&lt;TODAY(),G25/DAY(EOMONTH(DATE(VALUE(LEFT(G$1,4)),VALUE(RIGHT(G$1,2)),1),0)),G25/MAX(NOW()-DATE(VALUE(LEFT(G$1,4)),VALUE(RIGHT(G$1,2)),1),1/24))),"")</f>
        <v/>
      </c>
      <c r="H26" s="27">
        <f>IFERROR(IF(DATE(VALUE(LEFT(H$1,4)),VALUE(RIGHT(H$1,2)),1)&gt;TODAY(),"",IF(EOMONTH(DATE(VALUE(LEFT(H$1,4)),VALUE(RIGHT(H$1,2)),1),0)&lt;TODAY(),H25/DAY(EOMONTH(DATE(VALUE(LEFT(H$1,4)),VALUE(RIGHT(H$1,2)),1),0)),H25/MAX(NOW()-DATE(VALUE(LEFT(H$1,4)),VALUE(RIGHT(H$1,2)),1),1/24))),"")</f>
        <v/>
      </c>
      <c r="I26" s="27">
        <f>IFERROR(IF(DATE(VALUE(LEFT(I$1,4)),VALUE(RIGHT(I$1,2)),1)&gt;TODAY(),"",IF(EOMONTH(DATE(VALUE(LEFT(I$1,4)),VALUE(RIGHT(I$1,2)),1),0)&lt;TODAY(),I25/DAY(EOMONTH(DATE(VALUE(LEFT(I$1,4)),VALUE(RIGHT(I$1,2)),1),0)),I25/MAX(NOW()-DATE(VALUE(LEFT(I$1,4)),VALUE(RIGHT(I$1,2)),1),1/24))),"")</f>
        <v/>
      </c>
      <c r="J26" s="27">
        <f>IFERROR(IF(DATE(VALUE(LEFT(J$1,4)),VALUE(RIGHT(J$1,2)),1)&gt;TODAY(),"",IF(EOMONTH(DATE(VALUE(LEFT(J$1,4)),VALUE(RIGHT(J$1,2)),1),0)&lt;TODAY(),J25/DAY(EOMONTH(DATE(VALUE(LEFT(J$1,4)),VALUE(RIGHT(J$1,2)),1),0)),J25/MAX(NOW()-DATE(VALUE(LEFT(J$1,4)),VALUE(RIGHT(J$1,2)),1),1/24))),"")</f>
        <v/>
      </c>
      <c r="K26" s="27">
        <f>IFERROR(IF(DATE(VALUE(LEFT(K$1,4)),VALUE(RIGHT(K$1,2)),1)&gt;TODAY(),"",IF(EOMONTH(DATE(VALUE(LEFT(K$1,4)),VALUE(RIGHT(K$1,2)),1),0)&lt;TODAY(),K25/DAY(EOMONTH(DATE(VALUE(LEFT(K$1,4)),VALUE(RIGHT(K$1,2)),1),0)),K25/MAX(NOW()-DATE(VALUE(LEFT(K$1,4)),VALUE(RIGHT(K$1,2)),1),1/24))),"")</f>
        <v/>
      </c>
      <c r="L26" s="27">
        <f>IFERROR(IF(DATE(VALUE(LEFT(L$1,4)),VALUE(RIGHT(L$1,2)),1)&gt;TODAY(),"",IF(EOMONTH(DATE(VALUE(LEFT(L$1,4)),VALUE(RIGHT(L$1,2)),1),0)&lt;TODAY(),L25/DAY(EOMONTH(DATE(VALUE(LEFT(L$1,4)),VALUE(RIGHT(L$1,2)),1),0)),L25/MAX(NOW()-DATE(VALUE(LEFT(L$1,4)),VALUE(RIGHT(L$1,2)),1),1/24))),"")</f>
        <v/>
      </c>
      <c r="M26" s="27">
        <f>IFERROR(IF(DATE(VALUE(LEFT(M$1,4)),VALUE(RIGHT(M$1,2)),1)&gt;TODAY(),"",IF(EOMONTH(DATE(VALUE(LEFT(M$1,4)),VALUE(RIGHT(M$1,2)),1),0)&lt;TODAY(),M25/DAY(EOMONTH(DATE(VALUE(LEFT(M$1,4)),VALUE(RIGHT(M$1,2)),1),0)),M25/MAX(NOW()-DATE(VALUE(LEFT(M$1,4)),VALUE(RIGHT(M$1,2)),1),1/24))),"")</f>
        <v/>
      </c>
      <c r="N26" s="27">
        <f>IFERROR(IF(DATE(VALUE(LEFT(N$1,4)),VALUE(RIGHT(N$1,2)),1)&gt;TODAY(),"",IF(EOMONTH(DATE(VALUE(LEFT(N$1,4)),VALUE(RIGHT(N$1,2)),1),0)&lt;TODAY(),N25/DAY(EOMONTH(DATE(VALUE(LEFT(N$1,4)),VALUE(RIGHT(N$1,2)),1),0)),N25/MAX(NOW()-DATE(VALUE(LEFT(N$1,4)),VALUE(RIGHT(N$1,2)),1),1/24))),"")</f>
        <v/>
      </c>
      <c r="O26" s="27">
        <f>IFERROR(IF(DATE(VALUE(LEFT(O$1,4)),VALUE(RIGHT(O$1,2)),1)&gt;TODAY(),"",IF(EOMONTH(DATE(VALUE(LEFT(O$1,4)),VALUE(RIGHT(O$1,2)),1),0)&lt;TODAY(),O25/DAY(EOMONTH(DATE(VALUE(LEFT(O$1,4)),VALUE(RIGHT(O$1,2)),1),0)),O25/MAX(NOW()-DATE(VALUE(LEFT(O$1,4)),VALUE(RIGHT(O$1,2)),1),1/24))),"")</f>
        <v/>
      </c>
      <c r="P26" s="28">
        <f>SUM(D26:O26)</f>
        <v/>
      </c>
      <c r="Q26" s="27" t="n"/>
    </row>
    <row r="27" ht="12" customHeight="1">
      <c r="A27" s="23" t="inlineStr">
        <is>
          <t xml:space="preserve">            IE</t>
        </is>
      </c>
      <c r="B27" s="4" t="n"/>
      <c r="C27" s="4" t="inlineStr">
        <is>
          <t>IE</t>
        </is>
      </c>
      <c r="D27" s="5">
        <f>SUMIFS('i-shopify-sl'!$I:$I,'i-shopify-sl'!$A:$A,D$1,'i-shopify-sl'!$C:$C,$C27)</f>
        <v/>
      </c>
      <c r="E27" s="5">
        <f>SUMIFS('i-shopify-sl'!$I:$I,'i-shopify-sl'!$A:$A,E$1,'i-shopify-sl'!$C:$C,$C27)</f>
        <v/>
      </c>
      <c r="F27" s="5">
        <f>SUMIFS('i-shopify-sl'!$I:$I,'i-shopify-sl'!$A:$A,F$1,'i-shopify-sl'!$C:$C,$C27)</f>
        <v/>
      </c>
      <c r="G27" s="5">
        <f>SUMIFS('i-shopify-sl'!$I:$I,'i-shopify-sl'!$A:$A,G$1,'i-shopify-sl'!$C:$C,$C27)</f>
        <v/>
      </c>
      <c r="H27" s="5">
        <f>SUMIFS('i-shopify-sl'!$I:$I,'i-shopify-sl'!$A:$A,H$1,'i-shopify-sl'!$C:$C,$C27)</f>
        <v/>
      </c>
      <c r="I27" s="5">
        <f>SUMIFS('i-shopify-sl'!$I:$I,'i-shopify-sl'!$A:$A,I$1,'i-shopify-sl'!$C:$C,$C27)</f>
        <v/>
      </c>
      <c r="J27" s="5">
        <f>SUMIFS('i-shopify-sl'!$I:$I,'i-shopify-sl'!$A:$A,J$1,'i-shopify-sl'!$C:$C,$C27)</f>
        <v/>
      </c>
      <c r="K27" s="5">
        <f>SUMIFS('i-shopify-sl'!$I:$I,'i-shopify-sl'!$A:$A,K$1,'i-shopify-sl'!$C:$C,$C27)</f>
        <v/>
      </c>
      <c r="L27" s="5">
        <f>SUMIFS('i-shopify-sl'!$I:$I,'i-shopify-sl'!$A:$A,L$1,'i-shopify-sl'!$C:$C,$C27)</f>
        <v/>
      </c>
      <c r="M27" s="5">
        <f>SUMIFS('i-shopify-sl'!$I:$I,'i-shopify-sl'!$A:$A,M$1,'i-shopify-sl'!$C:$C,$C27)</f>
        <v/>
      </c>
      <c r="N27" s="5">
        <f>SUMIFS('i-shopify-sl'!$I:$I,'i-shopify-sl'!$A:$A,N$1,'i-shopify-sl'!$C:$C,$C27)</f>
        <v/>
      </c>
      <c r="O27" s="5">
        <f>SUMIFS('i-shopify-sl'!$I:$I,'i-shopify-sl'!$A:$A,O$1,'i-shopify-sl'!$C:$C,$C27)</f>
        <v/>
      </c>
      <c r="P27" s="24">
        <f>SUM(D27:O27)</f>
        <v/>
      </c>
      <c r="Q27" s="25" t="inlineStr">
        <is>
          <t>-&gt;</t>
        </is>
      </c>
    </row>
    <row r="28" hidden="1" outlineLevel="1" ht="12" customHeight="1">
      <c r="A28" s="26" t="inlineStr">
        <is>
          <t>avg/day</t>
        </is>
      </c>
      <c r="B28" s="4" t="n"/>
      <c r="C28" s="3" t="inlineStr">
        <is>
          <t>avg/day</t>
        </is>
      </c>
      <c r="D28" s="27">
        <f>IFERROR(IF(DATE(VALUE(LEFT(D$1,4)),VALUE(RIGHT(D$1,2)),1)&gt;TODAY(),"",IF(EOMONTH(DATE(VALUE(LEFT(D$1,4)),VALUE(RIGHT(D$1,2)),1),0)&lt;TODAY(),D27/DAY(EOMONTH(DATE(VALUE(LEFT(D$1,4)),VALUE(RIGHT(D$1,2)),1),0)),D27/MAX(NOW()-DATE(VALUE(LEFT(D$1,4)),VALUE(RIGHT(D$1,2)),1),1/24))),"")</f>
        <v/>
      </c>
      <c r="E28" s="27">
        <f>IFERROR(IF(DATE(VALUE(LEFT(E$1,4)),VALUE(RIGHT(E$1,2)),1)&gt;TODAY(),"",IF(EOMONTH(DATE(VALUE(LEFT(E$1,4)),VALUE(RIGHT(E$1,2)),1),0)&lt;TODAY(),E27/DAY(EOMONTH(DATE(VALUE(LEFT(E$1,4)),VALUE(RIGHT(E$1,2)),1),0)),E27/MAX(NOW()-DATE(VALUE(LEFT(E$1,4)),VALUE(RIGHT(E$1,2)),1),1/24))),"")</f>
        <v/>
      </c>
      <c r="F28" s="27">
        <f>IFERROR(IF(DATE(VALUE(LEFT(F$1,4)),VALUE(RIGHT(F$1,2)),1)&gt;TODAY(),"",IF(EOMONTH(DATE(VALUE(LEFT(F$1,4)),VALUE(RIGHT(F$1,2)),1),0)&lt;TODAY(),F27/DAY(EOMONTH(DATE(VALUE(LEFT(F$1,4)),VALUE(RIGHT(F$1,2)),1),0)),F27/MAX(NOW()-DATE(VALUE(LEFT(F$1,4)),VALUE(RIGHT(F$1,2)),1),1/24))),"")</f>
        <v/>
      </c>
      <c r="G28" s="27">
        <f>IFERROR(IF(DATE(VALUE(LEFT(G$1,4)),VALUE(RIGHT(G$1,2)),1)&gt;TODAY(),"",IF(EOMONTH(DATE(VALUE(LEFT(G$1,4)),VALUE(RIGHT(G$1,2)),1),0)&lt;TODAY(),G27/DAY(EOMONTH(DATE(VALUE(LEFT(G$1,4)),VALUE(RIGHT(G$1,2)),1),0)),G27/MAX(NOW()-DATE(VALUE(LEFT(G$1,4)),VALUE(RIGHT(G$1,2)),1),1/24))),"")</f>
        <v/>
      </c>
      <c r="H28" s="27">
        <f>IFERROR(IF(DATE(VALUE(LEFT(H$1,4)),VALUE(RIGHT(H$1,2)),1)&gt;TODAY(),"",IF(EOMONTH(DATE(VALUE(LEFT(H$1,4)),VALUE(RIGHT(H$1,2)),1),0)&lt;TODAY(),H27/DAY(EOMONTH(DATE(VALUE(LEFT(H$1,4)),VALUE(RIGHT(H$1,2)),1),0)),H27/MAX(NOW()-DATE(VALUE(LEFT(H$1,4)),VALUE(RIGHT(H$1,2)),1),1/24))),"")</f>
        <v/>
      </c>
      <c r="I28" s="27">
        <f>IFERROR(IF(DATE(VALUE(LEFT(I$1,4)),VALUE(RIGHT(I$1,2)),1)&gt;TODAY(),"",IF(EOMONTH(DATE(VALUE(LEFT(I$1,4)),VALUE(RIGHT(I$1,2)),1),0)&lt;TODAY(),I27/DAY(EOMONTH(DATE(VALUE(LEFT(I$1,4)),VALUE(RIGHT(I$1,2)),1),0)),I27/MAX(NOW()-DATE(VALUE(LEFT(I$1,4)),VALUE(RIGHT(I$1,2)),1),1/24))),"")</f>
        <v/>
      </c>
      <c r="J28" s="27">
        <f>IFERROR(IF(DATE(VALUE(LEFT(J$1,4)),VALUE(RIGHT(J$1,2)),1)&gt;TODAY(),"",IF(EOMONTH(DATE(VALUE(LEFT(J$1,4)),VALUE(RIGHT(J$1,2)),1),0)&lt;TODAY(),J27/DAY(EOMONTH(DATE(VALUE(LEFT(J$1,4)),VALUE(RIGHT(J$1,2)),1),0)),J27/MAX(NOW()-DATE(VALUE(LEFT(J$1,4)),VALUE(RIGHT(J$1,2)),1),1/24))),"")</f>
        <v/>
      </c>
      <c r="K28" s="27">
        <f>IFERROR(IF(DATE(VALUE(LEFT(K$1,4)),VALUE(RIGHT(K$1,2)),1)&gt;TODAY(),"",IF(EOMONTH(DATE(VALUE(LEFT(K$1,4)),VALUE(RIGHT(K$1,2)),1),0)&lt;TODAY(),K27/DAY(EOMONTH(DATE(VALUE(LEFT(K$1,4)),VALUE(RIGHT(K$1,2)),1),0)),K27/MAX(NOW()-DATE(VALUE(LEFT(K$1,4)),VALUE(RIGHT(K$1,2)),1),1/24))),"")</f>
        <v/>
      </c>
      <c r="L28" s="27">
        <f>IFERROR(IF(DATE(VALUE(LEFT(L$1,4)),VALUE(RIGHT(L$1,2)),1)&gt;TODAY(),"",IF(EOMONTH(DATE(VALUE(LEFT(L$1,4)),VALUE(RIGHT(L$1,2)),1),0)&lt;TODAY(),L27/DAY(EOMONTH(DATE(VALUE(LEFT(L$1,4)),VALUE(RIGHT(L$1,2)),1),0)),L27/MAX(NOW()-DATE(VALUE(LEFT(L$1,4)),VALUE(RIGHT(L$1,2)),1),1/24))),"")</f>
        <v/>
      </c>
      <c r="M28" s="27">
        <f>IFERROR(IF(DATE(VALUE(LEFT(M$1,4)),VALUE(RIGHT(M$1,2)),1)&gt;TODAY(),"",IF(EOMONTH(DATE(VALUE(LEFT(M$1,4)),VALUE(RIGHT(M$1,2)),1),0)&lt;TODAY(),M27/DAY(EOMONTH(DATE(VALUE(LEFT(M$1,4)),VALUE(RIGHT(M$1,2)),1),0)),M27/MAX(NOW()-DATE(VALUE(LEFT(M$1,4)),VALUE(RIGHT(M$1,2)),1),1/24))),"")</f>
        <v/>
      </c>
      <c r="N28" s="27">
        <f>IFERROR(IF(DATE(VALUE(LEFT(N$1,4)),VALUE(RIGHT(N$1,2)),1)&gt;TODAY(),"",IF(EOMONTH(DATE(VALUE(LEFT(N$1,4)),VALUE(RIGHT(N$1,2)),1),0)&lt;TODAY(),N27/DAY(EOMONTH(DATE(VALUE(LEFT(N$1,4)),VALUE(RIGHT(N$1,2)),1),0)),N27/MAX(NOW()-DATE(VALUE(LEFT(N$1,4)),VALUE(RIGHT(N$1,2)),1),1/24))),"")</f>
        <v/>
      </c>
      <c r="O28" s="27">
        <f>IFERROR(IF(DATE(VALUE(LEFT(O$1,4)),VALUE(RIGHT(O$1,2)),1)&gt;TODAY(),"",IF(EOMONTH(DATE(VALUE(LEFT(O$1,4)),VALUE(RIGHT(O$1,2)),1),0)&lt;TODAY(),O27/DAY(EOMONTH(DATE(VALUE(LEFT(O$1,4)),VALUE(RIGHT(O$1,2)),1),0)),O27/MAX(NOW()-DATE(VALUE(LEFT(O$1,4)),VALUE(RIGHT(O$1,2)),1),1/24))),"")</f>
        <v/>
      </c>
      <c r="P28" s="28">
        <f>SUM(D28:O28)</f>
        <v/>
      </c>
      <c r="Q28" s="27" t="n"/>
    </row>
    <row r="29" ht="12" customHeight="1">
      <c r="A29" s="23" t="inlineStr">
        <is>
          <t xml:space="preserve">            LU</t>
        </is>
      </c>
      <c r="B29" s="4" t="n"/>
      <c r="C29" s="4" t="inlineStr">
        <is>
          <t>LU</t>
        </is>
      </c>
      <c r="D29" s="5">
        <f>SUMIFS('i-shopify-sl'!$I:$I,'i-shopify-sl'!$A:$A,D$1,'i-shopify-sl'!$C:$C,$C29)</f>
        <v/>
      </c>
      <c r="E29" s="5">
        <f>SUMIFS('i-shopify-sl'!$I:$I,'i-shopify-sl'!$A:$A,E$1,'i-shopify-sl'!$C:$C,$C29)</f>
        <v/>
      </c>
      <c r="F29" s="5">
        <f>SUMIFS('i-shopify-sl'!$I:$I,'i-shopify-sl'!$A:$A,F$1,'i-shopify-sl'!$C:$C,$C29)</f>
        <v/>
      </c>
      <c r="G29" s="5">
        <f>SUMIFS('i-shopify-sl'!$I:$I,'i-shopify-sl'!$A:$A,G$1,'i-shopify-sl'!$C:$C,$C29)</f>
        <v/>
      </c>
      <c r="H29" s="5">
        <f>SUMIFS('i-shopify-sl'!$I:$I,'i-shopify-sl'!$A:$A,H$1,'i-shopify-sl'!$C:$C,$C29)</f>
        <v/>
      </c>
      <c r="I29" s="5">
        <f>SUMIFS('i-shopify-sl'!$I:$I,'i-shopify-sl'!$A:$A,I$1,'i-shopify-sl'!$C:$C,$C29)</f>
        <v/>
      </c>
      <c r="J29" s="5">
        <f>SUMIFS('i-shopify-sl'!$I:$I,'i-shopify-sl'!$A:$A,J$1,'i-shopify-sl'!$C:$C,$C29)</f>
        <v/>
      </c>
      <c r="K29" s="5">
        <f>SUMIFS('i-shopify-sl'!$I:$I,'i-shopify-sl'!$A:$A,K$1,'i-shopify-sl'!$C:$C,$C29)</f>
        <v/>
      </c>
      <c r="L29" s="5">
        <f>SUMIFS('i-shopify-sl'!$I:$I,'i-shopify-sl'!$A:$A,L$1,'i-shopify-sl'!$C:$C,$C29)</f>
        <v/>
      </c>
      <c r="M29" s="5">
        <f>SUMIFS('i-shopify-sl'!$I:$I,'i-shopify-sl'!$A:$A,M$1,'i-shopify-sl'!$C:$C,$C29)</f>
        <v/>
      </c>
      <c r="N29" s="5">
        <f>SUMIFS('i-shopify-sl'!$I:$I,'i-shopify-sl'!$A:$A,N$1,'i-shopify-sl'!$C:$C,$C29)</f>
        <v/>
      </c>
      <c r="O29" s="5">
        <f>SUMIFS('i-shopify-sl'!$I:$I,'i-shopify-sl'!$A:$A,O$1,'i-shopify-sl'!$C:$C,$C29)</f>
        <v/>
      </c>
      <c r="P29" s="24">
        <f>SUM(D29:O29)</f>
        <v/>
      </c>
      <c r="Q29" s="25" t="inlineStr">
        <is>
          <t>-&gt;</t>
        </is>
      </c>
    </row>
    <row r="30" hidden="1" outlineLevel="1" ht="12" customHeight="1">
      <c r="A30" s="26" t="inlineStr">
        <is>
          <t>avg/day</t>
        </is>
      </c>
      <c r="B30" s="4" t="n"/>
      <c r="C30" s="3" t="inlineStr">
        <is>
          <t>avg/day</t>
        </is>
      </c>
      <c r="D30" s="27">
        <f>IFERROR(IF(DATE(VALUE(LEFT(D$1,4)),VALUE(RIGHT(D$1,2)),1)&gt;TODAY(),"",IF(EOMONTH(DATE(VALUE(LEFT(D$1,4)),VALUE(RIGHT(D$1,2)),1),0)&lt;TODAY(),D29/DAY(EOMONTH(DATE(VALUE(LEFT(D$1,4)),VALUE(RIGHT(D$1,2)),1),0)),D29/MAX(NOW()-DATE(VALUE(LEFT(D$1,4)),VALUE(RIGHT(D$1,2)),1),1/24))),"")</f>
        <v/>
      </c>
      <c r="E30" s="27">
        <f>IFERROR(IF(DATE(VALUE(LEFT(E$1,4)),VALUE(RIGHT(E$1,2)),1)&gt;TODAY(),"",IF(EOMONTH(DATE(VALUE(LEFT(E$1,4)),VALUE(RIGHT(E$1,2)),1),0)&lt;TODAY(),E29/DAY(EOMONTH(DATE(VALUE(LEFT(E$1,4)),VALUE(RIGHT(E$1,2)),1),0)),E29/MAX(NOW()-DATE(VALUE(LEFT(E$1,4)),VALUE(RIGHT(E$1,2)),1),1/24))),"")</f>
        <v/>
      </c>
      <c r="F30" s="27">
        <f>IFERROR(IF(DATE(VALUE(LEFT(F$1,4)),VALUE(RIGHT(F$1,2)),1)&gt;TODAY(),"",IF(EOMONTH(DATE(VALUE(LEFT(F$1,4)),VALUE(RIGHT(F$1,2)),1),0)&lt;TODAY(),F29/DAY(EOMONTH(DATE(VALUE(LEFT(F$1,4)),VALUE(RIGHT(F$1,2)),1),0)),F29/MAX(NOW()-DATE(VALUE(LEFT(F$1,4)),VALUE(RIGHT(F$1,2)),1),1/24))),"")</f>
        <v/>
      </c>
      <c r="G30" s="27">
        <f>IFERROR(IF(DATE(VALUE(LEFT(G$1,4)),VALUE(RIGHT(G$1,2)),1)&gt;TODAY(),"",IF(EOMONTH(DATE(VALUE(LEFT(G$1,4)),VALUE(RIGHT(G$1,2)),1),0)&lt;TODAY(),G29/DAY(EOMONTH(DATE(VALUE(LEFT(G$1,4)),VALUE(RIGHT(G$1,2)),1),0)),G29/MAX(NOW()-DATE(VALUE(LEFT(G$1,4)),VALUE(RIGHT(G$1,2)),1),1/24))),"")</f>
        <v/>
      </c>
      <c r="H30" s="27">
        <f>IFERROR(IF(DATE(VALUE(LEFT(H$1,4)),VALUE(RIGHT(H$1,2)),1)&gt;TODAY(),"",IF(EOMONTH(DATE(VALUE(LEFT(H$1,4)),VALUE(RIGHT(H$1,2)),1),0)&lt;TODAY(),H29/DAY(EOMONTH(DATE(VALUE(LEFT(H$1,4)),VALUE(RIGHT(H$1,2)),1),0)),H29/MAX(NOW()-DATE(VALUE(LEFT(H$1,4)),VALUE(RIGHT(H$1,2)),1),1/24))),"")</f>
        <v/>
      </c>
      <c r="I30" s="27">
        <f>IFERROR(IF(DATE(VALUE(LEFT(I$1,4)),VALUE(RIGHT(I$1,2)),1)&gt;TODAY(),"",IF(EOMONTH(DATE(VALUE(LEFT(I$1,4)),VALUE(RIGHT(I$1,2)),1),0)&lt;TODAY(),I29/DAY(EOMONTH(DATE(VALUE(LEFT(I$1,4)),VALUE(RIGHT(I$1,2)),1),0)),I29/MAX(NOW()-DATE(VALUE(LEFT(I$1,4)),VALUE(RIGHT(I$1,2)),1),1/24))),"")</f>
        <v/>
      </c>
      <c r="J30" s="27">
        <f>IFERROR(IF(DATE(VALUE(LEFT(J$1,4)),VALUE(RIGHT(J$1,2)),1)&gt;TODAY(),"",IF(EOMONTH(DATE(VALUE(LEFT(J$1,4)),VALUE(RIGHT(J$1,2)),1),0)&lt;TODAY(),J29/DAY(EOMONTH(DATE(VALUE(LEFT(J$1,4)),VALUE(RIGHT(J$1,2)),1),0)),J29/MAX(NOW()-DATE(VALUE(LEFT(J$1,4)),VALUE(RIGHT(J$1,2)),1),1/24))),"")</f>
        <v/>
      </c>
      <c r="K30" s="27">
        <f>IFERROR(IF(DATE(VALUE(LEFT(K$1,4)),VALUE(RIGHT(K$1,2)),1)&gt;TODAY(),"",IF(EOMONTH(DATE(VALUE(LEFT(K$1,4)),VALUE(RIGHT(K$1,2)),1),0)&lt;TODAY(),K29/DAY(EOMONTH(DATE(VALUE(LEFT(K$1,4)),VALUE(RIGHT(K$1,2)),1),0)),K29/MAX(NOW()-DATE(VALUE(LEFT(K$1,4)),VALUE(RIGHT(K$1,2)),1),1/24))),"")</f>
        <v/>
      </c>
      <c r="L30" s="27">
        <f>IFERROR(IF(DATE(VALUE(LEFT(L$1,4)),VALUE(RIGHT(L$1,2)),1)&gt;TODAY(),"",IF(EOMONTH(DATE(VALUE(LEFT(L$1,4)),VALUE(RIGHT(L$1,2)),1),0)&lt;TODAY(),L29/DAY(EOMONTH(DATE(VALUE(LEFT(L$1,4)),VALUE(RIGHT(L$1,2)),1),0)),L29/MAX(NOW()-DATE(VALUE(LEFT(L$1,4)),VALUE(RIGHT(L$1,2)),1),1/24))),"")</f>
        <v/>
      </c>
      <c r="M30" s="27">
        <f>IFERROR(IF(DATE(VALUE(LEFT(M$1,4)),VALUE(RIGHT(M$1,2)),1)&gt;TODAY(),"",IF(EOMONTH(DATE(VALUE(LEFT(M$1,4)),VALUE(RIGHT(M$1,2)),1),0)&lt;TODAY(),M29/DAY(EOMONTH(DATE(VALUE(LEFT(M$1,4)),VALUE(RIGHT(M$1,2)),1),0)),M29/MAX(NOW()-DATE(VALUE(LEFT(M$1,4)),VALUE(RIGHT(M$1,2)),1),1/24))),"")</f>
        <v/>
      </c>
      <c r="N30" s="27">
        <f>IFERROR(IF(DATE(VALUE(LEFT(N$1,4)),VALUE(RIGHT(N$1,2)),1)&gt;TODAY(),"",IF(EOMONTH(DATE(VALUE(LEFT(N$1,4)),VALUE(RIGHT(N$1,2)),1),0)&lt;TODAY(),N29/DAY(EOMONTH(DATE(VALUE(LEFT(N$1,4)),VALUE(RIGHT(N$1,2)),1),0)),N29/MAX(NOW()-DATE(VALUE(LEFT(N$1,4)),VALUE(RIGHT(N$1,2)),1),1/24))),"")</f>
        <v/>
      </c>
      <c r="O30" s="27">
        <f>IFERROR(IF(DATE(VALUE(LEFT(O$1,4)),VALUE(RIGHT(O$1,2)),1)&gt;TODAY(),"",IF(EOMONTH(DATE(VALUE(LEFT(O$1,4)),VALUE(RIGHT(O$1,2)),1),0)&lt;TODAY(),O29/DAY(EOMONTH(DATE(VALUE(LEFT(O$1,4)),VALUE(RIGHT(O$1,2)),1),0)),O29/MAX(NOW()-DATE(VALUE(LEFT(O$1,4)),VALUE(RIGHT(O$1,2)),1),1/24))),"")</f>
        <v/>
      </c>
      <c r="P30" s="28">
        <f>SUM(D30:O30)</f>
        <v/>
      </c>
      <c r="Q30" s="27" t="n"/>
    </row>
    <row r="31" ht="12" customHeight="1">
      <c r="A31" s="23" t="inlineStr">
        <is>
          <t xml:space="preserve">            PL</t>
        </is>
      </c>
      <c r="B31" s="4" t="n"/>
      <c r="C31" s="4" t="inlineStr">
        <is>
          <t>PL</t>
        </is>
      </c>
      <c r="D31" s="5">
        <f>SUMIFS('i-shopify-sl'!$I:$I,'i-shopify-sl'!$A:$A,D$1,'i-shopify-sl'!$C:$C,$C31)</f>
        <v/>
      </c>
      <c r="E31" s="5">
        <f>SUMIFS('i-shopify-sl'!$I:$I,'i-shopify-sl'!$A:$A,E$1,'i-shopify-sl'!$C:$C,$C31)</f>
        <v/>
      </c>
      <c r="F31" s="5">
        <f>SUMIFS('i-shopify-sl'!$I:$I,'i-shopify-sl'!$A:$A,F$1,'i-shopify-sl'!$C:$C,$C31)</f>
        <v/>
      </c>
      <c r="G31" s="5">
        <f>SUMIFS('i-shopify-sl'!$I:$I,'i-shopify-sl'!$A:$A,G$1,'i-shopify-sl'!$C:$C,$C31)</f>
        <v/>
      </c>
      <c r="H31" s="5">
        <f>SUMIFS('i-shopify-sl'!$I:$I,'i-shopify-sl'!$A:$A,H$1,'i-shopify-sl'!$C:$C,$C31)</f>
        <v/>
      </c>
      <c r="I31" s="5">
        <f>SUMIFS('i-shopify-sl'!$I:$I,'i-shopify-sl'!$A:$A,I$1,'i-shopify-sl'!$C:$C,$C31)</f>
        <v/>
      </c>
      <c r="J31" s="5">
        <f>SUMIFS('i-shopify-sl'!$I:$I,'i-shopify-sl'!$A:$A,J$1,'i-shopify-sl'!$C:$C,$C31)</f>
        <v/>
      </c>
      <c r="K31" s="5">
        <f>SUMIFS('i-shopify-sl'!$I:$I,'i-shopify-sl'!$A:$A,K$1,'i-shopify-sl'!$C:$C,$C31)</f>
        <v/>
      </c>
      <c r="L31" s="5">
        <f>SUMIFS('i-shopify-sl'!$I:$I,'i-shopify-sl'!$A:$A,L$1,'i-shopify-sl'!$C:$C,$C31)</f>
        <v/>
      </c>
      <c r="M31" s="5">
        <f>SUMIFS('i-shopify-sl'!$I:$I,'i-shopify-sl'!$A:$A,M$1,'i-shopify-sl'!$C:$C,$C31)</f>
        <v/>
      </c>
      <c r="N31" s="5">
        <f>SUMIFS('i-shopify-sl'!$I:$I,'i-shopify-sl'!$A:$A,N$1,'i-shopify-sl'!$C:$C,$C31)</f>
        <v/>
      </c>
      <c r="O31" s="5">
        <f>SUMIFS('i-shopify-sl'!$I:$I,'i-shopify-sl'!$A:$A,O$1,'i-shopify-sl'!$C:$C,$C31)</f>
        <v/>
      </c>
      <c r="P31" s="24">
        <f>SUM(D31:O31)</f>
        <v/>
      </c>
      <c r="Q31" s="25" t="inlineStr">
        <is>
          <t>-&gt;</t>
        </is>
      </c>
    </row>
    <row r="32" hidden="1" outlineLevel="1" ht="12" customHeight="1">
      <c r="A32" s="26" t="inlineStr">
        <is>
          <t>avg/day</t>
        </is>
      </c>
      <c r="B32" s="4" t="n"/>
      <c r="C32" s="3" t="inlineStr">
        <is>
          <t>avg/day</t>
        </is>
      </c>
      <c r="D32" s="27">
        <f>IFERROR(IF(DATE(VALUE(LEFT(D$1,4)),VALUE(RIGHT(D$1,2)),1)&gt;TODAY(),"",IF(EOMONTH(DATE(VALUE(LEFT(D$1,4)),VALUE(RIGHT(D$1,2)),1),0)&lt;TODAY(),D31/DAY(EOMONTH(DATE(VALUE(LEFT(D$1,4)),VALUE(RIGHT(D$1,2)),1),0)),D31/MAX(NOW()-DATE(VALUE(LEFT(D$1,4)),VALUE(RIGHT(D$1,2)),1),1/24))),"")</f>
        <v/>
      </c>
      <c r="E32" s="27">
        <f>IFERROR(IF(DATE(VALUE(LEFT(E$1,4)),VALUE(RIGHT(E$1,2)),1)&gt;TODAY(),"",IF(EOMONTH(DATE(VALUE(LEFT(E$1,4)),VALUE(RIGHT(E$1,2)),1),0)&lt;TODAY(),E31/DAY(EOMONTH(DATE(VALUE(LEFT(E$1,4)),VALUE(RIGHT(E$1,2)),1),0)),E31/MAX(NOW()-DATE(VALUE(LEFT(E$1,4)),VALUE(RIGHT(E$1,2)),1),1/24))),"")</f>
        <v/>
      </c>
      <c r="F32" s="27">
        <f>IFERROR(IF(DATE(VALUE(LEFT(F$1,4)),VALUE(RIGHT(F$1,2)),1)&gt;TODAY(),"",IF(EOMONTH(DATE(VALUE(LEFT(F$1,4)),VALUE(RIGHT(F$1,2)),1),0)&lt;TODAY(),F31/DAY(EOMONTH(DATE(VALUE(LEFT(F$1,4)),VALUE(RIGHT(F$1,2)),1),0)),F31/MAX(NOW()-DATE(VALUE(LEFT(F$1,4)),VALUE(RIGHT(F$1,2)),1),1/24))),"")</f>
        <v/>
      </c>
      <c r="G32" s="27">
        <f>IFERROR(IF(DATE(VALUE(LEFT(G$1,4)),VALUE(RIGHT(G$1,2)),1)&gt;TODAY(),"",IF(EOMONTH(DATE(VALUE(LEFT(G$1,4)),VALUE(RIGHT(G$1,2)),1),0)&lt;TODAY(),G31/DAY(EOMONTH(DATE(VALUE(LEFT(G$1,4)),VALUE(RIGHT(G$1,2)),1),0)),G31/MAX(NOW()-DATE(VALUE(LEFT(G$1,4)),VALUE(RIGHT(G$1,2)),1),1/24))),"")</f>
        <v/>
      </c>
      <c r="H32" s="27">
        <f>IFERROR(IF(DATE(VALUE(LEFT(H$1,4)),VALUE(RIGHT(H$1,2)),1)&gt;TODAY(),"",IF(EOMONTH(DATE(VALUE(LEFT(H$1,4)),VALUE(RIGHT(H$1,2)),1),0)&lt;TODAY(),H31/DAY(EOMONTH(DATE(VALUE(LEFT(H$1,4)),VALUE(RIGHT(H$1,2)),1),0)),H31/MAX(NOW()-DATE(VALUE(LEFT(H$1,4)),VALUE(RIGHT(H$1,2)),1),1/24))),"")</f>
        <v/>
      </c>
      <c r="I32" s="27">
        <f>IFERROR(IF(DATE(VALUE(LEFT(I$1,4)),VALUE(RIGHT(I$1,2)),1)&gt;TODAY(),"",IF(EOMONTH(DATE(VALUE(LEFT(I$1,4)),VALUE(RIGHT(I$1,2)),1),0)&lt;TODAY(),I31/DAY(EOMONTH(DATE(VALUE(LEFT(I$1,4)),VALUE(RIGHT(I$1,2)),1),0)),I31/MAX(NOW()-DATE(VALUE(LEFT(I$1,4)),VALUE(RIGHT(I$1,2)),1),1/24))),"")</f>
        <v/>
      </c>
      <c r="J32" s="27">
        <f>IFERROR(IF(DATE(VALUE(LEFT(J$1,4)),VALUE(RIGHT(J$1,2)),1)&gt;TODAY(),"",IF(EOMONTH(DATE(VALUE(LEFT(J$1,4)),VALUE(RIGHT(J$1,2)),1),0)&lt;TODAY(),J31/DAY(EOMONTH(DATE(VALUE(LEFT(J$1,4)),VALUE(RIGHT(J$1,2)),1),0)),J31/MAX(NOW()-DATE(VALUE(LEFT(J$1,4)),VALUE(RIGHT(J$1,2)),1),1/24))),"")</f>
        <v/>
      </c>
      <c r="K32" s="27">
        <f>IFERROR(IF(DATE(VALUE(LEFT(K$1,4)),VALUE(RIGHT(K$1,2)),1)&gt;TODAY(),"",IF(EOMONTH(DATE(VALUE(LEFT(K$1,4)),VALUE(RIGHT(K$1,2)),1),0)&lt;TODAY(),K31/DAY(EOMONTH(DATE(VALUE(LEFT(K$1,4)),VALUE(RIGHT(K$1,2)),1),0)),K31/MAX(NOW()-DATE(VALUE(LEFT(K$1,4)),VALUE(RIGHT(K$1,2)),1),1/24))),"")</f>
        <v/>
      </c>
      <c r="L32" s="27">
        <f>IFERROR(IF(DATE(VALUE(LEFT(L$1,4)),VALUE(RIGHT(L$1,2)),1)&gt;TODAY(),"",IF(EOMONTH(DATE(VALUE(LEFT(L$1,4)),VALUE(RIGHT(L$1,2)),1),0)&lt;TODAY(),L31/DAY(EOMONTH(DATE(VALUE(LEFT(L$1,4)),VALUE(RIGHT(L$1,2)),1),0)),L31/MAX(NOW()-DATE(VALUE(LEFT(L$1,4)),VALUE(RIGHT(L$1,2)),1),1/24))),"")</f>
        <v/>
      </c>
      <c r="M32" s="27">
        <f>IFERROR(IF(DATE(VALUE(LEFT(M$1,4)),VALUE(RIGHT(M$1,2)),1)&gt;TODAY(),"",IF(EOMONTH(DATE(VALUE(LEFT(M$1,4)),VALUE(RIGHT(M$1,2)),1),0)&lt;TODAY(),M31/DAY(EOMONTH(DATE(VALUE(LEFT(M$1,4)),VALUE(RIGHT(M$1,2)),1),0)),M31/MAX(NOW()-DATE(VALUE(LEFT(M$1,4)),VALUE(RIGHT(M$1,2)),1),1/24))),"")</f>
        <v/>
      </c>
      <c r="N32" s="27">
        <f>IFERROR(IF(DATE(VALUE(LEFT(N$1,4)),VALUE(RIGHT(N$1,2)),1)&gt;TODAY(),"",IF(EOMONTH(DATE(VALUE(LEFT(N$1,4)),VALUE(RIGHT(N$1,2)),1),0)&lt;TODAY(),N31/DAY(EOMONTH(DATE(VALUE(LEFT(N$1,4)),VALUE(RIGHT(N$1,2)),1),0)),N31/MAX(NOW()-DATE(VALUE(LEFT(N$1,4)),VALUE(RIGHT(N$1,2)),1),1/24))),"")</f>
        <v/>
      </c>
      <c r="O32" s="27">
        <f>IFERROR(IF(DATE(VALUE(LEFT(O$1,4)),VALUE(RIGHT(O$1,2)),1)&gt;TODAY(),"",IF(EOMONTH(DATE(VALUE(LEFT(O$1,4)),VALUE(RIGHT(O$1,2)),1),0)&lt;TODAY(),O31/DAY(EOMONTH(DATE(VALUE(LEFT(O$1,4)),VALUE(RIGHT(O$1,2)),1),0)),O31/MAX(NOW()-DATE(VALUE(LEFT(O$1,4)),VALUE(RIGHT(O$1,2)),1),1/24))),"")</f>
        <v/>
      </c>
      <c r="P32" s="28">
        <f>SUM(D32:O32)</f>
        <v/>
      </c>
      <c r="Q32" s="27" t="n"/>
    </row>
    <row r="33" ht="12" customHeight="1">
      <c r="A33" s="23" t="inlineStr">
        <is>
          <t xml:space="preserve">            SE</t>
        </is>
      </c>
      <c r="B33" s="4" t="n"/>
      <c r="C33" s="4" t="inlineStr">
        <is>
          <t>SE</t>
        </is>
      </c>
      <c r="D33" s="5">
        <f>SUMIFS('i-shopify-sl'!$I:$I,'i-shopify-sl'!$A:$A,D$1,'i-shopify-sl'!$C:$C,$C33)</f>
        <v/>
      </c>
      <c r="E33" s="5">
        <f>SUMIFS('i-shopify-sl'!$I:$I,'i-shopify-sl'!$A:$A,E$1,'i-shopify-sl'!$C:$C,$C33)</f>
        <v/>
      </c>
      <c r="F33" s="5">
        <f>SUMIFS('i-shopify-sl'!$I:$I,'i-shopify-sl'!$A:$A,F$1,'i-shopify-sl'!$C:$C,$C33)</f>
        <v/>
      </c>
      <c r="G33" s="5">
        <f>SUMIFS('i-shopify-sl'!$I:$I,'i-shopify-sl'!$A:$A,G$1,'i-shopify-sl'!$C:$C,$C33)</f>
        <v/>
      </c>
      <c r="H33" s="5">
        <f>SUMIFS('i-shopify-sl'!$I:$I,'i-shopify-sl'!$A:$A,H$1,'i-shopify-sl'!$C:$C,$C33)</f>
        <v/>
      </c>
      <c r="I33" s="5">
        <f>SUMIFS('i-shopify-sl'!$I:$I,'i-shopify-sl'!$A:$A,I$1,'i-shopify-sl'!$C:$C,$C33)</f>
        <v/>
      </c>
      <c r="J33" s="5">
        <f>SUMIFS('i-shopify-sl'!$I:$I,'i-shopify-sl'!$A:$A,J$1,'i-shopify-sl'!$C:$C,$C33)</f>
        <v/>
      </c>
      <c r="K33" s="5">
        <f>SUMIFS('i-shopify-sl'!$I:$I,'i-shopify-sl'!$A:$A,K$1,'i-shopify-sl'!$C:$C,$C33)</f>
        <v/>
      </c>
      <c r="L33" s="5">
        <f>SUMIFS('i-shopify-sl'!$I:$I,'i-shopify-sl'!$A:$A,L$1,'i-shopify-sl'!$C:$C,$C33)</f>
        <v/>
      </c>
      <c r="M33" s="5">
        <f>SUMIFS('i-shopify-sl'!$I:$I,'i-shopify-sl'!$A:$A,M$1,'i-shopify-sl'!$C:$C,$C33)</f>
        <v/>
      </c>
      <c r="N33" s="5">
        <f>SUMIFS('i-shopify-sl'!$I:$I,'i-shopify-sl'!$A:$A,N$1,'i-shopify-sl'!$C:$C,$C33)</f>
        <v/>
      </c>
      <c r="O33" s="5">
        <f>SUMIFS('i-shopify-sl'!$I:$I,'i-shopify-sl'!$A:$A,O$1,'i-shopify-sl'!$C:$C,$C33)</f>
        <v/>
      </c>
      <c r="P33" s="24">
        <f>SUM(D33:O33)</f>
        <v/>
      </c>
      <c r="Q33" s="25" t="inlineStr">
        <is>
          <t>-&gt;</t>
        </is>
      </c>
    </row>
    <row r="34" hidden="1" outlineLevel="1" collapsed="1" ht="12" customHeight="1">
      <c r="A34" s="26" t="inlineStr">
        <is>
          <t>avg/day</t>
        </is>
      </c>
      <c r="B34" s="4" t="n"/>
      <c r="C34" s="3" t="inlineStr">
        <is>
          <t>avg/day</t>
        </is>
      </c>
      <c r="D34" s="27">
        <f>IFERROR(IF(DATE(VALUE(LEFT(D$1,4)),VALUE(RIGHT(D$1,2)),1)&gt;TODAY(),"",IF(EOMONTH(DATE(VALUE(LEFT(D$1,4)),VALUE(RIGHT(D$1,2)),1),0)&lt;TODAY(),D33/DAY(EOMONTH(DATE(VALUE(LEFT(D$1,4)),VALUE(RIGHT(D$1,2)),1),0)),D33/MAX(NOW()-DATE(VALUE(LEFT(D$1,4)),VALUE(RIGHT(D$1,2)),1),1/24))),"")</f>
        <v/>
      </c>
      <c r="E34" s="27">
        <f>IFERROR(IF(DATE(VALUE(LEFT(E$1,4)),VALUE(RIGHT(E$1,2)),1)&gt;TODAY(),"",IF(EOMONTH(DATE(VALUE(LEFT(E$1,4)),VALUE(RIGHT(E$1,2)),1),0)&lt;TODAY(),E33/DAY(EOMONTH(DATE(VALUE(LEFT(E$1,4)),VALUE(RIGHT(E$1,2)),1),0)),E33/MAX(NOW()-DATE(VALUE(LEFT(E$1,4)),VALUE(RIGHT(E$1,2)),1),1/24))),"")</f>
        <v/>
      </c>
      <c r="F34" s="27">
        <f>IFERROR(IF(DATE(VALUE(LEFT(F$1,4)),VALUE(RIGHT(F$1,2)),1)&gt;TODAY(),"",IF(EOMONTH(DATE(VALUE(LEFT(F$1,4)),VALUE(RIGHT(F$1,2)),1),0)&lt;TODAY(),F33/DAY(EOMONTH(DATE(VALUE(LEFT(F$1,4)),VALUE(RIGHT(F$1,2)),1),0)),F33/MAX(NOW()-DATE(VALUE(LEFT(F$1,4)),VALUE(RIGHT(F$1,2)),1),1/24))),"")</f>
        <v/>
      </c>
      <c r="G34" s="27">
        <f>IFERROR(IF(DATE(VALUE(LEFT(G$1,4)),VALUE(RIGHT(G$1,2)),1)&gt;TODAY(),"",IF(EOMONTH(DATE(VALUE(LEFT(G$1,4)),VALUE(RIGHT(G$1,2)),1),0)&lt;TODAY(),G33/DAY(EOMONTH(DATE(VALUE(LEFT(G$1,4)),VALUE(RIGHT(G$1,2)),1),0)),G33/MAX(NOW()-DATE(VALUE(LEFT(G$1,4)),VALUE(RIGHT(G$1,2)),1),1/24))),"")</f>
        <v/>
      </c>
      <c r="H34" s="27">
        <f>IFERROR(IF(DATE(VALUE(LEFT(H$1,4)),VALUE(RIGHT(H$1,2)),1)&gt;TODAY(),"",IF(EOMONTH(DATE(VALUE(LEFT(H$1,4)),VALUE(RIGHT(H$1,2)),1),0)&lt;TODAY(),H33/DAY(EOMONTH(DATE(VALUE(LEFT(H$1,4)),VALUE(RIGHT(H$1,2)),1),0)),H33/MAX(NOW()-DATE(VALUE(LEFT(H$1,4)),VALUE(RIGHT(H$1,2)),1),1/24))),"")</f>
        <v/>
      </c>
      <c r="I34" s="27">
        <f>IFERROR(IF(DATE(VALUE(LEFT(I$1,4)),VALUE(RIGHT(I$1,2)),1)&gt;TODAY(),"",IF(EOMONTH(DATE(VALUE(LEFT(I$1,4)),VALUE(RIGHT(I$1,2)),1),0)&lt;TODAY(),I33/DAY(EOMONTH(DATE(VALUE(LEFT(I$1,4)),VALUE(RIGHT(I$1,2)),1),0)),I33/MAX(NOW()-DATE(VALUE(LEFT(I$1,4)),VALUE(RIGHT(I$1,2)),1),1/24))),"")</f>
        <v/>
      </c>
      <c r="J34" s="27">
        <f>IFERROR(IF(DATE(VALUE(LEFT(J$1,4)),VALUE(RIGHT(J$1,2)),1)&gt;TODAY(),"",IF(EOMONTH(DATE(VALUE(LEFT(J$1,4)),VALUE(RIGHT(J$1,2)),1),0)&lt;TODAY(),J33/DAY(EOMONTH(DATE(VALUE(LEFT(J$1,4)),VALUE(RIGHT(J$1,2)),1),0)),J33/MAX(NOW()-DATE(VALUE(LEFT(J$1,4)),VALUE(RIGHT(J$1,2)),1),1/24))),"")</f>
        <v/>
      </c>
      <c r="K34" s="27">
        <f>IFERROR(IF(DATE(VALUE(LEFT(K$1,4)),VALUE(RIGHT(K$1,2)),1)&gt;TODAY(),"",IF(EOMONTH(DATE(VALUE(LEFT(K$1,4)),VALUE(RIGHT(K$1,2)),1),0)&lt;TODAY(),K33/DAY(EOMONTH(DATE(VALUE(LEFT(K$1,4)),VALUE(RIGHT(K$1,2)),1),0)),K33/MAX(NOW()-DATE(VALUE(LEFT(K$1,4)),VALUE(RIGHT(K$1,2)),1),1/24))),"")</f>
        <v/>
      </c>
      <c r="L34" s="27">
        <f>IFERROR(IF(DATE(VALUE(LEFT(L$1,4)),VALUE(RIGHT(L$1,2)),1)&gt;TODAY(),"",IF(EOMONTH(DATE(VALUE(LEFT(L$1,4)),VALUE(RIGHT(L$1,2)),1),0)&lt;TODAY(),L33/DAY(EOMONTH(DATE(VALUE(LEFT(L$1,4)),VALUE(RIGHT(L$1,2)),1),0)),L33/MAX(NOW()-DATE(VALUE(LEFT(L$1,4)),VALUE(RIGHT(L$1,2)),1),1/24))),"")</f>
        <v/>
      </c>
      <c r="M34" s="27">
        <f>IFERROR(IF(DATE(VALUE(LEFT(M$1,4)),VALUE(RIGHT(M$1,2)),1)&gt;TODAY(),"",IF(EOMONTH(DATE(VALUE(LEFT(M$1,4)),VALUE(RIGHT(M$1,2)),1),0)&lt;TODAY(),M33/DAY(EOMONTH(DATE(VALUE(LEFT(M$1,4)),VALUE(RIGHT(M$1,2)),1),0)),M33/MAX(NOW()-DATE(VALUE(LEFT(M$1,4)),VALUE(RIGHT(M$1,2)),1),1/24))),"")</f>
        <v/>
      </c>
      <c r="N34" s="27">
        <f>IFERROR(IF(DATE(VALUE(LEFT(N$1,4)),VALUE(RIGHT(N$1,2)),1)&gt;TODAY(),"",IF(EOMONTH(DATE(VALUE(LEFT(N$1,4)),VALUE(RIGHT(N$1,2)),1),0)&lt;TODAY(),N33/DAY(EOMONTH(DATE(VALUE(LEFT(N$1,4)),VALUE(RIGHT(N$1,2)),1),0)),N33/MAX(NOW()-DATE(VALUE(LEFT(N$1,4)),VALUE(RIGHT(N$1,2)),1),1/24))),"")</f>
        <v/>
      </c>
      <c r="O34" s="27">
        <f>IFERROR(IF(DATE(VALUE(LEFT(O$1,4)),VALUE(RIGHT(O$1,2)),1)&gt;TODAY(),"",IF(EOMONTH(DATE(VALUE(LEFT(O$1,4)),VALUE(RIGHT(O$1,2)),1),0)&lt;TODAY(),O33/DAY(EOMONTH(DATE(VALUE(LEFT(O$1,4)),VALUE(RIGHT(O$1,2)),1),0)),O33/MAX(NOW()-DATE(VALUE(LEFT(O$1,4)),VALUE(RIGHT(O$1,2)),1),1/24))),"")</f>
        <v/>
      </c>
      <c r="P34" s="28">
        <f>SUM(D34:O34)</f>
        <v/>
      </c>
      <c r="Q34" s="27" t="n"/>
    </row>
    <row r="35" ht="12" customHeight="1">
      <c r="A35" s="17" t="inlineStr">
        <is>
          <t xml:space="preserve">        Marketplaces</t>
        </is>
      </c>
      <c r="B35" s="18" t="n"/>
      <c r="C35" s="19" t="inlineStr">
        <is>
          <t>Marketplaces</t>
        </is>
      </c>
      <c r="D35" s="20">
        <f>SUM(D36:D39)</f>
        <v/>
      </c>
      <c r="E35" s="20">
        <f>SUM(E36:E39)</f>
        <v/>
      </c>
      <c r="F35" s="20">
        <f>SUM(F36:F39)</f>
        <v/>
      </c>
      <c r="G35" s="20">
        <f>SUM(G36:G39)</f>
        <v/>
      </c>
      <c r="H35" s="20">
        <f>SUM(H36:H39)</f>
        <v/>
      </c>
      <c r="I35" s="20">
        <f>SUM(I36:I39)</f>
        <v/>
      </c>
      <c r="J35" s="20">
        <f>SUM(J36:J39)</f>
        <v/>
      </c>
      <c r="K35" s="20">
        <f>SUM(K36:K39)</f>
        <v/>
      </c>
      <c r="L35" s="20">
        <f>SUM(L36:L39)</f>
        <v/>
      </c>
      <c r="M35" s="20">
        <f>SUM(M36:M39)</f>
        <v/>
      </c>
      <c r="N35" s="20">
        <f>SUM(N36:N39)</f>
        <v/>
      </c>
      <c r="O35" s="20">
        <f>SUM(O36:O39)</f>
        <v/>
      </c>
      <c r="P35" s="21">
        <f>SUM(D35:O35)</f>
        <v/>
      </c>
      <c r="Q35" s="22" t="inlineStr">
        <is>
          <t>-&gt;</t>
        </is>
      </c>
    </row>
    <row r="36" hidden="1" outlineLevel="1" ht="12" customHeight="1">
      <c r="A36" s="23" t="inlineStr">
        <is>
          <t xml:space="preserve">            HANNUN</t>
        </is>
      </c>
      <c r="B36" s="4" t="n"/>
      <c r="C36" s="4" t="inlineStr">
        <is>
          <t>HANNUN</t>
        </is>
      </c>
      <c r="D36" s="5">
        <f>SUMIFS('i-marketplaces-sl'!$I:$I,'i-marketplaces-sl'!$A:$A,D$1,'i-marketplaces-sl'!$C:$C,"HANNUN")</f>
        <v/>
      </c>
      <c r="E36" s="5">
        <f>SUMIFS('i-marketplaces-sl'!$I:$I,'i-marketplaces-sl'!$A:$A,E$1,'i-marketplaces-sl'!$C:$C,"HANNUN")</f>
        <v/>
      </c>
      <c r="F36" s="5">
        <f>SUMIFS('i-marketplaces-sl'!$I:$I,'i-marketplaces-sl'!$A:$A,F$1,'i-marketplaces-sl'!$C:$C,"HANNUN")</f>
        <v/>
      </c>
      <c r="G36" s="5">
        <f>SUMIFS('i-marketplaces-sl'!$I:$I,'i-marketplaces-sl'!$A:$A,G$1,'i-marketplaces-sl'!$C:$C,"HANNUN")</f>
        <v/>
      </c>
      <c r="H36" s="5">
        <f>SUMIFS('i-marketplaces-sl'!$I:$I,'i-marketplaces-sl'!$A:$A,H$1,'i-marketplaces-sl'!$C:$C,"HANNUN")</f>
        <v/>
      </c>
      <c r="I36" s="5">
        <f>SUMIFS('i-marketplaces-sl'!$I:$I,'i-marketplaces-sl'!$A:$A,I$1,'i-marketplaces-sl'!$C:$C,"HANNUN")</f>
        <v/>
      </c>
      <c r="J36" s="5">
        <f>SUMIFS('i-marketplaces-sl'!$I:$I,'i-marketplaces-sl'!$A:$A,J$1,'i-marketplaces-sl'!$C:$C,"HANNUN")</f>
        <v/>
      </c>
      <c r="K36" s="5">
        <f>SUMIFS('i-marketplaces-sl'!$I:$I,'i-marketplaces-sl'!$A:$A,K$1,'i-marketplaces-sl'!$C:$C,"HANNUN")</f>
        <v/>
      </c>
      <c r="L36" s="5">
        <f>SUMIFS('i-marketplaces-sl'!$I:$I,'i-marketplaces-sl'!$A:$A,L$1,'i-marketplaces-sl'!$C:$C,"HANNUN")</f>
        <v/>
      </c>
      <c r="M36" s="5">
        <f>SUMIFS('i-marketplaces-sl'!$I:$I,'i-marketplaces-sl'!$A:$A,M$1,'i-marketplaces-sl'!$C:$C,"HANNUN")</f>
        <v/>
      </c>
      <c r="N36" s="5">
        <f>SUMIFS('i-marketplaces-sl'!$I:$I,'i-marketplaces-sl'!$A:$A,N$1,'i-marketplaces-sl'!$C:$C,"HANNUN")</f>
        <v/>
      </c>
      <c r="O36" s="5">
        <f>SUMIFS('i-marketplaces-sl'!$I:$I,'i-marketplaces-sl'!$A:$A,O$1,'i-marketplaces-sl'!$C:$C,"HANNUN")</f>
        <v/>
      </c>
      <c r="P36" s="24">
        <f>SUM(D36:O36)</f>
        <v/>
      </c>
      <c r="Q36" s="25" t="inlineStr">
        <is>
          <t>-&gt;</t>
        </is>
      </c>
    </row>
    <row r="37" hidden="1" outlineLevel="1" ht="12" customHeight="1">
      <c r="A37" s="23" t="inlineStr">
        <is>
          <t xml:space="preserve">            TOASTY</t>
        </is>
      </c>
      <c r="B37" s="4" t="n"/>
      <c r="C37" s="4" t="inlineStr">
        <is>
          <t>TOASTY</t>
        </is>
      </c>
      <c r="D37" s="5">
        <f>SUMIFS('i-marketplaces-sl'!$I:$I,'i-marketplaces-sl'!$A:$A,D$1,'i-marketplaces-sl'!$C:$C,"TOASTY")</f>
        <v/>
      </c>
      <c r="E37" s="5">
        <f>SUMIFS('i-marketplaces-sl'!$I:$I,'i-marketplaces-sl'!$A:$A,E$1,'i-marketplaces-sl'!$C:$C,"TOASTY")</f>
        <v/>
      </c>
      <c r="F37" s="5">
        <f>SUMIFS('i-marketplaces-sl'!$I:$I,'i-marketplaces-sl'!$A:$A,F$1,'i-marketplaces-sl'!$C:$C,"TOASTY")</f>
        <v/>
      </c>
      <c r="G37" s="5">
        <f>SUMIFS('i-marketplaces-sl'!$I:$I,'i-marketplaces-sl'!$A:$A,G$1,'i-marketplaces-sl'!$C:$C,"TOASTY")</f>
        <v/>
      </c>
      <c r="H37" s="5">
        <f>SUMIFS('i-marketplaces-sl'!$I:$I,'i-marketplaces-sl'!$A:$A,H$1,'i-marketplaces-sl'!$C:$C,"TOASTY")</f>
        <v/>
      </c>
      <c r="I37" s="5">
        <f>SUMIFS('i-marketplaces-sl'!$I:$I,'i-marketplaces-sl'!$A:$A,I$1,'i-marketplaces-sl'!$C:$C,"TOASTY")</f>
        <v/>
      </c>
      <c r="J37" s="5">
        <f>SUMIFS('i-marketplaces-sl'!$I:$I,'i-marketplaces-sl'!$A:$A,J$1,'i-marketplaces-sl'!$C:$C,"TOASTY")</f>
        <v/>
      </c>
      <c r="K37" s="5">
        <f>SUMIFS('i-marketplaces-sl'!$I:$I,'i-marketplaces-sl'!$A:$A,K$1,'i-marketplaces-sl'!$C:$C,"TOASTY")</f>
        <v/>
      </c>
      <c r="L37" s="5">
        <f>SUMIFS('i-marketplaces-sl'!$I:$I,'i-marketplaces-sl'!$A:$A,L$1,'i-marketplaces-sl'!$C:$C,"TOASTY")</f>
        <v/>
      </c>
      <c r="M37" s="5">
        <f>SUMIFS('i-marketplaces-sl'!$I:$I,'i-marketplaces-sl'!$A:$A,M$1,'i-marketplaces-sl'!$C:$C,"TOASTY")</f>
        <v/>
      </c>
      <c r="N37" s="5">
        <f>SUMIFS('i-marketplaces-sl'!$I:$I,'i-marketplaces-sl'!$A:$A,N$1,'i-marketplaces-sl'!$C:$C,"TOASTY")</f>
        <v/>
      </c>
      <c r="O37" s="5">
        <f>SUMIFS('i-marketplaces-sl'!$I:$I,'i-marketplaces-sl'!$A:$A,O$1,'i-marketplaces-sl'!$C:$C,"TOASTY")</f>
        <v/>
      </c>
      <c r="P37" s="24">
        <f>SUM(D37:O37)</f>
        <v/>
      </c>
      <c r="Q37" s="25" t="inlineStr">
        <is>
          <t>-&gt;</t>
        </is>
      </c>
    </row>
    <row r="38" hidden="1" outlineLevel="1" ht="12" customHeight="1">
      <c r="A38" s="23" t="inlineStr">
        <is>
          <t xml:space="preserve">            CHOOSE</t>
        </is>
      </c>
      <c r="B38" s="4" t="n"/>
      <c r="C38" s="4" t="inlineStr">
        <is>
          <t>CHOOSE</t>
        </is>
      </c>
      <c r="D38" s="5">
        <f>SUMIFS('i-marketplaces-sl'!$I:$I,'i-marketplaces-sl'!$A:$A,D$1,'i-marketplaces-sl'!$C:$C,"CHOOSE")</f>
        <v/>
      </c>
      <c r="E38" s="5">
        <f>SUMIFS('i-marketplaces-sl'!$I:$I,'i-marketplaces-sl'!$A:$A,E$1,'i-marketplaces-sl'!$C:$C,"CHOOSE")</f>
        <v/>
      </c>
      <c r="F38" s="5">
        <f>SUMIFS('i-marketplaces-sl'!$I:$I,'i-marketplaces-sl'!$A:$A,F$1,'i-marketplaces-sl'!$C:$C,"CHOOSE")</f>
        <v/>
      </c>
      <c r="G38" s="5">
        <f>SUMIFS('i-marketplaces-sl'!$I:$I,'i-marketplaces-sl'!$A:$A,G$1,'i-marketplaces-sl'!$C:$C,"CHOOSE")</f>
        <v/>
      </c>
      <c r="H38" s="5">
        <f>SUMIFS('i-marketplaces-sl'!$I:$I,'i-marketplaces-sl'!$A:$A,H$1,'i-marketplaces-sl'!$C:$C,"CHOOSE")</f>
        <v/>
      </c>
      <c r="I38" s="5">
        <f>SUMIFS('i-marketplaces-sl'!$I:$I,'i-marketplaces-sl'!$A:$A,I$1,'i-marketplaces-sl'!$C:$C,"CHOOSE")</f>
        <v/>
      </c>
      <c r="J38" s="5">
        <f>SUMIFS('i-marketplaces-sl'!$I:$I,'i-marketplaces-sl'!$A:$A,J$1,'i-marketplaces-sl'!$C:$C,"CHOOSE")</f>
        <v/>
      </c>
      <c r="K38" s="5">
        <f>SUMIFS('i-marketplaces-sl'!$I:$I,'i-marketplaces-sl'!$A:$A,K$1,'i-marketplaces-sl'!$C:$C,"CHOOSE")</f>
        <v/>
      </c>
      <c r="L38" s="5">
        <f>SUMIFS('i-marketplaces-sl'!$I:$I,'i-marketplaces-sl'!$A:$A,L$1,'i-marketplaces-sl'!$C:$C,"CHOOSE")</f>
        <v/>
      </c>
      <c r="M38" s="5">
        <f>SUMIFS('i-marketplaces-sl'!$I:$I,'i-marketplaces-sl'!$A:$A,M$1,'i-marketplaces-sl'!$C:$C,"CHOOSE")</f>
        <v/>
      </c>
      <c r="N38" s="5">
        <f>SUMIFS('i-marketplaces-sl'!$I:$I,'i-marketplaces-sl'!$A:$A,N$1,'i-marketplaces-sl'!$C:$C,"CHOOSE")</f>
        <v/>
      </c>
      <c r="O38" s="5">
        <f>SUMIFS('i-marketplaces-sl'!$I:$I,'i-marketplaces-sl'!$A:$A,O$1,'i-marketplaces-sl'!$C:$C,"CHOOSE")</f>
        <v/>
      </c>
      <c r="P38" s="24">
        <f>SUM(D38:O38)</f>
        <v/>
      </c>
      <c r="Q38" s="25" t="inlineStr">
        <is>
          <t>-&gt;</t>
        </is>
      </c>
    </row>
    <row r="39" hidden="1" outlineLevel="1" collapsed="1" ht="12" customHeight="1">
      <c r="A39" s="23" t="inlineStr">
        <is>
          <t xml:space="preserve">            MAISONSDUMONDE</t>
        </is>
      </c>
      <c r="B39" s="4" t="n"/>
      <c r="C39" s="4" t="inlineStr">
        <is>
          <t>MAISONSDUMONDE</t>
        </is>
      </c>
      <c r="D39" s="5">
        <f>SUMIFS('i-marketplaces-sl'!$I:$I,'i-marketplaces-sl'!$A:$A,D$1,'i-marketplaces-sl'!$C:$C,"MAISONS")</f>
        <v/>
      </c>
      <c r="E39" s="5">
        <f>SUMIFS('i-marketplaces-sl'!$I:$I,'i-marketplaces-sl'!$A:$A,E$1,'i-marketplaces-sl'!$C:$C,"MAISONS")</f>
        <v/>
      </c>
      <c r="F39" s="5">
        <f>SUMIFS('i-marketplaces-sl'!$I:$I,'i-marketplaces-sl'!$A:$A,F$1,'i-marketplaces-sl'!$C:$C,"MAISONS")</f>
        <v/>
      </c>
      <c r="G39" s="5">
        <f>SUMIFS('i-marketplaces-sl'!$I:$I,'i-marketplaces-sl'!$A:$A,G$1,'i-marketplaces-sl'!$C:$C,"MAISONS")</f>
        <v/>
      </c>
      <c r="H39" s="5">
        <f>SUMIFS('i-marketplaces-sl'!$I:$I,'i-marketplaces-sl'!$A:$A,H$1,'i-marketplaces-sl'!$C:$C,"MAISONS")</f>
        <v/>
      </c>
      <c r="I39" s="5">
        <f>SUMIFS('i-marketplaces-sl'!$I:$I,'i-marketplaces-sl'!$A:$A,I$1,'i-marketplaces-sl'!$C:$C,"MAISONS")</f>
        <v/>
      </c>
      <c r="J39" s="5">
        <f>SUMIFS('i-marketplaces-sl'!$I:$I,'i-marketplaces-sl'!$A:$A,J$1,'i-marketplaces-sl'!$C:$C,"MAISONS")</f>
        <v/>
      </c>
      <c r="K39" s="5">
        <f>SUMIFS('i-marketplaces-sl'!$I:$I,'i-marketplaces-sl'!$A:$A,K$1,'i-marketplaces-sl'!$C:$C,"MAISONS")</f>
        <v/>
      </c>
      <c r="L39" s="5">
        <f>SUMIFS('i-marketplaces-sl'!$I:$I,'i-marketplaces-sl'!$A:$A,L$1,'i-marketplaces-sl'!$C:$C,"MAISONS")</f>
        <v/>
      </c>
      <c r="M39" s="5">
        <f>SUMIFS('i-marketplaces-sl'!$I:$I,'i-marketplaces-sl'!$A:$A,M$1,'i-marketplaces-sl'!$C:$C,"MAISONS")</f>
        <v/>
      </c>
      <c r="N39" s="5">
        <f>SUMIFS('i-marketplaces-sl'!$I:$I,'i-marketplaces-sl'!$A:$A,N$1,'i-marketplaces-sl'!$C:$C,"MAISONS")</f>
        <v/>
      </c>
      <c r="O39" s="5">
        <f>SUMIFS('i-marketplaces-sl'!$I:$I,'i-marketplaces-sl'!$A:$A,O$1,'i-marketplaces-sl'!$C:$C,"MAISONS")</f>
        <v/>
      </c>
      <c r="P39" s="24">
        <f>SUM(D39:O39)</f>
        <v/>
      </c>
      <c r="Q39" s="25" t="inlineStr">
        <is>
          <t>-&gt;</t>
        </is>
      </c>
    </row>
    <row r="40" ht="12" customHeight="1">
      <c r="A40" s="17" t="inlineStr">
        <is>
          <t xml:space="preserve">        Rappels</t>
        </is>
      </c>
      <c r="B40" s="18" t="n"/>
      <c r="C40" s="19" t="inlineStr">
        <is>
          <t>Rappels</t>
        </is>
      </c>
      <c r="D40" s="20">
        <f>D41</f>
        <v/>
      </c>
      <c r="E40" s="20">
        <f>E41</f>
        <v/>
      </c>
      <c r="F40" s="20">
        <f>F41</f>
        <v/>
      </c>
      <c r="G40" s="20">
        <f>G41</f>
        <v/>
      </c>
      <c r="H40" s="20">
        <f>H41</f>
        <v/>
      </c>
      <c r="I40" s="20">
        <f>I41</f>
        <v/>
      </c>
      <c r="J40" s="20">
        <f>J41</f>
        <v/>
      </c>
      <c r="K40" s="20">
        <f>K41</f>
        <v/>
      </c>
      <c r="L40" s="20">
        <f>L41</f>
        <v/>
      </c>
      <c r="M40" s="20">
        <f>M41</f>
        <v/>
      </c>
      <c r="N40" s="20">
        <f>N41</f>
        <v/>
      </c>
      <c r="O40" s="20">
        <f>O41</f>
        <v/>
      </c>
      <c r="P40" s="21">
        <f>SUM(D40:O40)</f>
        <v/>
      </c>
      <c r="Q40" s="22" t="inlineStr">
        <is>
          <t>-&gt;</t>
        </is>
      </c>
    </row>
    <row r="41" hidden="1" outlineLevel="1" collapsed="1" ht="12" customHeight="1">
      <c r="A41" s="23" t="inlineStr">
        <is>
          <t xml:space="preserve">            LIVITUM</t>
        </is>
      </c>
      <c r="B41" s="4" t="n"/>
      <c r="C41" s="4" t="inlineStr">
        <is>
          <t>LIVITUM</t>
        </is>
      </c>
      <c r="D41" s="5">
        <f>SUMIFS('i-rappels-sl'!$I:$I,'i-rappels-sl'!$A:$A,D$1,'i-rappels-sl'!$C:$C,$C41)</f>
        <v/>
      </c>
      <c r="E41" s="5">
        <f>SUMIFS('i-rappels-sl'!$I:$I,'i-rappels-sl'!$A:$A,E$1,'i-rappels-sl'!$C:$C,$C41)</f>
        <v/>
      </c>
      <c r="F41" s="5">
        <f>SUMIFS('i-rappels-sl'!$I:$I,'i-rappels-sl'!$A:$A,F$1,'i-rappels-sl'!$C:$C,$C41)</f>
        <v/>
      </c>
      <c r="G41" s="5">
        <f>SUMIFS('i-rappels-sl'!$I:$I,'i-rappels-sl'!$A:$A,G$1,'i-rappels-sl'!$C:$C,$C41)</f>
        <v/>
      </c>
      <c r="H41" s="5">
        <f>SUMIFS('i-rappels-sl'!$I:$I,'i-rappels-sl'!$A:$A,H$1,'i-rappels-sl'!$C:$C,$C41)</f>
        <v/>
      </c>
      <c r="I41" s="5">
        <f>SUMIFS('i-rappels-sl'!$I:$I,'i-rappels-sl'!$A:$A,I$1,'i-rappels-sl'!$C:$C,$C41)</f>
        <v/>
      </c>
      <c r="J41" s="5">
        <f>SUMIFS('i-rappels-sl'!$I:$I,'i-rappels-sl'!$A:$A,J$1,'i-rappels-sl'!$C:$C,$C41)</f>
        <v/>
      </c>
      <c r="K41" s="5">
        <f>SUMIFS('i-rappels-sl'!$I:$I,'i-rappels-sl'!$A:$A,K$1,'i-rappels-sl'!$C:$C,$C41)</f>
        <v/>
      </c>
      <c r="L41" s="5">
        <f>SUMIFS('i-rappels-sl'!$I:$I,'i-rappels-sl'!$A:$A,L$1,'i-rappels-sl'!$C:$C,$C41)</f>
        <v/>
      </c>
      <c r="M41" s="5">
        <f>SUMIFS('i-rappels-sl'!$I:$I,'i-rappels-sl'!$A:$A,M$1,'i-rappels-sl'!$C:$C,$C41)</f>
        <v/>
      </c>
      <c r="N41" s="5">
        <f>SUMIFS('i-rappels-sl'!$I:$I,'i-rappels-sl'!$A:$A,N$1,'i-rappels-sl'!$C:$C,$C41)</f>
        <v/>
      </c>
      <c r="O41" s="5">
        <f>SUMIFS('i-rappels-sl'!$I:$I,'i-rappels-sl'!$A:$A,O$1,'i-rappels-sl'!$C:$C,$C41)</f>
        <v/>
      </c>
      <c r="P41" s="24">
        <f>SUM(D41:O41)</f>
        <v/>
      </c>
      <c r="Q41" s="25" t="inlineStr">
        <is>
          <t>-&gt;</t>
        </is>
      </c>
    </row>
    <row r="42" ht="12" customHeight="1">
      <c r="A42" s="17" t="inlineStr">
        <is>
          <t xml:space="preserve">        Supplies</t>
        </is>
      </c>
      <c r="B42" s="18" t="n"/>
      <c r="C42" s="19" t="inlineStr">
        <is>
          <t>Supplies</t>
        </is>
      </c>
      <c r="D42" s="20">
        <f>D43</f>
        <v/>
      </c>
      <c r="E42" s="20">
        <f>E43</f>
        <v/>
      </c>
      <c r="F42" s="20">
        <f>F43</f>
        <v/>
      </c>
      <c r="G42" s="20">
        <f>G43</f>
        <v/>
      </c>
      <c r="H42" s="20">
        <f>H43</f>
        <v/>
      </c>
      <c r="I42" s="20">
        <f>I43</f>
        <v/>
      </c>
      <c r="J42" s="20">
        <f>J43</f>
        <v/>
      </c>
      <c r="K42" s="20">
        <f>K43</f>
        <v/>
      </c>
      <c r="L42" s="20">
        <f>L43</f>
        <v/>
      </c>
      <c r="M42" s="20">
        <f>M43</f>
        <v/>
      </c>
      <c r="N42" s="20">
        <f>N43</f>
        <v/>
      </c>
      <c r="O42" s="20">
        <f>O43</f>
        <v/>
      </c>
      <c r="P42" s="21">
        <f>SUM(D42:O42)</f>
        <v/>
      </c>
      <c r="Q42" s="22" t="inlineStr">
        <is>
          <t>-&gt;</t>
        </is>
      </c>
    </row>
    <row r="43" hidden="1" outlineLevel="1" collapsed="1" ht="12" customHeight="1">
      <c r="A43" s="23" t="inlineStr">
        <is>
          <t xml:space="preserve">            REVER</t>
        </is>
      </c>
      <c r="B43" s="4" t="n"/>
      <c r="C43" s="4" t="inlineStr">
        <is>
          <t>REVER</t>
        </is>
      </c>
      <c r="D43" s="5">
        <f>SUMIFS('i-supplies-sl'!$I:$I,'i-supplies-sl'!$A:$A,D$1,'i-supplies-sl'!$C:$C,$C43)</f>
        <v/>
      </c>
      <c r="E43" s="5">
        <f>SUMIFS('i-supplies-sl'!$I:$I,'i-supplies-sl'!$A:$A,E$1,'i-supplies-sl'!$C:$C,$C43)</f>
        <v/>
      </c>
      <c r="F43" s="5">
        <f>SUMIFS('i-supplies-sl'!$I:$I,'i-supplies-sl'!$A:$A,F$1,'i-supplies-sl'!$C:$C,$C43)</f>
        <v/>
      </c>
      <c r="G43" s="5">
        <f>SUMIFS('i-supplies-sl'!$I:$I,'i-supplies-sl'!$A:$A,G$1,'i-supplies-sl'!$C:$C,$C43)</f>
        <v/>
      </c>
      <c r="H43" s="5">
        <f>SUMIFS('i-supplies-sl'!$I:$I,'i-supplies-sl'!$A:$A,H$1,'i-supplies-sl'!$C:$C,$C43)</f>
        <v/>
      </c>
      <c r="I43" s="5">
        <f>SUMIFS('i-supplies-sl'!$I:$I,'i-supplies-sl'!$A:$A,I$1,'i-supplies-sl'!$C:$C,$C43)</f>
        <v/>
      </c>
      <c r="J43" s="5">
        <f>SUMIFS('i-supplies-sl'!$I:$I,'i-supplies-sl'!$A:$A,J$1,'i-supplies-sl'!$C:$C,$C43)</f>
        <v/>
      </c>
      <c r="K43" s="5">
        <f>SUMIFS('i-supplies-sl'!$I:$I,'i-supplies-sl'!$A:$A,K$1,'i-supplies-sl'!$C:$C,$C43)</f>
        <v/>
      </c>
      <c r="L43" s="5">
        <f>SUMIFS('i-supplies-sl'!$I:$I,'i-supplies-sl'!$A:$A,L$1,'i-supplies-sl'!$C:$C,$C43)</f>
        <v/>
      </c>
      <c r="M43" s="5">
        <f>SUMIFS('i-supplies-sl'!$I:$I,'i-supplies-sl'!$A:$A,M$1,'i-supplies-sl'!$C:$C,$C43)</f>
        <v/>
      </c>
      <c r="N43" s="5">
        <f>SUMIFS('i-supplies-sl'!$I:$I,'i-supplies-sl'!$A:$A,N$1,'i-supplies-sl'!$C:$C,$C43)</f>
        <v/>
      </c>
      <c r="O43" s="5">
        <f>SUMIFS('i-supplies-sl'!$I:$I,'i-supplies-sl'!$A:$A,O$1,'i-supplies-sl'!$C:$C,$C43)</f>
        <v/>
      </c>
      <c r="P43" s="24">
        <f>SUM(D43:O43)</f>
        <v/>
      </c>
      <c r="Q43" s="25" t="inlineStr">
        <is>
          <t>-&gt;</t>
        </is>
      </c>
    </row>
    <row r="44" ht="12" customHeight="1">
      <c r="A44" s="4" t="n"/>
      <c r="B44" s="4" t="n"/>
      <c r="C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24">
        <f>SUM(D44:O44)</f>
        <v/>
      </c>
      <c r="Q44" s="5" t="n"/>
    </row>
    <row r="45" ht="12" customHeight="1">
      <c r="A45" s="11" t="inlineStr">
        <is>
          <t xml:space="preserve">    Services</t>
        </is>
      </c>
      <c r="B45" s="12" t="inlineStr">
        <is>
          <t>Services</t>
        </is>
      </c>
      <c r="C45" s="13" t="n"/>
      <c r="D45" s="14">
        <f>SUM(D46:D49)</f>
        <v/>
      </c>
      <c r="E45" s="14">
        <f>SUM(E46:E49)</f>
        <v/>
      </c>
      <c r="F45" s="14">
        <f>SUM(F46:F49)</f>
        <v/>
      </c>
      <c r="G45" s="14">
        <f>SUM(G46:G49)</f>
        <v/>
      </c>
      <c r="H45" s="14">
        <f>SUM(H46:H49)</f>
        <v/>
      </c>
      <c r="I45" s="14">
        <f>SUM(I46:I49)</f>
        <v/>
      </c>
      <c r="J45" s="14">
        <f>SUM(J46:J49)</f>
        <v/>
      </c>
      <c r="K45" s="14">
        <f>SUM(K46:K49)</f>
        <v/>
      </c>
      <c r="L45" s="14">
        <f>SUM(L46:L49)</f>
        <v/>
      </c>
      <c r="M45" s="14">
        <f>SUM(M46:M49)</f>
        <v/>
      </c>
      <c r="N45" s="14">
        <f>SUM(N46:N49)</f>
        <v/>
      </c>
      <c r="O45" s="14">
        <f>SUM(O46:O49)</f>
        <v/>
      </c>
      <c r="P45" s="15">
        <f>SUM(D45:O45)</f>
        <v/>
      </c>
      <c r="Q45" s="29" t="inlineStr">
        <is>
          <t>-&gt;</t>
        </is>
      </c>
    </row>
    <row r="46" hidden="1" outlineLevel="1" ht="12" customHeight="1">
      <c r="A46" s="23" t="inlineStr">
        <is>
          <t xml:space="preserve">            HANNUN</t>
        </is>
      </c>
      <c r="B46" s="4" t="n"/>
      <c r="C46" s="4" t="inlineStr">
        <is>
          <t>HANNUN</t>
        </is>
      </c>
      <c r="D46" s="5">
        <f>SUMIFS('i-services-sl'!$I:$I,'i-services-sl'!$A:$A,D$1,'i-services-sl'!$C:$C,$C46)</f>
        <v/>
      </c>
      <c r="E46" s="5">
        <f>SUMIFS('i-services-sl'!$I:$I,'i-services-sl'!$A:$A,E$1,'i-services-sl'!$C:$C,$C46)</f>
        <v/>
      </c>
      <c r="F46" s="5">
        <f>SUMIFS('i-services-sl'!$I:$I,'i-services-sl'!$A:$A,F$1,'i-services-sl'!$C:$C,$C46)</f>
        <v/>
      </c>
      <c r="G46" s="5">
        <f>SUMIFS('i-services-sl'!$I:$I,'i-services-sl'!$A:$A,G$1,'i-services-sl'!$C:$C,$C46)</f>
        <v/>
      </c>
      <c r="H46" s="5">
        <f>SUMIFS('i-services-sl'!$I:$I,'i-services-sl'!$A:$A,H$1,'i-services-sl'!$C:$C,$C46)</f>
        <v/>
      </c>
      <c r="I46" s="5">
        <f>SUMIFS('i-services-sl'!$I:$I,'i-services-sl'!$A:$A,I$1,'i-services-sl'!$C:$C,$C46)</f>
        <v/>
      </c>
      <c r="J46" s="5">
        <f>SUMIFS('i-services-sl'!$I:$I,'i-services-sl'!$A:$A,J$1,'i-services-sl'!$C:$C,$C46)</f>
        <v/>
      </c>
      <c r="K46" s="5">
        <f>SUMIFS('i-services-sl'!$I:$I,'i-services-sl'!$A:$A,K$1,'i-services-sl'!$C:$C,$C46)</f>
        <v/>
      </c>
      <c r="L46" s="5">
        <f>SUMIFS('i-services-sl'!$I:$I,'i-services-sl'!$A:$A,L$1,'i-services-sl'!$C:$C,$C46)</f>
        <v/>
      </c>
      <c r="M46" s="5">
        <f>SUMIFS('i-services-sl'!$I:$I,'i-services-sl'!$A:$A,M$1,'i-services-sl'!$C:$C,$C46)</f>
        <v/>
      </c>
      <c r="N46" s="5">
        <f>SUMIFS('i-services-sl'!$I:$I,'i-services-sl'!$A:$A,N$1,'i-services-sl'!$C:$C,$C46)</f>
        <v/>
      </c>
      <c r="O46" s="5">
        <f>SUMIFS('i-services-sl'!$I:$I,'i-services-sl'!$A:$A,O$1,'i-services-sl'!$C:$C,$C46)</f>
        <v/>
      </c>
      <c r="P46" s="24">
        <f>SUM(D46:O46)</f>
        <v/>
      </c>
      <c r="Q46" s="25" t="inlineStr">
        <is>
          <t>-&gt;</t>
        </is>
      </c>
    </row>
    <row r="47" hidden="1" outlineLevel="1" ht="12" customHeight="1">
      <c r="A47" s="23" t="inlineStr">
        <is>
          <t xml:space="preserve">            QHANDS</t>
        </is>
      </c>
      <c r="B47" s="4" t="n"/>
      <c r="C47" s="4" t="inlineStr">
        <is>
          <t>QHANDS</t>
        </is>
      </c>
      <c r="D47" s="5">
        <f>SUMIFS('i-services-sl'!$I:$I,'i-services-sl'!$A:$A,D$1,'i-services-sl'!$C:$C,$C47)</f>
        <v/>
      </c>
      <c r="E47" s="5">
        <f>SUMIFS('i-services-sl'!$I:$I,'i-services-sl'!$A:$A,E$1,'i-services-sl'!$C:$C,$C47)</f>
        <v/>
      </c>
      <c r="F47" s="5">
        <f>SUMIFS('i-services-sl'!$I:$I,'i-services-sl'!$A:$A,F$1,'i-services-sl'!$C:$C,$C47)</f>
        <v/>
      </c>
      <c r="G47" s="5">
        <f>SUMIFS('i-services-sl'!$I:$I,'i-services-sl'!$A:$A,G$1,'i-services-sl'!$C:$C,$C47)</f>
        <v/>
      </c>
      <c r="H47" s="5">
        <f>SUMIFS('i-services-sl'!$I:$I,'i-services-sl'!$A:$A,H$1,'i-services-sl'!$C:$C,$C47)</f>
        <v/>
      </c>
      <c r="I47" s="5">
        <f>SUMIFS('i-services-sl'!$I:$I,'i-services-sl'!$A:$A,I$1,'i-services-sl'!$C:$C,$C47)</f>
        <v/>
      </c>
      <c r="J47" s="5">
        <f>SUMIFS('i-services-sl'!$I:$I,'i-services-sl'!$A:$A,J$1,'i-services-sl'!$C:$C,$C47)</f>
        <v/>
      </c>
      <c r="K47" s="5">
        <f>SUMIFS('i-services-sl'!$I:$I,'i-services-sl'!$A:$A,K$1,'i-services-sl'!$C:$C,$C47)</f>
        <v/>
      </c>
      <c r="L47" s="5">
        <f>SUMIFS('i-services-sl'!$I:$I,'i-services-sl'!$A:$A,L$1,'i-services-sl'!$C:$C,$C47)</f>
        <v/>
      </c>
      <c r="M47" s="5">
        <f>SUMIFS('i-services-sl'!$I:$I,'i-services-sl'!$A:$A,M$1,'i-services-sl'!$C:$C,$C47)</f>
        <v/>
      </c>
      <c r="N47" s="5">
        <f>SUMIFS('i-services-sl'!$I:$I,'i-services-sl'!$A:$A,N$1,'i-services-sl'!$C:$C,$C47)</f>
        <v/>
      </c>
      <c r="O47" s="5">
        <f>SUMIFS('i-services-sl'!$I:$I,'i-services-sl'!$A:$A,O$1,'i-services-sl'!$C:$C,$C47)</f>
        <v/>
      </c>
      <c r="P47" s="24">
        <f>SUM(D47:O47)</f>
        <v/>
      </c>
      <c r="Q47" s="25" t="inlineStr">
        <is>
          <t>-&gt;</t>
        </is>
      </c>
    </row>
    <row r="48" hidden="1" outlineLevel="1" ht="12" customHeight="1">
      <c r="A48" s="23" t="inlineStr">
        <is>
          <t xml:space="preserve">            Ltd</t>
        </is>
      </c>
      <c r="B48" s="4" t="n"/>
      <c r="C48" s="4" t="inlineStr">
        <is>
          <t>Ltd</t>
        </is>
      </c>
      <c r="D48" s="5">
        <f>SUMIFS('i-services-sl'!$I:$I,'i-services-sl'!$A:$A,D$1,'i-services-sl'!$C:$C,$C48)</f>
        <v/>
      </c>
      <c r="E48" s="5">
        <f>SUMIFS('i-services-sl'!$I:$I,'i-services-sl'!$A:$A,E$1,'i-services-sl'!$C:$C,$C48)</f>
        <v/>
      </c>
      <c r="F48" s="5">
        <f>SUMIFS('i-services-sl'!$I:$I,'i-services-sl'!$A:$A,F$1,'i-services-sl'!$C:$C,$C48)</f>
        <v/>
      </c>
      <c r="G48" s="5">
        <f>SUMIFS('i-services-sl'!$I:$I,'i-services-sl'!$A:$A,G$1,'i-services-sl'!$C:$C,$C48)</f>
        <v/>
      </c>
      <c r="H48" s="5">
        <f>SUMIFS('i-services-sl'!$I:$I,'i-services-sl'!$A:$A,H$1,'i-services-sl'!$C:$C,$C48)</f>
        <v/>
      </c>
      <c r="I48" s="5">
        <f>SUMIFS('i-services-sl'!$I:$I,'i-services-sl'!$A:$A,I$1,'i-services-sl'!$C:$C,$C48)</f>
        <v/>
      </c>
      <c r="J48" s="5">
        <f>SUMIFS('i-services-sl'!$I:$I,'i-services-sl'!$A:$A,J$1,'i-services-sl'!$C:$C,$C48)</f>
        <v/>
      </c>
      <c r="K48" s="5">
        <f>SUMIFS('i-services-sl'!$I:$I,'i-services-sl'!$A:$A,K$1,'i-services-sl'!$C:$C,$C48)</f>
        <v/>
      </c>
      <c r="L48" s="5">
        <f>SUMIFS('i-services-sl'!$I:$I,'i-services-sl'!$A:$A,L$1,'i-services-sl'!$C:$C,$C48)</f>
        <v/>
      </c>
      <c r="M48" s="5">
        <f>SUMIFS('i-services-sl'!$I:$I,'i-services-sl'!$A:$A,M$1,'i-services-sl'!$C:$C,$C48)</f>
        <v/>
      </c>
      <c r="N48" s="5">
        <f>SUMIFS('i-services-sl'!$I:$I,'i-services-sl'!$A:$A,N$1,'i-services-sl'!$C:$C,$C48)</f>
        <v/>
      </c>
      <c r="O48" s="5">
        <f>SUMIFS('i-services-sl'!$I:$I,'i-services-sl'!$A:$A,O$1,'i-services-sl'!$C:$C,$C48)</f>
        <v/>
      </c>
      <c r="P48" s="24">
        <f>SUM(D48:O48)</f>
        <v/>
      </c>
      <c r="Q48" s="25" t="inlineStr">
        <is>
          <t>-&gt;</t>
        </is>
      </c>
    </row>
    <row r="49" hidden="1" outlineLevel="1" collapsed="1" ht="12" customHeight="1">
      <c r="A49" s="23" t="inlineStr">
        <is>
          <t xml:space="preserve">            Inc</t>
        </is>
      </c>
      <c r="B49" s="4" t="n"/>
      <c r="C49" s="4" t="inlineStr">
        <is>
          <t>Inc</t>
        </is>
      </c>
      <c r="D49" s="5">
        <f>SUMIFS('i-services-sl'!$I:$I,'i-services-sl'!$A:$A,D$1,'i-services-sl'!$C:$C,$C49)</f>
        <v/>
      </c>
      <c r="E49" s="5">
        <f>SUMIFS('i-services-sl'!$I:$I,'i-services-sl'!$A:$A,E$1,'i-services-sl'!$C:$C,$C49)</f>
        <v/>
      </c>
      <c r="F49" s="5">
        <f>SUMIFS('i-services-sl'!$I:$I,'i-services-sl'!$A:$A,F$1,'i-services-sl'!$C:$C,$C49)</f>
        <v/>
      </c>
      <c r="G49" s="5">
        <f>SUMIFS('i-services-sl'!$I:$I,'i-services-sl'!$A:$A,G$1,'i-services-sl'!$C:$C,$C49)</f>
        <v/>
      </c>
      <c r="H49" s="5">
        <f>SUMIFS('i-services-sl'!$I:$I,'i-services-sl'!$A:$A,H$1,'i-services-sl'!$C:$C,$C49)</f>
        <v/>
      </c>
      <c r="I49" s="5">
        <f>SUMIFS('i-services-sl'!$I:$I,'i-services-sl'!$A:$A,I$1,'i-services-sl'!$C:$C,$C49)</f>
        <v/>
      </c>
      <c r="J49" s="5">
        <f>SUMIFS('i-services-sl'!$I:$I,'i-services-sl'!$A:$A,J$1,'i-services-sl'!$C:$C,$C49)</f>
        <v/>
      </c>
      <c r="K49" s="5">
        <f>SUMIFS('i-services-sl'!$I:$I,'i-services-sl'!$A:$A,K$1,'i-services-sl'!$C:$C,$C49)</f>
        <v/>
      </c>
      <c r="L49" s="5">
        <f>SUMIFS('i-services-sl'!$I:$I,'i-services-sl'!$A:$A,L$1,'i-services-sl'!$C:$C,$C49)</f>
        <v/>
      </c>
      <c r="M49" s="5">
        <f>SUMIFS('i-services-sl'!$I:$I,'i-services-sl'!$A:$A,M$1,'i-services-sl'!$C:$C,$C49)</f>
        <v/>
      </c>
      <c r="N49" s="5">
        <f>SUMIFS('i-services-sl'!$I:$I,'i-services-sl'!$A:$A,N$1,'i-services-sl'!$C:$C,$C49)</f>
        <v/>
      </c>
      <c r="O49" s="5">
        <f>SUMIFS('i-services-sl'!$I:$I,'i-services-sl'!$A:$A,O$1,'i-services-sl'!$C:$C,$C49)</f>
        <v/>
      </c>
      <c r="P49" s="24">
        <f>SUM(D49:O49)</f>
        <v/>
      </c>
      <c r="Q49" s="25" t="inlineStr">
        <is>
          <t>-&gt;</t>
        </is>
      </c>
    </row>
    <row r="50" ht="12" customHeight="1">
      <c r="A50" s="17" t="inlineStr">
        <is>
          <t xml:space="preserve">        Uncategorized income</t>
        </is>
      </c>
      <c r="B50" s="19" t="inlineStr">
        <is>
          <t>Uncategorized income</t>
        </is>
      </c>
      <c r="C50" s="18" t="n"/>
      <c r="D50" s="20" t="n">
        <v>3586.77</v>
      </c>
      <c r="E50" s="20" t="n"/>
      <c r="F50" s="20" t="n"/>
      <c r="G50" s="20" t="n">
        <v>67.09999999999999</v>
      </c>
      <c r="H50" s="20" t="n"/>
      <c r="I50" s="20" t="n">
        <v>0.01</v>
      </c>
      <c r="J50" s="20" t="n"/>
      <c r="K50" s="20" t="n"/>
      <c r="L50" s="20" t="n"/>
      <c r="M50" s="20" t="n"/>
      <c r="N50" s="20" t="n"/>
      <c r="O50" s="20" t="n"/>
      <c r="P50" s="21">
        <f>SUM(D50:O50)</f>
        <v/>
      </c>
      <c r="Q50" s="30" t="n"/>
    </row>
    <row r="51" ht="12" customHeight="1">
      <c r="A51" s="4" t="n"/>
      <c r="B51" s="4" t="n"/>
      <c r="C51" s="4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24">
        <f>SUM(D51:O51)</f>
        <v/>
      </c>
      <c r="Q51" s="5" t="n"/>
    </row>
    <row r="52" ht="12" customHeight="1">
      <c r="A52" s="6" t="inlineStr">
        <is>
          <t>Expenses</t>
        </is>
      </c>
      <c r="B52" s="7" t="n"/>
      <c r="C52" s="7" t="n"/>
      <c r="D52" s="8">
        <f>D53+D84</f>
        <v/>
      </c>
      <c r="E52" s="8">
        <f>E53+E84</f>
        <v/>
      </c>
      <c r="F52" s="8">
        <f>F53+F84</f>
        <v/>
      </c>
      <c r="G52" s="8">
        <f>G53+G84</f>
        <v/>
      </c>
      <c r="H52" s="8">
        <f>H53+H84</f>
        <v/>
      </c>
      <c r="I52" s="8">
        <f>I53+I84</f>
        <v/>
      </c>
      <c r="J52" s="8">
        <f>J53+J84</f>
        <v/>
      </c>
      <c r="K52" s="8">
        <f>K53+K84</f>
        <v/>
      </c>
      <c r="L52" s="8">
        <f>L53+L84</f>
        <v/>
      </c>
      <c r="M52" s="8">
        <f>M53+M84</f>
        <v/>
      </c>
      <c r="N52" s="8">
        <f>N53+N84</f>
        <v/>
      </c>
      <c r="O52" s="8">
        <f>O53+O84</f>
        <v/>
      </c>
      <c r="P52" s="9">
        <f>SUM(D52:O52)</f>
        <v/>
      </c>
      <c r="Q52" s="10" t="n"/>
    </row>
    <row r="53" ht="12" customHeight="1">
      <c r="A53" s="11" t="inlineStr">
        <is>
          <t xml:space="preserve">    COGS</t>
        </is>
      </c>
      <c r="B53" s="12" t="inlineStr">
        <is>
          <t>COGS</t>
        </is>
      </c>
      <c r="C53" s="13" t="n"/>
      <c r="D53" s="14">
        <f>D54+D61+D68+D74</f>
        <v/>
      </c>
      <c r="E53" s="14">
        <f>E54+E61+E68+E74</f>
        <v/>
      </c>
      <c r="F53" s="14">
        <f>F54+F61+F68+F74</f>
        <v/>
      </c>
      <c r="G53" s="14">
        <f>G54+G61+G68+G74</f>
        <v/>
      </c>
      <c r="H53" s="14">
        <f>H54+H61+H68+H74</f>
        <v/>
      </c>
      <c r="I53" s="14">
        <f>I54+I61+I68+I74</f>
        <v/>
      </c>
      <c r="J53" s="14">
        <f>J54+J61+J68+J74</f>
        <v/>
      </c>
      <c r="K53" s="14">
        <f>K54+K61+K68+K74</f>
        <v/>
      </c>
      <c r="L53" s="14">
        <f>L54+L61+L68+L74</f>
        <v/>
      </c>
      <c r="M53" s="14">
        <f>M54+M61+M68+M74</f>
        <v/>
      </c>
      <c r="N53" s="14">
        <f>N54+N61+N68+N74</f>
        <v/>
      </c>
      <c r="O53" s="14">
        <f>O54+O61+O68+O74</f>
        <v/>
      </c>
      <c r="P53" s="15">
        <f>SUM(D53:O53)</f>
        <v/>
      </c>
      <c r="Q53" s="16" t="n"/>
    </row>
    <row r="54" ht="12" customHeight="1">
      <c r="A54" s="17" t="inlineStr">
        <is>
          <t xml:space="preserve">        Manufacturing (% sales)</t>
        </is>
      </c>
      <c r="B54" s="18" t="n"/>
      <c r="C54" s="19" t="inlineStr">
        <is>
          <t>Manufacturing (% sales)</t>
        </is>
      </c>
      <c r="D54" s="20">
        <f>SUM(D55:D59)</f>
        <v/>
      </c>
      <c r="E54" s="20">
        <f>SUM(E55:E59)</f>
        <v/>
      </c>
      <c r="F54" s="20">
        <f>SUM(F55:F59)</f>
        <v/>
      </c>
      <c r="G54" s="20">
        <f>SUM(G55:G59)</f>
        <v/>
      </c>
      <c r="H54" s="20">
        <f>SUM(H55:H59)</f>
        <v/>
      </c>
      <c r="I54" s="20">
        <f>SUM(I55:I59)</f>
        <v/>
      </c>
      <c r="J54" s="20">
        <f>SUM(J55:J59)</f>
        <v/>
      </c>
      <c r="K54" s="20">
        <f>SUM(K55:K59)</f>
        <v/>
      </c>
      <c r="L54" s="20">
        <f>SUM(L55:L59)</f>
        <v/>
      </c>
      <c r="M54" s="20">
        <f>SUM(M55:M59)</f>
        <v/>
      </c>
      <c r="N54" s="20">
        <f>SUM(N55:N59)</f>
        <v/>
      </c>
      <c r="O54" s="20">
        <f>SUM(O55:O59)</f>
        <v/>
      </c>
      <c r="P54" s="21">
        <f>SUM(D54:O54)</f>
        <v/>
      </c>
      <c r="Q54" s="22" t="inlineStr">
        <is>
          <t>-&gt;</t>
        </is>
      </c>
    </row>
    <row r="55" hidden="1" outlineLevel="1" ht="12" customHeight="1">
      <c r="A55" s="23" t="inlineStr">
        <is>
          <t xml:space="preserve">            APPHOTOCAN</t>
        </is>
      </c>
      <c r="B55" s="4" t="n"/>
      <c r="C55" s="4" t="inlineStr">
        <is>
          <t>APPHOTOCAN</t>
        </is>
      </c>
      <c r="D55" s="5">
        <f>SUMIFS('g-expenses-sl'!$K:$K,'g-expenses-sl'!$A:$A,D$1,'g-expenses-sl'!$D:$D,"manufacturing",'g-expenses-sl'!$E:$E,$C55)</f>
        <v/>
      </c>
      <c r="E55" s="5">
        <f>SUMIFS('g-expenses-sl'!$K:$K,'g-expenses-sl'!$A:$A,E$1,'g-expenses-sl'!$D:$D,"manufacturing",'g-expenses-sl'!$E:$E,$C55)</f>
        <v/>
      </c>
      <c r="F55" s="5">
        <f>SUMIFS('g-expenses-sl'!$K:$K,'g-expenses-sl'!$A:$A,F$1,'g-expenses-sl'!$D:$D,"manufacturing",'g-expenses-sl'!$E:$E,$C55)</f>
        <v/>
      </c>
      <c r="G55" s="5">
        <f>SUMIFS('g-expenses-sl'!$K:$K,'g-expenses-sl'!$A:$A,G$1,'g-expenses-sl'!$D:$D,"manufacturing",'g-expenses-sl'!$E:$E,$C55)</f>
        <v/>
      </c>
      <c r="H55" s="5">
        <f>SUMIFS('g-expenses-sl'!$K:$K,'g-expenses-sl'!$A:$A,H$1,'g-expenses-sl'!$D:$D,"manufacturing",'g-expenses-sl'!$E:$E,$C55)</f>
        <v/>
      </c>
      <c r="I55" s="5">
        <f>SUMIFS('g-expenses-sl'!$K:$K,'g-expenses-sl'!$A:$A,I$1,'g-expenses-sl'!$D:$D,"manufacturing",'g-expenses-sl'!$E:$E,$C55)</f>
        <v/>
      </c>
      <c r="J55" s="5">
        <f>SUMIFS('g-expenses-sl'!$K:$K,'g-expenses-sl'!$A:$A,J$1,'g-expenses-sl'!$D:$D,"manufacturing",'g-expenses-sl'!$E:$E,$C55)</f>
        <v/>
      </c>
      <c r="K55" s="5">
        <f>SUMIFS('g-expenses-sl'!$K:$K,'g-expenses-sl'!$A:$A,K$1,'g-expenses-sl'!$D:$D,"manufacturing",'g-expenses-sl'!$E:$E,$C55)</f>
        <v/>
      </c>
      <c r="L55" s="5">
        <f>SUMIFS('g-expenses-sl'!$K:$K,'g-expenses-sl'!$A:$A,L$1,'g-expenses-sl'!$D:$D,"manufacturing",'g-expenses-sl'!$E:$E,$C55)</f>
        <v/>
      </c>
      <c r="M55" s="5">
        <f>SUMIFS('g-expenses-sl'!$K:$K,'g-expenses-sl'!$A:$A,M$1,'g-expenses-sl'!$D:$D,"manufacturing",'g-expenses-sl'!$E:$E,$C55)</f>
        <v/>
      </c>
      <c r="N55" s="5">
        <f>SUMIFS('g-expenses-sl'!$K:$K,'g-expenses-sl'!$A:$A,N$1,'g-expenses-sl'!$D:$D,"manufacturing",'g-expenses-sl'!$E:$E,$C55)</f>
        <v/>
      </c>
      <c r="O55" s="5">
        <f>SUMIFS('g-expenses-sl'!$K:$K,'g-expenses-sl'!$A:$A,O$1,'g-expenses-sl'!$D:$D,"manufacturing",'g-expenses-sl'!$E:$E,$C55)</f>
        <v/>
      </c>
      <c r="P55" s="24">
        <f>SUM(D55:O55)</f>
        <v/>
      </c>
      <c r="Q55" s="25" t="inlineStr">
        <is>
          <t>-&gt;</t>
        </is>
      </c>
    </row>
    <row r="56" hidden="1" outlineLevel="1" ht="12" customHeight="1">
      <c r="A56" s="23" t="inlineStr">
        <is>
          <t xml:space="preserve">            APPHOTOES</t>
        </is>
      </c>
      <c r="B56" s="4" t="n"/>
      <c r="C56" s="4" t="inlineStr">
        <is>
          <t>APPHOTOES</t>
        </is>
      </c>
      <c r="D56" s="5">
        <f>SUMIFS('g-expenses-sl'!$K:$K,'g-expenses-sl'!$A:$A,D$1,'g-expenses-sl'!$D:$D,"manufacturing",'g-expenses-sl'!$E:$E,$C56)</f>
        <v/>
      </c>
      <c r="E56" s="5">
        <f>SUMIFS('g-expenses-sl'!$K:$K,'g-expenses-sl'!$A:$A,E$1,'g-expenses-sl'!$D:$D,"manufacturing",'g-expenses-sl'!$E:$E,$C56)</f>
        <v/>
      </c>
      <c r="F56" s="5">
        <f>SUMIFS('g-expenses-sl'!$K:$K,'g-expenses-sl'!$A:$A,F$1,'g-expenses-sl'!$D:$D,"manufacturing",'g-expenses-sl'!$E:$E,$C56)</f>
        <v/>
      </c>
      <c r="G56" s="5">
        <f>SUMIFS('g-expenses-sl'!$K:$K,'g-expenses-sl'!$A:$A,G$1,'g-expenses-sl'!$D:$D,"manufacturing",'g-expenses-sl'!$E:$E,$C56)</f>
        <v/>
      </c>
      <c r="H56" s="5">
        <f>SUMIFS('g-expenses-sl'!$K:$K,'g-expenses-sl'!$A:$A,H$1,'g-expenses-sl'!$D:$D,"manufacturing",'g-expenses-sl'!$E:$E,$C56)</f>
        <v/>
      </c>
      <c r="I56" s="5">
        <f>SUMIFS('g-expenses-sl'!$K:$K,'g-expenses-sl'!$A:$A,I$1,'g-expenses-sl'!$D:$D,"manufacturing",'g-expenses-sl'!$E:$E,$C56)</f>
        <v/>
      </c>
      <c r="J56" s="5">
        <f>SUMIFS('g-expenses-sl'!$K:$K,'g-expenses-sl'!$A:$A,J$1,'g-expenses-sl'!$D:$D,"manufacturing",'g-expenses-sl'!$E:$E,$C56)</f>
        <v/>
      </c>
      <c r="K56" s="5">
        <f>SUMIFS('g-expenses-sl'!$K:$K,'g-expenses-sl'!$A:$A,K$1,'g-expenses-sl'!$D:$D,"manufacturing",'g-expenses-sl'!$E:$E,$C56)</f>
        <v/>
      </c>
      <c r="L56" s="5">
        <f>SUMIFS('g-expenses-sl'!$K:$K,'g-expenses-sl'!$A:$A,L$1,'g-expenses-sl'!$D:$D,"manufacturing",'g-expenses-sl'!$E:$E,$C56)</f>
        <v/>
      </c>
      <c r="M56" s="5">
        <f>SUMIFS('g-expenses-sl'!$K:$K,'g-expenses-sl'!$A:$A,M$1,'g-expenses-sl'!$D:$D,"manufacturing",'g-expenses-sl'!$E:$E,$C56)</f>
        <v/>
      </c>
      <c r="N56" s="5">
        <f>SUMIFS('g-expenses-sl'!$K:$K,'g-expenses-sl'!$A:$A,N$1,'g-expenses-sl'!$D:$D,"manufacturing",'g-expenses-sl'!$E:$E,$C56)</f>
        <v/>
      </c>
      <c r="O56" s="5">
        <f>SUMIFS('g-expenses-sl'!$K:$K,'g-expenses-sl'!$A:$A,O$1,'g-expenses-sl'!$D:$D,"manufacturing",'g-expenses-sl'!$E:$E,$C56)</f>
        <v/>
      </c>
      <c r="P56" s="24">
        <f>SUM(D56:O56)</f>
        <v/>
      </c>
      <c r="Q56" s="25" t="inlineStr">
        <is>
          <t>-&gt;</t>
        </is>
      </c>
    </row>
    <row r="57" hidden="1" outlineLevel="1" ht="12" customHeight="1">
      <c r="A57" s="23" t="inlineStr">
        <is>
          <t xml:space="preserve">            ARTLINK</t>
        </is>
      </c>
      <c r="B57" s="4" t="n"/>
      <c r="C57" s="4" t="inlineStr">
        <is>
          <t>ARTLINK</t>
        </is>
      </c>
      <c r="D57" s="5">
        <f>SUMIFS('g-expenses-sl'!$K:$K,'g-expenses-sl'!$A:$A,D$1,'g-expenses-sl'!$D:$D,"manufacturing",'g-expenses-sl'!$E:$E,$C57)</f>
        <v/>
      </c>
      <c r="E57" s="5">
        <f>SUMIFS('g-expenses-sl'!$K:$K,'g-expenses-sl'!$A:$A,E$1,'g-expenses-sl'!$D:$D,"manufacturing",'g-expenses-sl'!$E:$E,$C57)</f>
        <v/>
      </c>
      <c r="F57" s="5">
        <f>SUMIFS('g-expenses-sl'!$K:$K,'g-expenses-sl'!$A:$A,F$1,'g-expenses-sl'!$D:$D,"manufacturing",'g-expenses-sl'!$E:$E,$C57)</f>
        <v/>
      </c>
      <c r="G57" s="5">
        <f>SUMIFS('g-expenses-sl'!$K:$K,'g-expenses-sl'!$A:$A,G$1,'g-expenses-sl'!$D:$D,"manufacturing",'g-expenses-sl'!$E:$E,$C57)</f>
        <v/>
      </c>
      <c r="H57" s="5">
        <f>SUMIFS('g-expenses-sl'!$K:$K,'g-expenses-sl'!$A:$A,H$1,'g-expenses-sl'!$D:$D,"manufacturing",'g-expenses-sl'!$E:$E,$C57)</f>
        <v/>
      </c>
      <c r="I57" s="5">
        <f>SUMIFS('g-expenses-sl'!$K:$K,'g-expenses-sl'!$A:$A,I$1,'g-expenses-sl'!$D:$D,"manufacturing",'g-expenses-sl'!$E:$E,$C57)</f>
        <v/>
      </c>
      <c r="J57" s="5">
        <f>SUMIFS('g-expenses-sl'!$K:$K,'g-expenses-sl'!$A:$A,J$1,'g-expenses-sl'!$D:$D,"manufacturing",'g-expenses-sl'!$E:$E,$C57)</f>
        <v/>
      </c>
      <c r="K57" s="5">
        <f>SUMIFS('g-expenses-sl'!$K:$K,'g-expenses-sl'!$A:$A,K$1,'g-expenses-sl'!$D:$D,"manufacturing",'g-expenses-sl'!$E:$E,$C57)</f>
        <v/>
      </c>
      <c r="L57" s="5">
        <f>SUMIFS('g-expenses-sl'!$K:$K,'g-expenses-sl'!$A:$A,L$1,'g-expenses-sl'!$D:$D,"manufacturing",'g-expenses-sl'!$E:$E,$C57)</f>
        <v/>
      </c>
      <c r="M57" s="5">
        <f>SUMIFS('g-expenses-sl'!$K:$K,'g-expenses-sl'!$A:$A,M$1,'g-expenses-sl'!$D:$D,"manufacturing",'g-expenses-sl'!$E:$E,$C57)</f>
        <v/>
      </c>
      <c r="N57" s="5">
        <f>SUMIFS('g-expenses-sl'!$K:$K,'g-expenses-sl'!$A:$A,N$1,'g-expenses-sl'!$D:$D,"manufacturing",'g-expenses-sl'!$E:$E,$C57)</f>
        <v/>
      </c>
      <c r="O57" s="5">
        <f>SUMIFS('g-expenses-sl'!$K:$K,'g-expenses-sl'!$A:$A,O$1,'g-expenses-sl'!$D:$D,"manufacturing",'g-expenses-sl'!$E:$E,$C57)</f>
        <v/>
      </c>
      <c r="P57" s="24">
        <f>SUM(D57:O57)</f>
        <v/>
      </c>
      <c r="Q57" s="25" t="inlineStr">
        <is>
          <t>-&gt;</t>
        </is>
      </c>
    </row>
    <row r="58" hidden="1" outlineLevel="1" ht="12" customHeight="1">
      <c r="A58" s="23" t="inlineStr">
        <is>
          <t xml:space="preserve">            DCT</t>
        </is>
      </c>
      <c r="B58" s="4" t="n"/>
      <c r="C58" s="4" t="inlineStr">
        <is>
          <t>DCT</t>
        </is>
      </c>
      <c r="D58" s="5">
        <f>SUMIFS('g-expenses-sl'!$K:$K,'g-expenses-sl'!$A:$A,D$1,'g-expenses-sl'!$D:$D,"manufacturing",'g-expenses-sl'!$E:$E,$C58)</f>
        <v/>
      </c>
      <c r="E58" s="5">
        <f>SUMIFS('g-expenses-sl'!$K:$K,'g-expenses-sl'!$A:$A,E$1,'g-expenses-sl'!$D:$D,"manufacturing",'g-expenses-sl'!$E:$E,$C58)</f>
        <v/>
      </c>
      <c r="F58" s="5">
        <f>SUMIFS('g-expenses-sl'!$K:$K,'g-expenses-sl'!$A:$A,F$1,'g-expenses-sl'!$D:$D,"manufacturing",'g-expenses-sl'!$E:$E,$C58)</f>
        <v/>
      </c>
      <c r="G58" s="5">
        <f>SUMIFS('g-expenses-sl'!$K:$K,'g-expenses-sl'!$A:$A,G$1,'g-expenses-sl'!$D:$D,"manufacturing",'g-expenses-sl'!$E:$E,$C58)</f>
        <v/>
      </c>
      <c r="H58" s="5">
        <f>SUMIFS('g-expenses-sl'!$K:$K,'g-expenses-sl'!$A:$A,H$1,'g-expenses-sl'!$D:$D,"manufacturing",'g-expenses-sl'!$E:$E,$C58)</f>
        <v/>
      </c>
      <c r="I58" s="5">
        <f>SUMIFS('g-expenses-sl'!$K:$K,'g-expenses-sl'!$A:$A,I$1,'g-expenses-sl'!$D:$D,"manufacturing",'g-expenses-sl'!$E:$E,$C58)</f>
        <v/>
      </c>
      <c r="J58" s="5">
        <f>SUMIFS('g-expenses-sl'!$K:$K,'g-expenses-sl'!$A:$A,J$1,'g-expenses-sl'!$D:$D,"manufacturing",'g-expenses-sl'!$E:$E,$C58)</f>
        <v/>
      </c>
      <c r="K58" s="5">
        <f>SUMIFS('g-expenses-sl'!$K:$K,'g-expenses-sl'!$A:$A,K$1,'g-expenses-sl'!$D:$D,"manufacturing",'g-expenses-sl'!$E:$E,$C58)</f>
        <v/>
      </c>
      <c r="L58" s="5">
        <f>SUMIFS('g-expenses-sl'!$K:$K,'g-expenses-sl'!$A:$A,L$1,'g-expenses-sl'!$D:$D,"manufacturing",'g-expenses-sl'!$E:$E,$C58)</f>
        <v/>
      </c>
      <c r="M58" s="5">
        <f>SUMIFS('g-expenses-sl'!$K:$K,'g-expenses-sl'!$A:$A,M$1,'g-expenses-sl'!$D:$D,"manufacturing",'g-expenses-sl'!$E:$E,$C58)</f>
        <v/>
      </c>
      <c r="N58" s="5">
        <f>SUMIFS('g-expenses-sl'!$K:$K,'g-expenses-sl'!$A:$A,N$1,'g-expenses-sl'!$D:$D,"manufacturing",'g-expenses-sl'!$E:$E,$C58)</f>
        <v/>
      </c>
      <c r="O58" s="5">
        <f>SUMIFS('g-expenses-sl'!$K:$K,'g-expenses-sl'!$A:$A,O$1,'g-expenses-sl'!$D:$D,"manufacturing",'g-expenses-sl'!$E:$E,$C58)</f>
        <v/>
      </c>
      <c r="P58" s="24">
        <f>SUM(D58:O58)</f>
        <v/>
      </c>
      <c r="Q58" s="25" t="inlineStr">
        <is>
          <t>-&gt;</t>
        </is>
      </c>
    </row>
    <row r="59" hidden="1" outlineLevel="1" collapsed="1" ht="12" customHeight="1">
      <c r="A59" s="23" t="inlineStr">
        <is>
          <t xml:space="preserve">            PRESSING</t>
        </is>
      </c>
      <c r="B59" s="4" t="n"/>
      <c r="C59" s="4" t="inlineStr">
        <is>
          <t>PRESSING</t>
        </is>
      </c>
      <c r="D59" s="5">
        <f>SUMIFS('g-expenses-sl'!$K:$K,'g-expenses-sl'!$A:$A,D$1,'g-expenses-sl'!$D:$D,"manufacturing",'g-expenses-sl'!$E:$E,$C59)</f>
        <v/>
      </c>
      <c r="E59" s="5">
        <f>SUMIFS('g-expenses-sl'!$K:$K,'g-expenses-sl'!$A:$A,E$1,'g-expenses-sl'!$D:$D,"manufacturing",'g-expenses-sl'!$E:$E,$C59)</f>
        <v/>
      </c>
      <c r="F59" s="5">
        <f>SUMIFS('g-expenses-sl'!$K:$K,'g-expenses-sl'!$A:$A,F$1,'g-expenses-sl'!$D:$D,"manufacturing",'g-expenses-sl'!$E:$E,$C59)</f>
        <v/>
      </c>
      <c r="G59" s="5">
        <f>SUMIFS('g-expenses-sl'!$K:$K,'g-expenses-sl'!$A:$A,G$1,'g-expenses-sl'!$D:$D,"manufacturing",'g-expenses-sl'!$E:$E,$C59)</f>
        <v/>
      </c>
      <c r="H59" s="5">
        <f>SUMIFS('g-expenses-sl'!$K:$K,'g-expenses-sl'!$A:$A,H$1,'g-expenses-sl'!$D:$D,"manufacturing",'g-expenses-sl'!$E:$E,$C59)</f>
        <v/>
      </c>
      <c r="I59" s="5">
        <f>SUMIFS('g-expenses-sl'!$K:$K,'g-expenses-sl'!$A:$A,I$1,'g-expenses-sl'!$D:$D,"manufacturing",'g-expenses-sl'!$E:$E,$C59)</f>
        <v/>
      </c>
      <c r="J59" s="5">
        <f>SUMIFS('g-expenses-sl'!$K:$K,'g-expenses-sl'!$A:$A,J$1,'g-expenses-sl'!$D:$D,"manufacturing",'g-expenses-sl'!$E:$E,$C59)</f>
        <v/>
      </c>
      <c r="K59" s="5">
        <f>SUMIFS('g-expenses-sl'!$K:$K,'g-expenses-sl'!$A:$A,K$1,'g-expenses-sl'!$D:$D,"manufacturing",'g-expenses-sl'!$E:$E,$C59)</f>
        <v/>
      </c>
      <c r="L59" s="5">
        <f>SUMIFS('g-expenses-sl'!$K:$K,'g-expenses-sl'!$A:$A,L$1,'g-expenses-sl'!$D:$D,"manufacturing",'g-expenses-sl'!$E:$E,$C59)</f>
        <v/>
      </c>
      <c r="M59" s="5">
        <f>SUMIFS('g-expenses-sl'!$K:$K,'g-expenses-sl'!$A:$A,M$1,'g-expenses-sl'!$D:$D,"manufacturing",'g-expenses-sl'!$E:$E,$C59)</f>
        <v/>
      </c>
      <c r="N59" s="5">
        <f>SUMIFS('g-expenses-sl'!$K:$K,'g-expenses-sl'!$A:$A,N$1,'g-expenses-sl'!$D:$D,"manufacturing",'g-expenses-sl'!$E:$E,$C59)</f>
        <v/>
      </c>
      <c r="O59" s="5">
        <f>SUMIFS('g-expenses-sl'!$K:$K,'g-expenses-sl'!$A:$A,O$1,'g-expenses-sl'!$D:$D,"manufacturing",'g-expenses-sl'!$E:$E,$C59)</f>
        <v/>
      </c>
      <c r="P59" s="24">
        <f>SUM(D59:O59)</f>
        <v/>
      </c>
      <c r="Q59" s="25" t="inlineStr">
        <is>
          <t>-&gt;</t>
        </is>
      </c>
    </row>
    <row r="60" ht="12" customHeight="1">
      <c r="A60" s="31" t="inlineStr">
        <is>
          <t xml:space="preserve">        % Manufacturing / sales</t>
        </is>
      </c>
      <c r="B60" s="32" t="n"/>
      <c r="C60" s="33" t="inlineStr">
        <is>
          <t>% Manufacturing / sales</t>
        </is>
      </c>
      <c r="D60" s="34">
        <f>IFERROR(D54/D5,0)</f>
        <v/>
      </c>
      <c r="E60" s="34">
        <f>IFERROR(E54/E5,0)</f>
        <v/>
      </c>
      <c r="F60" s="34">
        <f>IFERROR(F54/F5,0)</f>
        <v/>
      </c>
      <c r="G60" s="34">
        <f>IFERROR(G54/G5,0)</f>
        <v/>
      </c>
      <c r="H60" s="34">
        <f>IFERROR(H54/H5,0)</f>
        <v/>
      </c>
      <c r="I60" s="34">
        <f>IFERROR(I54/I5,0)</f>
        <v/>
      </c>
      <c r="J60" s="34">
        <f>IFERROR(J54/J5,0)</f>
        <v/>
      </c>
      <c r="K60" s="34">
        <f>IFERROR(K54/K5,0)</f>
        <v/>
      </c>
      <c r="L60" s="34">
        <f>IFERROR(L54/L5,0)</f>
        <v/>
      </c>
      <c r="M60" s="34">
        <f>IFERROR(M54/M5,0)</f>
        <v/>
      </c>
      <c r="N60" s="34">
        <f>IFERROR(N54/N5,0)</f>
        <v/>
      </c>
      <c r="O60" s="34">
        <f>IFERROR(O54/O5,0)</f>
        <v/>
      </c>
      <c r="P60" s="35">
        <f>IFERROR(P54/P5,0)</f>
        <v/>
      </c>
      <c r="Q60" s="34" t="n"/>
    </row>
    <row r="61" ht="12" customHeight="1">
      <c r="A61" s="17" t="inlineStr">
        <is>
          <t xml:space="preserve">        Logistics (% sales)</t>
        </is>
      </c>
      <c r="B61" s="18" t="n"/>
      <c r="C61" s="19" t="inlineStr">
        <is>
          <t>Logistics (% sales)</t>
        </is>
      </c>
      <c r="D61" s="20">
        <f>SUM(D62:D66)</f>
        <v/>
      </c>
      <c r="E61" s="20">
        <f>SUM(E62:E66)</f>
        <v/>
      </c>
      <c r="F61" s="20">
        <f>SUM(F62:F66)</f>
        <v/>
      </c>
      <c r="G61" s="20">
        <f>SUM(G62:G66)</f>
        <v/>
      </c>
      <c r="H61" s="20">
        <f>SUM(H62:H66)</f>
        <v/>
      </c>
      <c r="I61" s="20">
        <f>SUM(I62:I66)</f>
        <v/>
      </c>
      <c r="J61" s="20">
        <f>SUM(J62:J66)</f>
        <v/>
      </c>
      <c r="K61" s="20">
        <f>SUM(K62:K66)</f>
        <v/>
      </c>
      <c r="L61" s="20">
        <f>SUM(L62:L66)</f>
        <v/>
      </c>
      <c r="M61" s="20">
        <f>SUM(M62:M66)</f>
        <v/>
      </c>
      <c r="N61" s="20">
        <f>SUM(N62:N66)</f>
        <v/>
      </c>
      <c r="O61" s="20">
        <f>SUM(O62:O66)</f>
        <v/>
      </c>
      <c r="P61" s="21">
        <f>SUM(D61:O61)</f>
        <v/>
      </c>
      <c r="Q61" s="22" t="inlineStr">
        <is>
          <t>-&gt;</t>
        </is>
      </c>
    </row>
    <row r="62" hidden="1" outlineLevel="1" ht="12" customHeight="1">
      <c r="A62" s="23" t="inlineStr">
        <is>
          <t xml:space="preserve">            CORREOS</t>
        </is>
      </c>
      <c r="B62" s="4" t="n"/>
      <c r="C62" s="4" t="inlineStr">
        <is>
          <t>CORREOS</t>
        </is>
      </c>
      <c r="D62" s="5">
        <f>SUMIFS('g-expenses-sl'!$K:$K,'g-expenses-sl'!$A:$A,D$1,'g-expenses-sl'!$D:$D,"logistics",'g-expenses-sl'!$E:$E,$C62)</f>
        <v/>
      </c>
      <c r="E62" s="5">
        <f>SUMIFS('g-expenses-sl'!$K:$K,'g-expenses-sl'!$A:$A,E$1,'g-expenses-sl'!$D:$D,"logistics",'g-expenses-sl'!$E:$E,$C62)</f>
        <v/>
      </c>
      <c r="F62" s="5">
        <f>SUMIFS('g-expenses-sl'!$K:$K,'g-expenses-sl'!$A:$A,F$1,'g-expenses-sl'!$D:$D,"logistics",'g-expenses-sl'!$E:$E,$C62)</f>
        <v/>
      </c>
      <c r="G62" s="5">
        <f>SUMIFS('g-expenses-sl'!$K:$K,'g-expenses-sl'!$A:$A,G$1,'g-expenses-sl'!$D:$D,"logistics",'g-expenses-sl'!$E:$E,$C62)</f>
        <v/>
      </c>
      <c r="H62" s="5">
        <f>SUMIFS('g-expenses-sl'!$K:$K,'g-expenses-sl'!$A:$A,H$1,'g-expenses-sl'!$D:$D,"logistics",'g-expenses-sl'!$E:$E,$C62)</f>
        <v/>
      </c>
      <c r="I62" s="5">
        <f>SUMIFS('g-expenses-sl'!$K:$K,'g-expenses-sl'!$A:$A,I$1,'g-expenses-sl'!$D:$D,"logistics",'g-expenses-sl'!$E:$E,$C62)</f>
        <v/>
      </c>
      <c r="J62" s="5">
        <f>SUMIFS('g-expenses-sl'!$K:$K,'g-expenses-sl'!$A:$A,J$1,'g-expenses-sl'!$D:$D,"logistics",'g-expenses-sl'!$E:$E,$C62)</f>
        <v/>
      </c>
      <c r="K62" s="5">
        <f>SUMIFS('g-expenses-sl'!$K:$K,'g-expenses-sl'!$A:$A,K$1,'g-expenses-sl'!$D:$D,"logistics",'g-expenses-sl'!$E:$E,$C62)</f>
        <v/>
      </c>
      <c r="L62" s="5">
        <f>SUMIFS('g-expenses-sl'!$K:$K,'g-expenses-sl'!$A:$A,L$1,'g-expenses-sl'!$D:$D,"logistics",'g-expenses-sl'!$E:$E,$C62)</f>
        <v/>
      </c>
      <c r="M62" s="5">
        <f>SUMIFS('g-expenses-sl'!$K:$K,'g-expenses-sl'!$A:$A,M$1,'g-expenses-sl'!$D:$D,"logistics",'g-expenses-sl'!$E:$E,$C62)</f>
        <v/>
      </c>
      <c r="N62" s="5">
        <f>SUMIFS('g-expenses-sl'!$K:$K,'g-expenses-sl'!$A:$A,N$1,'g-expenses-sl'!$D:$D,"logistics",'g-expenses-sl'!$E:$E,$C62)</f>
        <v/>
      </c>
      <c r="O62" s="5">
        <f>SUMIFS('g-expenses-sl'!$K:$K,'g-expenses-sl'!$A:$A,O$1,'g-expenses-sl'!$D:$D,"logistics",'g-expenses-sl'!$E:$E,$C62)</f>
        <v/>
      </c>
      <c r="P62" s="24">
        <f>SUM(D62:O62)</f>
        <v/>
      </c>
      <c r="Q62" s="25" t="inlineStr">
        <is>
          <t>-&gt;</t>
        </is>
      </c>
    </row>
    <row r="63" hidden="1" outlineLevel="1" ht="12" customHeight="1">
      <c r="A63" s="23" t="inlineStr">
        <is>
          <t xml:space="preserve">            CORREOSCAN</t>
        </is>
      </c>
      <c r="B63" s="4" t="n"/>
      <c r="C63" s="4" t="inlineStr">
        <is>
          <t>CORREOSCAN</t>
        </is>
      </c>
      <c r="D63" s="5">
        <f>SUMIFS('g-expenses-sl'!$K:$K,'g-expenses-sl'!$A:$A,D$1,'g-expenses-sl'!$D:$D,"logistics",'g-expenses-sl'!$E:$E,$C63)</f>
        <v/>
      </c>
      <c r="E63" s="5">
        <f>SUMIFS('g-expenses-sl'!$K:$K,'g-expenses-sl'!$A:$A,E$1,'g-expenses-sl'!$D:$D,"logistics",'g-expenses-sl'!$E:$E,$C63)</f>
        <v/>
      </c>
      <c r="F63" s="5">
        <f>SUMIFS('g-expenses-sl'!$K:$K,'g-expenses-sl'!$A:$A,F$1,'g-expenses-sl'!$D:$D,"logistics",'g-expenses-sl'!$E:$E,$C63)</f>
        <v/>
      </c>
      <c r="G63" s="5">
        <f>SUMIFS('g-expenses-sl'!$K:$K,'g-expenses-sl'!$A:$A,G$1,'g-expenses-sl'!$D:$D,"logistics",'g-expenses-sl'!$E:$E,$C63)</f>
        <v/>
      </c>
      <c r="H63" s="5">
        <f>SUMIFS('g-expenses-sl'!$K:$K,'g-expenses-sl'!$A:$A,H$1,'g-expenses-sl'!$D:$D,"logistics",'g-expenses-sl'!$E:$E,$C63)</f>
        <v/>
      </c>
      <c r="I63" s="5">
        <f>SUMIFS('g-expenses-sl'!$K:$K,'g-expenses-sl'!$A:$A,I$1,'g-expenses-sl'!$D:$D,"logistics",'g-expenses-sl'!$E:$E,$C63)</f>
        <v/>
      </c>
      <c r="J63" s="5">
        <f>SUMIFS('g-expenses-sl'!$K:$K,'g-expenses-sl'!$A:$A,J$1,'g-expenses-sl'!$D:$D,"logistics",'g-expenses-sl'!$E:$E,$C63)</f>
        <v/>
      </c>
      <c r="K63" s="5">
        <f>SUMIFS('g-expenses-sl'!$K:$K,'g-expenses-sl'!$A:$A,K$1,'g-expenses-sl'!$D:$D,"logistics",'g-expenses-sl'!$E:$E,$C63)</f>
        <v/>
      </c>
      <c r="L63" s="5">
        <f>SUMIFS('g-expenses-sl'!$K:$K,'g-expenses-sl'!$A:$A,L$1,'g-expenses-sl'!$D:$D,"logistics",'g-expenses-sl'!$E:$E,$C63)</f>
        <v/>
      </c>
      <c r="M63" s="5">
        <f>SUMIFS('g-expenses-sl'!$K:$K,'g-expenses-sl'!$A:$A,M$1,'g-expenses-sl'!$D:$D,"logistics",'g-expenses-sl'!$E:$E,$C63)</f>
        <v/>
      </c>
      <c r="N63" s="5">
        <f>SUMIFS('g-expenses-sl'!$K:$K,'g-expenses-sl'!$A:$A,N$1,'g-expenses-sl'!$D:$D,"logistics",'g-expenses-sl'!$E:$E,$C63)</f>
        <v/>
      </c>
      <c r="O63" s="5">
        <f>SUMIFS('g-expenses-sl'!$K:$K,'g-expenses-sl'!$A:$A,O$1,'g-expenses-sl'!$D:$D,"logistics",'g-expenses-sl'!$E:$E,$C63)</f>
        <v/>
      </c>
      <c r="P63" s="24">
        <f>SUM(D63:O63)</f>
        <v/>
      </c>
      <c r="Q63" s="25" t="inlineStr">
        <is>
          <t>-&gt;</t>
        </is>
      </c>
    </row>
    <row r="64" hidden="1" outlineLevel="1" ht="12" customHeight="1">
      <c r="A64" s="23" t="inlineStr">
        <is>
          <t xml:space="preserve">            GLS</t>
        </is>
      </c>
      <c r="B64" s="4" t="n"/>
      <c r="C64" s="4" t="inlineStr">
        <is>
          <t>GLS</t>
        </is>
      </c>
      <c r="D64" s="5">
        <f>SUMIFS('g-expenses-sl'!$K:$K,'g-expenses-sl'!$A:$A,D$1,'g-expenses-sl'!$D:$D,"logistics",'g-expenses-sl'!$E:$E,$C64)</f>
        <v/>
      </c>
      <c r="E64" s="5">
        <f>SUMIFS('g-expenses-sl'!$K:$K,'g-expenses-sl'!$A:$A,E$1,'g-expenses-sl'!$D:$D,"logistics",'g-expenses-sl'!$E:$E,$C64)</f>
        <v/>
      </c>
      <c r="F64" s="5">
        <f>SUMIFS('g-expenses-sl'!$K:$K,'g-expenses-sl'!$A:$A,F$1,'g-expenses-sl'!$D:$D,"logistics",'g-expenses-sl'!$E:$E,$C64)</f>
        <v/>
      </c>
      <c r="G64" s="5">
        <f>SUMIFS('g-expenses-sl'!$K:$K,'g-expenses-sl'!$A:$A,G$1,'g-expenses-sl'!$D:$D,"logistics",'g-expenses-sl'!$E:$E,$C64)</f>
        <v/>
      </c>
      <c r="H64" s="5">
        <f>SUMIFS('g-expenses-sl'!$K:$K,'g-expenses-sl'!$A:$A,H$1,'g-expenses-sl'!$D:$D,"logistics",'g-expenses-sl'!$E:$E,$C64)</f>
        <v/>
      </c>
      <c r="I64" s="5">
        <f>SUMIFS('g-expenses-sl'!$K:$K,'g-expenses-sl'!$A:$A,I$1,'g-expenses-sl'!$D:$D,"logistics",'g-expenses-sl'!$E:$E,$C64)</f>
        <v/>
      </c>
      <c r="J64" s="5">
        <f>SUMIFS('g-expenses-sl'!$K:$K,'g-expenses-sl'!$A:$A,J$1,'g-expenses-sl'!$D:$D,"logistics",'g-expenses-sl'!$E:$E,$C64)</f>
        <v/>
      </c>
      <c r="K64" s="5">
        <f>SUMIFS('g-expenses-sl'!$K:$K,'g-expenses-sl'!$A:$A,K$1,'g-expenses-sl'!$D:$D,"logistics",'g-expenses-sl'!$E:$E,$C64)</f>
        <v/>
      </c>
      <c r="L64" s="5">
        <f>SUMIFS('g-expenses-sl'!$K:$K,'g-expenses-sl'!$A:$A,L$1,'g-expenses-sl'!$D:$D,"logistics",'g-expenses-sl'!$E:$E,$C64)</f>
        <v/>
      </c>
      <c r="M64" s="5">
        <f>SUMIFS('g-expenses-sl'!$K:$K,'g-expenses-sl'!$A:$A,M$1,'g-expenses-sl'!$D:$D,"logistics",'g-expenses-sl'!$E:$E,$C64)</f>
        <v/>
      </c>
      <c r="N64" s="5">
        <f>SUMIFS('g-expenses-sl'!$K:$K,'g-expenses-sl'!$A:$A,N$1,'g-expenses-sl'!$D:$D,"logistics",'g-expenses-sl'!$E:$E,$C64)</f>
        <v/>
      </c>
      <c r="O64" s="5">
        <f>SUMIFS('g-expenses-sl'!$K:$K,'g-expenses-sl'!$A:$A,O$1,'g-expenses-sl'!$D:$D,"logistics",'g-expenses-sl'!$E:$E,$C64)</f>
        <v/>
      </c>
      <c r="P64" s="24">
        <f>SUM(D64:O64)</f>
        <v/>
      </c>
      <c r="Q64" s="25" t="inlineStr">
        <is>
          <t>-&gt;</t>
        </is>
      </c>
    </row>
    <row r="65" hidden="1" outlineLevel="1" ht="12" customHeight="1">
      <c r="A65" s="23" t="inlineStr">
        <is>
          <t xml:space="preserve">            SPRINGGDS</t>
        </is>
      </c>
      <c r="B65" s="4" t="n"/>
      <c r="C65" s="4" t="inlineStr">
        <is>
          <t>SPRINGGDS</t>
        </is>
      </c>
      <c r="D65" s="5">
        <f>SUMIFS('g-expenses-sl'!$K:$K,'g-expenses-sl'!$A:$A,D$1,'g-expenses-sl'!$D:$D,"logistics",'g-expenses-sl'!$E:$E,$C65)</f>
        <v/>
      </c>
      <c r="E65" s="5">
        <f>SUMIFS('g-expenses-sl'!$K:$K,'g-expenses-sl'!$A:$A,E$1,'g-expenses-sl'!$D:$D,"logistics",'g-expenses-sl'!$E:$E,$C65)</f>
        <v/>
      </c>
      <c r="F65" s="5">
        <f>SUMIFS('g-expenses-sl'!$K:$K,'g-expenses-sl'!$A:$A,F$1,'g-expenses-sl'!$D:$D,"logistics",'g-expenses-sl'!$E:$E,$C65)</f>
        <v/>
      </c>
      <c r="G65" s="5">
        <f>SUMIFS('g-expenses-sl'!$K:$K,'g-expenses-sl'!$A:$A,G$1,'g-expenses-sl'!$D:$D,"logistics",'g-expenses-sl'!$E:$E,$C65)</f>
        <v/>
      </c>
      <c r="H65" s="5">
        <f>SUMIFS('g-expenses-sl'!$K:$K,'g-expenses-sl'!$A:$A,H$1,'g-expenses-sl'!$D:$D,"logistics",'g-expenses-sl'!$E:$E,$C65)</f>
        <v/>
      </c>
      <c r="I65" s="5">
        <f>SUMIFS('g-expenses-sl'!$K:$K,'g-expenses-sl'!$A:$A,I$1,'g-expenses-sl'!$D:$D,"logistics",'g-expenses-sl'!$E:$E,$C65)</f>
        <v/>
      </c>
      <c r="J65" s="5">
        <f>SUMIFS('g-expenses-sl'!$K:$K,'g-expenses-sl'!$A:$A,J$1,'g-expenses-sl'!$D:$D,"logistics",'g-expenses-sl'!$E:$E,$C65)</f>
        <v/>
      </c>
      <c r="K65" s="5">
        <f>SUMIFS('g-expenses-sl'!$K:$K,'g-expenses-sl'!$A:$A,K$1,'g-expenses-sl'!$D:$D,"logistics",'g-expenses-sl'!$E:$E,$C65)</f>
        <v/>
      </c>
      <c r="L65" s="5">
        <f>SUMIFS('g-expenses-sl'!$K:$K,'g-expenses-sl'!$A:$A,L$1,'g-expenses-sl'!$D:$D,"logistics",'g-expenses-sl'!$E:$E,$C65)</f>
        <v/>
      </c>
      <c r="M65" s="5">
        <f>SUMIFS('g-expenses-sl'!$K:$K,'g-expenses-sl'!$A:$A,M$1,'g-expenses-sl'!$D:$D,"logistics",'g-expenses-sl'!$E:$E,$C65)</f>
        <v/>
      </c>
      <c r="N65" s="5">
        <f>SUMIFS('g-expenses-sl'!$K:$K,'g-expenses-sl'!$A:$A,N$1,'g-expenses-sl'!$D:$D,"logistics",'g-expenses-sl'!$E:$E,$C65)</f>
        <v/>
      </c>
      <c r="O65" s="5">
        <f>SUMIFS('g-expenses-sl'!$K:$K,'g-expenses-sl'!$A:$A,O$1,'g-expenses-sl'!$D:$D,"logistics",'g-expenses-sl'!$E:$E,$C65)</f>
        <v/>
      </c>
      <c r="P65" s="24">
        <f>SUM(D65:O65)</f>
        <v/>
      </c>
      <c r="Q65" s="25" t="inlineStr">
        <is>
          <t>-&gt;</t>
        </is>
      </c>
    </row>
    <row r="66" hidden="1" outlineLevel="1" collapsed="1" ht="12" customHeight="1">
      <c r="A66" s="23" t="inlineStr">
        <is>
          <t xml:space="preserve">            UPS</t>
        </is>
      </c>
      <c r="B66" s="4" t="n"/>
      <c r="C66" s="4" t="inlineStr">
        <is>
          <t>UPS</t>
        </is>
      </c>
      <c r="D66" s="5">
        <f>SUMIFS('g-expenses-sl'!$K:$K,'g-expenses-sl'!$A:$A,D$1,'g-expenses-sl'!$D:$D,"logistics",'g-expenses-sl'!$E:$E,$C66)</f>
        <v/>
      </c>
      <c r="E66" s="5">
        <f>SUMIFS('g-expenses-sl'!$K:$K,'g-expenses-sl'!$A:$A,E$1,'g-expenses-sl'!$D:$D,"logistics",'g-expenses-sl'!$E:$E,$C66)</f>
        <v/>
      </c>
      <c r="F66" s="5">
        <f>SUMIFS('g-expenses-sl'!$K:$K,'g-expenses-sl'!$A:$A,F$1,'g-expenses-sl'!$D:$D,"logistics",'g-expenses-sl'!$E:$E,$C66)</f>
        <v/>
      </c>
      <c r="G66" s="5">
        <f>SUMIFS('g-expenses-sl'!$K:$K,'g-expenses-sl'!$A:$A,G$1,'g-expenses-sl'!$D:$D,"logistics",'g-expenses-sl'!$E:$E,$C66)</f>
        <v/>
      </c>
      <c r="H66" s="5">
        <f>SUMIFS('g-expenses-sl'!$K:$K,'g-expenses-sl'!$A:$A,H$1,'g-expenses-sl'!$D:$D,"logistics",'g-expenses-sl'!$E:$E,$C66)</f>
        <v/>
      </c>
      <c r="I66" s="5">
        <f>SUMIFS('g-expenses-sl'!$K:$K,'g-expenses-sl'!$A:$A,I$1,'g-expenses-sl'!$D:$D,"logistics",'g-expenses-sl'!$E:$E,$C66)</f>
        <v/>
      </c>
      <c r="J66" s="5">
        <f>SUMIFS('g-expenses-sl'!$K:$K,'g-expenses-sl'!$A:$A,J$1,'g-expenses-sl'!$D:$D,"logistics",'g-expenses-sl'!$E:$E,$C66)</f>
        <v/>
      </c>
      <c r="K66" s="5">
        <f>SUMIFS('g-expenses-sl'!$K:$K,'g-expenses-sl'!$A:$A,K$1,'g-expenses-sl'!$D:$D,"logistics",'g-expenses-sl'!$E:$E,$C66)</f>
        <v/>
      </c>
      <c r="L66" s="5">
        <f>SUMIFS('g-expenses-sl'!$K:$K,'g-expenses-sl'!$A:$A,L$1,'g-expenses-sl'!$D:$D,"logistics",'g-expenses-sl'!$E:$E,$C66)</f>
        <v/>
      </c>
      <c r="M66" s="5">
        <f>SUMIFS('g-expenses-sl'!$K:$K,'g-expenses-sl'!$A:$A,M$1,'g-expenses-sl'!$D:$D,"logistics",'g-expenses-sl'!$E:$E,$C66)</f>
        <v/>
      </c>
      <c r="N66" s="5">
        <f>SUMIFS('g-expenses-sl'!$K:$K,'g-expenses-sl'!$A:$A,N$1,'g-expenses-sl'!$D:$D,"logistics",'g-expenses-sl'!$E:$E,$C66)</f>
        <v/>
      </c>
      <c r="O66" s="5">
        <f>SUMIFS('g-expenses-sl'!$K:$K,'g-expenses-sl'!$A:$A,O$1,'g-expenses-sl'!$D:$D,"logistics",'g-expenses-sl'!$E:$E,$C66)</f>
        <v/>
      </c>
      <c r="P66" s="24">
        <f>SUM(D66:O66)</f>
        <v/>
      </c>
      <c r="Q66" s="25" t="inlineStr">
        <is>
          <t>-&gt;</t>
        </is>
      </c>
    </row>
    <row r="67" ht="12" customHeight="1">
      <c r="A67" s="31" t="inlineStr">
        <is>
          <t xml:space="preserve">        % Logistics / sales</t>
        </is>
      </c>
      <c r="B67" s="32" t="n"/>
      <c r="C67" s="33" t="inlineStr">
        <is>
          <t>% Logistics / sales</t>
        </is>
      </c>
      <c r="D67" s="34">
        <f>IFERROR(D61/D5,0)</f>
        <v/>
      </c>
      <c r="E67" s="34">
        <f>IFERROR(E61/E5,0)</f>
        <v/>
      </c>
      <c r="F67" s="34">
        <f>IFERROR(F61/F5,0)</f>
        <v/>
      </c>
      <c r="G67" s="34">
        <f>IFERROR(G61/G5,0)</f>
        <v/>
      </c>
      <c r="H67" s="34">
        <f>IFERROR(H61/H5,0)</f>
        <v/>
      </c>
      <c r="I67" s="34">
        <f>IFERROR(I61/I5,0)</f>
        <v/>
      </c>
      <c r="J67" s="34">
        <f>IFERROR(J61/J5,0)</f>
        <v/>
      </c>
      <c r="K67" s="34">
        <f>IFERROR(K61/K5,0)</f>
        <v/>
      </c>
      <c r="L67" s="34">
        <f>IFERROR(L61/L5,0)</f>
        <v/>
      </c>
      <c r="M67" s="34">
        <f>IFERROR(M61/M5,0)</f>
        <v/>
      </c>
      <c r="N67" s="34">
        <f>IFERROR(N61/N5,0)</f>
        <v/>
      </c>
      <c r="O67" s="34">
        <f>IFERROR(O61/O5,0)</f>
        <v/>
      </c>
      <c r="P67" s="35">
        <f>IFERROR(P61/P5,0)</f>
        <v/>
      </c>
      <c r="Q67" s="34" t="n"/>
    </row>
    <row r="68" ht="12" customHeight="1">
      <c r="A68" s="17" t="inlineStr">
        <is>
          <t xml:space="preserve">        Royalties (% sales)</t>
        </is>
      </c>
      <c r="B68" s="18" t="n"/>
      <c r="C68" s="19" t="inlineStr">
        <is>
          <t>Royalties (% sales)</t>
        </is>
      </c>
      <c r="D68" s="20">
        <f>D69</f>
        <v/>
      </c>
      <c r="E68" s="20">
        <f>E69</f>
        <v/>
      </c>
      <c r="F68" s="20">
        <f>F69</f>
        <v/>
      </c>
      <c r="G68" s="20">
        <f>G69</f>
        <v/>
      </c>
      <c r="H68" s="20">
        <f>H69</f>
        <v/>
      </c>
      <c r="I68" s="20">
        <f>I69</f>
        <v/>
      </c>
      <c r="J68" s="20">
        <f>J69</f>
        <v/>
      </c>
      <c r="K68" s="20">
        <f>K69</f>
        <v/>
      </c>
      <c r="L68" s="20">
        <f>L69</f>
        <v/>
      </c>
      <c r="M68" s="20">
        <f>M69</f>
        <v/>
      </c>
      <c r="N68" s="20">
        <f>N69</f>
        <v/>
      </c>
      <c r="O68" s="20">
        <f>O69</f>
        <v/>
      </c>
      <c r="P68" s="21">
        <f>SUM(D68:O68)</f>
        <v/>
      </c>
      <c r="Q68" s="22" t="inlineStr">
        <is>
          <t>-&gt;</t>
        </is>
      </c>
    </row>
    <row r="69" hidden="1" outlineLevel="1" ht="12" customHeight="1">
      <c r="A69" s="23" t="inlineStr">
        <is>
          <t xml:space="preserve">            ROYALTIES</t>
        </is>
      </c>
      <c r="B69" s="4" t="n"/>
      <c r="C69" s="4" t="inlineStr">
        <is>
          <t>ROYALTIES</t>
        </is>
      </c>
      <c r="D69" s="5">
        <f>SUMIFS('g-expenses-sl'!$K:$K,'g-expenses-sl'!$A:$A,D$1,'g-expenses-sl'!$D:$D,"royalties",'g-expenses-sl'!$E:$E,$C69)</f>
        <v/>
      </c>
      <c r="E69" s="5">
        <f>SUMIFS('g-expenses-sl'!$K:$K,'g-expenses-sl'!$A:$A,E$1,'g-expenses-sl'!$D:$D,"royalties",'g-expenses-sl'!$E:$E,$C69)</f>
        <v/>
      </c>
      <c r="F69" s="5">
        <f>SUMIFS('g-expenses-sl'!$K:$K,'g-expenses-sl'!$A:$A,F$1,'g-expenses-sl'!$D:$D,"royalties",'g-expenses-sl'!$E:$E,$C69)</f>
        <v/>
      </c>
      <c r="G69" s="5">
        <f>SUMIFS('g-expenses-sl'!$K:$K,'g-expenses-sl'!$A:$A,G$1,'g-expenses-sl'!$D:$D,"royalties",'g-expenses-sl'!$E:$E,$C69)</f>
        <v/>
      </c>
      <c r="H69" s="5">
        <f>SUMIFS('g-expenses-sl'!$K:$K,'g-expenses-sl'!$A:$A,H$1,'g-expenses-sl'!$D:$D,"royalties",'g-expenses-sl'!$E:$E,$C69)</f>
        <v/>
      </c>
      <c r="I69" s="5">
        <f>SUMIFS('g-expenses-sl'!$K:$K,'g-expenses-sl'!$A:$A,I$1,'g-expenses-sl'!$D:$D,"royalties",'g-expenses-sl'!$E:$E,$C69)</f>
        <v/>
      </c>
      <c r="J69" s="5">
        <f>SUMIFS('g-expenses-sl'!$K:$K,'g-expenses-sl'!$A:$A,J$1,'g-expenses-sl'!$D:$D,"royalties",'g-expenses-sl'!$E:$E,$C69)</f>
        <v/>
      </c>
      <c r="K69" s="5">
        <f>SUMIFS('g-expenses-sl'!$K:$K,'g-expenses-sl'!$A:$A,K$1,'g-expenses-sl'!$D:$D,"royalties",'g-expenses-sl'!$E:$E,$C69)</f>
        <v/>
      </c>
      <c r="L69" s="5">
        <f>SUMIFS('g-expenses-sl'!$K:$K,'g-expenses-sl'!$A:$A,L$1,'g-expenses-sl'!$D:$D,"royalties",'g-expenses-sl'!$E:$E,$C69)</f>
        <v/>
      </c>
      <c r="M69" s="5">
        <f>SUMIFS('g-expenses-sl'!$K:$K,'g-expenses-sl'!$A:$A,M$1,'g-expenses-sl'!$D:$D,"royalties",'g-expenses-sl'!$E:$E,$C69)</f>
        <v/>
      </c>
      <c r="N69" s="5">
        <f>SUMIFS('g-expenses-sl'!$K:$K,'g-expenses-sl'!$A:$A,N$1,'g-expenses-sl'!$D:$D,"royalties",'g-expenses-sl'!$E:$E,$C69)</f>
        <v/>
      </c>
      <c r="O69" s="5">
        <f>SUMIFS('g-expenses-sl'!$K:$K,'g-expenses-sl'!$A:$A,O$1,'g-expenses-sl'!$D:$D,"royalties",'g-expenses-sl'!$E:$E,$C69)</f>
        <v/>
      </c>
      <c r="P69" s="24">
        <f>SUM(D69:O69)</f>
        <v/>
      </c>
      <c r="Q69" s="25" t="inlineStr">
        <is>
          <t>-&gt;</t>
        </is>
      </c>
    </row>
    <row r="70" hidden="1" outlineLevel="1" ht="12" customHeight="1">
      <c r="A70" s="23" t="inlineStr">
        <is>
          <t xml:space="preserve">            eu</t>
        </is>
      </c>
      <c r="B70" s="4" t="n"/>
      <c r="C70" s="4" t="inlineStr">
        <is>
          <t>eu</t>
        </is>
      </c>
      <c r="D70" s="5">
        <f>SUMIFS('i-royalties-scope-sl'!$C:$C,'i-royalties-scope-sl'!$A:$A,D$1,'i-royalties-scope-sl'!$B:$B,"eu")</f>
        <v/>
      </c>
      <c r="E70" s="5">
        <f>SUMIFS('i-royalties-scope-sl'!$C:$C,'i-royalties-scope-sl'!$A:$A,E$1,'i-royalties-scope-sl'!$B:$B,"eu")</f>
        <v/>
      </c>
      <c r="F70" s="5">
        <f>SUMIFS('i-royalties-scope-sl'!$C:$C,'i-royalties-scope-sl'!$A:$A,F$1,'i-royalties-scope-sl'!$B:$B,"eu")</f>
        <v/>
      </c>
      <c r="G70" s="5">
        <f>SUMIFS('i-royalties-scope-sl'!$C:$C,'i-royalties-scope-sl'!$A:$A,G$1,'i-royalties-scope-sl'!$B:$B,"eu")</f>
        <v/>
      </c>
      <c r="H70" s="5">
        <f>SUMIFS('i-royalties-scope-sl'!$C:$C,'i-royalties-scope-sl'!$A:$A,H$1,'i-royalties-scope-sl'!$B:$B,"eu")</f>
        <v/>
      </c>
      <c r="I70" s="5">
        <f>SUMIFS('i-royalties-scope-sl'!$C:$C,'i-royalties-scope-sl'!$A:$A,I$1,'i-royalties-scope-sl'!$B:$B,"eu")</f>
        <v/>
      </c>
      <c r="J70" s="5">
        <f>SUMIFS('i-royalties-scope-sl'!$C:$C,'i-royalties-scope-sl'!$A:$A,J$1,'i-royalties-scope-sl'!$B:$B,"eu")</f>
        <v/>
      </c>
      <c r="K70" s="5">
        <f>SUMIFS('i-royalties-scope-sl'!$C:$C,'i-royalties-scope-sl'!$A:$A,K$1,'i-royalties-scope-sl'!$B:$B,"eu")</f>
        <v/>
      </c>
      <c r="L70" s="5">
        <f>SUMIFS('i-royalties-scope-sl'!$C:$C,'i-royalties-scope-sl'!$A:$A,L$1,'i-royalties-scope-sl'!$B:$B,"eu")</f>
        <v/>
      </c>
      <c r="M70" s="5">
        <f>SUMIFS('i-royalties-scope-sl'!$C:$C,'i-royalties-scope-sl'!$A:$A,M$1,'i-royalties-scope-sl'!$B:$B,"eu")</f>
        <v/>
      </c>
      <c r="N70" s="5">
        <f>SUMIFS('i-royalties-scope-sl'!$C:$C,'i-royalties-scope-sl'!$A:$A,N$1,'i-royalties-scope-sl'!$B:$B,"eu")</f>
        <v/>
      </c>
      <c r="O70" s="5">
        <f>SUMIFS('i-royalties-scope-sl'!$C:$C,'i-royalties-scope-sl'!$A:$A,O$1,'i-royalties-scope-sl'!$B:$B,"eu")</f>
        <v/>
      </c>
      <c r="P70" s="24">
        <f>SUM(D70:O70)</f>
        <v/>
      </c>
      <c r="Q70" s="5" t="n"/>
    </row>
    <row r="71" hidden="1" outlineLevel="1" ht="12" customHeight="1">
      <c r="A71" s="23" t="inlineStr">
        <is>
          <t xml:space="preserve">            uk</t>
        </is>
      </c>
      <c r="B71" s="4" t="n"/>
      <c r="C71" s="4" t="inlineStr">
        <is>
          <t>uk</t>
        </is>
      </c>
      <c r="D71" s="5">
        <f>SUMIFS('i-royalties-scope-sl'!$C:$C,'i-royalties-scope-sl'!$A:$A,D$1,'i-royalties-scope-sl'!$B:$B,"uk")</f>
        <v/>
      </c>
      <c r="E71" s="5">
        <f>SUMIFS('i-royalties-scope-sl'!$C:$C,'i-royalties-scope-sl'!$A:$A,E$1,'i-royalties-scope-sl'!$B:$B,"uk")</f>
        <v/>
      </c>
      <c r="F71" s="5">
        <f>SUMIFS('i-royalties-scope-sl'!$C:$C,'i-royalties-scope-sl'!$A:$A,F$1,'i-royalties-scope-sl'!$B:$B,"uk")</f>
        <v/>
      </c>
      <c r="G71" s="5">
        <f>SUMIFS('i-royalties-scope-sl'!$C:$C,'i-royalties-scope-sl'!$A:$A,G$1,'i-royalties-scope-sl'!$B:$B,"uk")</f>
        <v/>
      </c>
      <c r="H71" s="5">
        <f>SUMIFS('i-royalties-scope-sl'!$C:$C,'i-royalties-scope-sl'!$A:$A,H$1,'i-royalties-scope-sl'!$B:$B,"uk")</f>
        <v/>
      </c>
      <c r="I71" s="5">
        <f>SUMIFS('i-royalties-scope-sl'!$C:$C,'i-royalties-scope-sl'!$A:$A,I$1,'i-royalties-scope-sl'!$B:$B,"uk")</f>
        <v/>
      </c>
      <c r="J71" s="5">
        <f>SUMIFS('i-royalties-scope-sl'!$C:$C,'i-royalties-scope-sl'!$A:$A,J$1,'i-royalties-scope-sl'!$B:$B,"uk")</f>
        <v/>
      </c>
      <c r="K71" s="5">
        <f>SUMIFS('i-royalties-scope-sl'!$C:$C,'i-royalties-scope-sl'!$A:$A,K$1,'i-royalties-scope-sl'!$B:$B,"uk")</f>
        <v/>
      </c>
      <c r="L71" s="5">
        <f>SUMIFS('i-royalties-scope-sl'!$C:$C,'i-royalties-scope-sl'!$A:$A,L$1,'i-royalties-scope-sl'!$B:$B,"uk")</f>
        <v/>
      </c>
      <c r="M71" s="5">
        <f>SUMIFS('i-royalties-scope-sl'!$C:$C,'i-royalties-scope-sl'!$A:$A,M$1,'i-royalties-scope-sl'!$B:$B,"uk")</f>
        <v/>
      </c>
      <c r="N71" s="5">
        <f>SUMIFS('i-royalties-scope-sl'!$C:$C,'i-royalties-scope-sl'!$A:$A,N$1,'i-royalties-scope-sl'!$B:$B,"uk")</f>
        <v/>
      </c>
      <c r="O71" s="5">
        <f>SUMIFS('i-royalties-scope-sl'!$C:$C,'i-royalties-scope-sl'!$A:$A,O$1,'i-royalties-scope-sl'!$B:$B,"uk")</f>
        <v/>
      </c>
      <c r="P71" s="24">
        <f>SUM(D71:O71)</f>
        <v/>
      </c>
      <c r="Q71" s="5" t="n"/>
    </row>
    <row r="72" hidden="1" outlineLevel="1" collapsed="1" ht="12" customHeight="1">
      <c r="A72" s="23" t="inlineStr">
        <is>
          <t xml:space="preserve">            us</t>
        </is>
      </c>
      <c r="B72" s="4" t="n"/>
      <c r="C72" s="4" t="inlineStr">
        <is>
          <t>us</t>
        </is>
      </c>
      <c r="D72" s="5">
        <f>SUMIFS('i-royalties-scope-sl'!$C:$C,'i-royalties-scope-sl'!$A:$A,D$1,'i-royalties-scope-sl'!$B:$B,"us")</f>
        <v/>
      </c>
      <c r="E72" s="5">
        <f>SUMIFS('i-royalties-scope-sl'!$C:$C,'i-royalties-scope-sl'!$A:$A,E$1,'i-royalties-scope-sl'!$B:$B,"us")</f>
        <v/>
      </c>
      <c r="F72" s="5">
        <f>SUMIFS('i-royalties-scope-sl'!$C:$C,'i-royalties-scope-sl'!$A:$A,F$1,'i-royalties-scope-sl'!$B:$B,"us")</f>
        <v/>
      </c>
      <c r="G72" s="5">
        <f>SUMIFS('i-royalties-scope-sl'!$C:$C,'i-royalties-scope-sl'!$A:$A,G$1,'i-royalties-scope-sl'!$B:$B,"us")</f>
        <v/>
      </c>
      <c r="H72" s="5">
        <f>SUMIFS('i-royalties-scope-sl'!$C:$C,'i-royalties-scope-sl'!$A:$A,H$1,'i-royalties-scope-sl'!$B:$B,"us")</f>
        <v/>
      </c>
      <c r="I72" s="5">
        <f>SUMIFS('i-royalties-scope-sl'!$C:$C,'i-royalties-scope-sl'!$A:$A,I$1,'i-royalties-scope-sl'!$B:$B,"us")</f>
        <v/>
      </c>
      <c r="J72" s="5">
        <f>SUMIFS('i-royalties-scope-sl'!$C:$C,'i-royalties-scope-sl'!$A:$A,J$1,'i-royalties-scope-sl'!$B:$B,"us")</f>
        <v/>
      </c>
      <c r="K72" s="5">
        <f>SUMIFS('i-royalties-scope-sl'!$C:$C,'i-royalties-scope-sl'!$A:$A,K$1,'i-royalties-scope-sl'!$B:$B,"us")</f>
        <v/>
      </c>
      <c r="L72" s="5">
        <f>SUMIFS('i-royalties-scope-sl'!$C:$C,'i-royalties-scope-sl'!$A:$A,L$1,'i-royalties-scope-sl'!$B:$B,"us")</f>
        <v/>
      </c>
      <c r="M72" s="5">
        <f>SUMIFS('i-royalties-scope-sl'!$C:$C,'i-royalties-scope-sl'!$A:$A,M$1,'i-royalties-scope-sl'!$B:$B,"us")</f>
        <v/>
      </c>
      <c r="N72" s="5">
        <f>SUMIFS('i-royalties-scope-sl'!$C:$C,'i-royalties-scope-sl'!$A:$A,N$1,'i-royalties-scope-sl'!$B:$B,"us")</f>
        <v/>
      </c>
      <c r="O72" s="5">
        <f>SUMIFS('i-royalties-scope-sl'!$C:$C,'i-royalties-scope-sl'!$A:$A,O$1,'i-royalties-scope-sl'!$B:$B,"us")</f>
        <v/>
      </c>
      <c r="P72" s="24">
        <f>SUM(D72:O72)</f>
        <v/>
      </c>
      <c r="Q72" s="5" t="n"/>
    </row>
    <row r="73" ht="12" customHeight="1">
      <c r="A73" s="31" t="inlineStr">
        <is>
          <t xml:space="preserve">        % Royalties / sales</t>
        </is>
      </c>
      <c r="B73" s="32" t="n"/>
      <c r="C73" s="33" t="inlineStr">
        <is>
          <t>% Royalties / sales</t>
        </is>
      </c>
      <c r="D73" s="34">
        <f>IFERROR(D68/D5,0)</f>
        <v/>
      </c>
      <c r="E73" s="34">
        <f>IFERROR(E68/E5,0)</f>
        <v/>
      </c>
      <c r="F73" s="34">
        <f>IFERROR(F68/F5,0)</f>
        <v/>
      </c>
      <c r="G73" s="34">
        <f>IFERROR(G68/G5,0)</f>
        <v/>
      </c>
      <c r="H73" s="34">
        <f>IFERROR(H68/H5,0)</f>
        <v/>
      </c>
      <c r="I73" s="34">
        <f>IFERROR(I68/I5,0)</f>
        <v/>
      </c>
      <c r="J73" s="34">
        <f>IFERROR(J68/J5,0)</f>
        <v/>
      </c>
      <c r="K73" s="34">
        <f>IFERROR(K68/K5,0)</f>
        <v/>
      </c>
      <c r="L73" s="34">
        <f>IFERROR(L68/L5,0)</f>
        <v/>
      </c>
      <c r="M73" s="34">
        <f>IFERROR(M68/M5,0)</f>
        <v/>
      </c>
      <c r="N73" s="34">
        <f>IFERROR(N68/N5,0)</f>
        <v/>
      </c>
      <c r="O73" s="34">
        <f>IFERROR(O68/O5,0)</f>
        <v/>
      </c>
      <c r="P73" s="35">
        <f>IFERROR(P68/P5,0)</f>
        <v/>
      </c>
      <c r="Q73" s="34" t="n"/>
    </row>
    <row r="74" ht="12" customHeight="1">
      <c r="A74" s="17" t="inlineStr">
        <is>
          <t xml:space="preserve">        Payment fees (% sales)</t>
        </is>
      </c>
      <c r="B74" s="18" t="n"/>
      <c r="C74" s="19" t="inlineStr">
        <is>
          <t>Payment fees (% sales)</t>
        </is>
      </c>
      <c r="D74" s="20">
        <f>SUM(D75:D76)</f>
        <v/>
      </c>
      <c r="E74" s="20">
        <f>SUM(E75:E76)</f>
        <v/>
      </c>
      <c r="F74" s="20">
        <f>SUM(F75:F76)</f>
        <v/>
      </c>
      <c r="G74" s="20">
        <f>SUM(G75:G76)</f>
        <v/>
      </c>
      <c r="H74" s="20">
        <f>SUM(H75:H76)</f>
        <v/>
      </c>
      <c r="I74" s="20">
        <f>SUM(I75:I76)</f>
        <v/>
      </c>
      <c r="J74" s="20">
        <f>SUM(J75:J76)</f>
        <v/>
      </c>
      <c r="K74" s="20">
        <f>SUM(K75:K76)</f>
        <v/>
      </c>
      <c r="L74" s="20">
        <f>SUM(L75:L76)</f>
        <v/>
      </c>
      <c r="M74" s="20">
        <f>SUM(M75:M76)</f>
        <v/>
      </c>
      <c r="N74" s="20">
        <f>SUM(N75:N76)</f>
        <v/>
      </c>
      <c r="O74" s="20">
        <f>SUM(O75:O76)</f>
        <v/>
      </c>
      <c r="P74" s="21">
        <f>SUM(D74:O74)</f>
        <v/>
      </c>
      <c r="Q74" s="22" t="inlineStr">
        <is>
          <t>-&gt;</t>
        </is>
      </c>
    </row>
    <row r="75" hidden="1" outlineLevel="1" ht="12" customHeight="1">
      <c r="A75" s="23" t="inlineStr">
        <is>
          <t xml:space="preserve">            SHOPIFY</t>
        </is>
      </c>
      <c r="B75" s="4" t="n"/>
      <c r="C75" s="4" t="inlineStr">
        <is>
          <t>SHOPIFY</t>
        </is>
      </c>
      <c r="D75" s="5">
        <f>SUMIFS('g-payment-fees-sl'!$H:$H,'g-payment-fees-sl'!$A:$A,D$1,'g-payment-fees-sl'!$C:$C,$C75)</f>
        <v/>
      </c>
      <c r="E75" s="5">
        <f>SUMIFS('g-payment-fees-sl'!$H:$H,'g-payment-fees-sl'!$A:$A,E$1,'g-payment-fees-sl'!$C:$C,$C75)</f>
        <v/>
      </c>
      <c r="F75" s="5">
        <f>SUMIFS('g-payment-fees-sl'!$H:$H,'g-payment-fees-sl'!$A:$A,F$1,'g-payment-fees-sl'!$C:$C,$C75)</f>
        <v/>
      </c>
      <c r="G75" s="5">
        <f>SUMIFS('g-payment-fees-sl'!$H:$H,'g-payment-fees-sl'!$A:$A,G$1,'g-payment-fees-sl'!$C:$C,$C75)</f>
        <v/>
      </c>
      <c r="H75" s="5">
        <f>SUMIFS('g-payment-fees-sl'!$H:$H,'g-payment-fees-sl'!$A:$A,H$1,'g-payment-fees-sl'!$C:$C,$C75)</f>
        <v/>
      </c>
      <c r="I75" s="5">
        <f>SUMIFS('g-payment-fees-sl'!$H:$H,'g-payment-fees-sl'!$A:$A,I$1,'g-payment-fees-sl'!$C:$C,$C75)</f>
        <v/>
      </c>
      <c r="J75" s="5">
        <f>SUMIFS('g-payment-fees-sl'!$H:$H,'g-payment-fees-sl'!$A:$A,J$1,'g-payment-fees-sl'!$C:$C,$C75)</f>
        <v/>
      </c>
      <c r="K75" s="5">
        <f>SUMIFS('g-payment-fees-sl'!$H:$H,'g-payment-fees-sl'!$A:$A,K$1,'g-payment-fees-sl'!$C:$C,$C75)</f>
        <v/>
      </c>
      <c r="L75" s="5">
        <f>SUMIFS('g-payment-fees-sl'!$H:$H,'g-payment-fees-sl'!$A:$A,L$1,'g-payment-fees-sl'!$C:$C,$C75)</f>
        <v/>
      </c>
      <c r="M75" s="5">
        <f>SUMIFS('g-payment-fees-sl'!$H:$H,'g-payment-fees-sl'!$A:$A,M$1,'g-payment-fees-sl'!$C:$C,$C75)</f>
        <v/>
      </c>
      <c r="N75" s="5">
        <f>SUMIFS('g-payment-fees-sl'!$H:$H,'g-payment-fees-sl'!$A:$A,N$1,'g-payment-fees-sl'!$C:$C,$C75)</f>
        <v/>
      </c>
      <c r="O75" s="5">
        <f>SUMIFS('g-payment-fees-sl'!$H:$H,'g-payment-fees-sl'!$A:$A,O$1,'g-payment-fees-sl'!$C:$C,$C75)</f>
        <v/>
      </c>
      <c r="P75" s="24">
        <f>SUM(D75:O75)</f>
        <v/>
      </c>
      <c r="Q75" s="25" t="inlineStr">
        <is>
          <t>-&gt;</t>
        </is>
      </c>
    </row>
    <row r="76" hidden="1" outlineLevel="1" collapsed="1" ht="12" customHeight="1">
      <c r="A76" s="23" t="inlineStr">
        <is>
          <t xml:space="preserve">            PAYPAL</t>
        </is>
      </c>
      <c r="B76" s="4" t="n"/>
      <c r="C76" s="4" t="inlineStr">
        <is>
          <t>PAYPAL</t>
        </is>
      </c>
      <c r="D76" s="5">
        <f>SUMIFS('g-payment-fees-sl'!$H:$H,'g-payment-fees-sl'!$A:$A,D$1,'g-payment-fees-sl'!$C:$C,$C76)</f>
        <v/>
      </c>
      <c r="E76" s="5">
        <f>SUMIFS('g-payment-fees-sl'!$H:$H,'g-payment-fees-sl'!$A:$A,E$1,'g-payment-fees-sl'!$C:$C,$C76)</f>
        <v/>
      </c>
      <c r="F76" s="5">
        <f>SUMIFS('g-payment-fees-sl'!$H:$H,'g-payment-fees-sl'!$A:$A,F$1,'g-payment-fees-sl'!$C:$C,$C76)</f>
        <v/>
      </c>
      <c r="G76" s="5">
        <f>SUMIFS('g-payment-fees-sl'!$H:$H,'g-payment-fees-sl'!$A:$A,G$1,'g-payment-fees-sl'!$C:$C,$C76)</f>
        <v/>
      </c>
      <c r="H76" s="5">
        <f>SUMIFS('g-payment-fees-sl'!$H:$H,'g-payment-fees-sl'!$A:$A,H$1,'g-payment-fees-sl'!$C:$C,$C76)</f>
        <v/>
      </c>
      <c r="I76" s="5">
        <f>SUMIFS('g-payment-fees-sl'!$H:$H,'g-payment-fees-sl'!$A:$A,I$1,'g-payment-fees-sl'!$C:$C,$C76)</f>
        <v/>
      </c>
      <c r="J76" s="5">
        <f>SUMIFS('g-payment-fees-sl'!$H:$H,'g-payment-fees-sl'!$A:$A,J$1,'g-payment-fees-sl'!$C:$C,$C76)</f>
        <v/>
      </c>
      <c r="K76" s="5">
        <f>SUMIFS('g-payment-fees-sl'!$H:$H,'g-payment-fees-sl'!$A:$A,K$1,'g-payment-fees-sl'!$C:$C,$C76)</f>
        <v/>
      </c>
      <c r="L76" s="5">
        <f>SUMIFS('g-payment-fees-sl'!$H:$H,'g-payment-fees-sl'!$A:$A,L$1,'g-payment-fees-sl'!$C:$C,$C76)</f>
        <v/>
      </c>
      <c r="M76" s="5">
        <f>SUMIFS('g-payment-fees-sl'!$H:$H,'g-payment-fees-sl'!$A:$A,M$1,'g-payment-fees-sl'!$C:$C,$C76)</f>
        <v/>
      </c>
      <c r="N76" s="5">
        <f>SUMIFS('g-payment-fees-sl'!$H:$H,'g-payment-fees-sl'!$A:$A,N$1,'g-payment-fees-sl'!$C:$C,$C76)</f>
        <v/>
      </c>
      <c r="O76" s="5">
        <f>SUMIFS('g-payment-fees-sl'!$H:$H,'g-payment-fees-sl'!$A:$A,O$1,'g-payment-fees-sl'!$C:$C,$C76)</f>
        <v/>
      </c>
      <c r="P76" s="24">
        <f>SUM(D76:O76)</f>
        <v/>
      </c>
      <c r="Q76" s="25" t="inlineStr">
        <is>
          <t>-&gt;</t>
        </is>
      </c>
    </row>
    <row r="77" ht="12" customHeight="1">
      <c r="A77" s="31" t="inlineStr">
        <is>
          <t xml:space="preserve">        % Payment fees / sales</t>
        </is>
      </c>
      <c r="B77" s="32" t="n"/>
      <c r="C77" s="33" t="inlineStr">
        <is>
          <t>% Payment fees / sales</t>
        </is>
      </c>
      <c r="D77" s="34">
        <f>IFERROR(D74/D5,0)</f>
        <v/>
      </c>
      <c r="E77" s="34">
        <f>IFERROR(E74/E5,0)</f>
        <v/>
      </c>
      <c r="F77" s="34">
        <f>IFERROR(F74/F5,0)</f>
        <v/>
      </c>
      <c r="G77" s="34">
        <f>IFERROR(G74/G5,0)</f>
        <v/>
      </c>
      <c r="H77" s="34">
        <f>IFERROR(H74/H5,0)</f>
        <v/>
      </c>
      <c r="I77" s="34">
        <f>IFERROR(I74/I5,0)</f>
        <v/>
      </c>
      <c r="J77" s="34">
        <f>IFERROR(J74/J5,0)</f>
        <v/>
      </c>
      <c r="K77" s="34">
        <f>IFERROR(K74/K5,0)</f>
        <v/>
      </c>
      <c r="L77" s="34">
        <f>IFERROR(L74/L5,0)</f>
        <v/>
      </c>
      <c r="M77" s="34">
        <f>IFERROR(M74/M5,0)</f>
        <v/>
      </c>
      <c r="N77" s="34">
        <f>IFERROR(N74/N5,0)</f>
        <v/>
      </c>
      <c r="O77" s="34">
        <f>IFERROR(O74/O5,0)</f>
        <v/>
      </c>
      <c r="P77" s="35">
        <f>IFERROR(P74/P5,0)</f>
        <v/>
      </c>
      <c r="Q77" s="34" t="n"/>
    </row>
    <row r="78" ht="12" customHeight="1">
      <c r="A78" s="4" t="n"/>
      <c r="B78" s="4" t="n"/>
      <c r="C78" s="4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24">
        <f>SUM(D78:O78)</f>
        <v/>
      </c>
      <c r="Q78" s="5" t="n"/>
    </row>
    <row r="79" ht="12" customHeight="1">
      <c r="A79" s="36" t="inlineStr">
        <is>
          <t>GROSS MARGIN (SALES-MANUFACTURING)</t>
        </is>
      </c>
      <c r="B79" s="37" t="n"/>
      <c r="C79" s="37" t="n"/>
      <c r="D79" s="38">
        <f>D5-D54</f>
        <v/>
      </c>
      <c r="E79" s="38">
        <f>E5-E54</f>
        <v/>
      </c>
      <c r="F79" s="38">
        <f>F5-F54</f>
        <v/>
      </c>
      <c r="G79" s="38">
        <f>G5-G54</f>
        <v/>
      </c>
      <c r="H79" s="38">
        <f>H5-H54</f>
        <v/>
      </c>
      <c r="I79" s="38">
        <f>I5-I54</f>
        <v/>
      </c>
      <c r="J79" s="38">
        <f>J5-J54</f>
        <v/>
      </c>
      <c r="K79" s="38">
        <f>K5-K54</f>
        <v/>
      </c>
      <c r="L79" s="38">
        <f>L5-L54</f>
        <v/>
      </c>
      <c r="M79" s="38">
        <f>M5-M54</f>
        <v/>
      </c>
      <c r="N79" s="38">
        <f>N5-N54</f>
        <v/>
      </c>
      <c r="O79" s="38">
        <f>O5-O54</f>
        <v/>
      </c>
      <c r="P79" s="9">
        <f>SUM(D79:O79)</f>
        <v/>
      </c>
      <c r="Q79" s="39" t="n"/>
    </row>
    <row r="80" ht="12" customHeight="1">
      <c r="A80" s="40" t="inlineStr">
        <is>
          <t xml:space="preserve">        % gross margin</t>
        </is>
      </c>
      <c r="B80" s="41" t="n"/>
      <c r="C80" s="41" t="n"/>
      <c r="D80" s="42">
        <f>IFERROR(D79/D5,0)</f>
        <v/>
      </c>
      <c r="E80" s="42">
        <f>IFERROR(E79/E5,0)</f>
        <v/>
      </c>
      <c r="F80" s="42">
        <f>IFERROR(F79/F5,0)</f>
        <v/>
      </c>
      <c r="G80" s="42">
        <f>IFERROR(G79/G5,0)</f>
        <v/>
      </c>
      <c r="H80" s="42">
        <f>IFERROR(H79/H5,0)</f>
        <v/>
      </c>
      <c r="I80" s="42">
        <f>IFERROR(I79/I5,0)</f>
        <v/>
      </c>
      <c r="J80" s="42">
        <f>IFERROR(J79/J5,0)</f>
        <v/>
      </c>
      <c r="K80" s="42">
        <f>IFERROR(K79/K5,0)</f>
        <v/>
      </c>
      <c r="L80" s="42">
        <f>IFERROR(L79/L5,0)</f>
        <v/>
      </c>
      <c r="M80" s="42">
        <f>IFERROR(M79/M5,0)</f>
        <v/>
      </c>
      <c r="N80" s="42">
        <f>IFERROR(N79/N5,0)</f>
        <v/>
      </c>
      <c r="O80" s="42">
        <f>IFERROR(O79/O5,0)</f>
        <v/>
      </c>
      <c r="P80" s="43">
        <f>IFERROR(P79/P5,0)</f>
        <v/>
      </c>
      <c r="Q80" s="34" t="n"/>
    </row>
    <row r="81" ht="12" customHeight="1">
      <c r="A81" s="36" t="inlineStr">
        <is>
          <t>Contributive margin (product sales-COGS)</t>
        </is>
      </c>
      <c r="B81" s="37" t="n"/>
      <c r="C81" s="37" t="n"/>
      <c r="D81" s="38">
        <f>D5-D54-D61-D70-D74</f>
        <v/>
      </c>
      <c r="E81" s="38">
        <f>E5-E54-E61-E70-E74</f>
        <v/>
      </c>
      <c r="F81" s="38">
        <f>F5-F54-F61-F70-F74</f>
        <v/>
      </c>
      <c r="G81" s="38">
        <f>G5-G54-G61-G70-G74</f>
        <v/>
      </c>
      <c r="H81" s="38">
        <f>H5-H54-H61-H70-H74</f>
        <v/>
      </c>
      <c r="I81" s="38">
        <f>I5-I54-I61-I70-I74</f>
        <v/>
      </c>
      <c r="J81" s="38">
        <f>J5-J54-J61-J70-J74</f>
        <v/>
      </c>
      <c r="K81" s="38">
        <f>K5-K54-K61-K70-K74</f>
        <v/>
      </c>
      <c r="L81" s="38">
        <f>L5-L54-L61-L70-L74</f>
        <v/>
      </c>
      <c r="M81" s="38">
        <f>M5-M54-M61-M70-M74</f>
        <v/>
      </c>
      <c r="N81" s="38">
        <f>N5-N54-N61-N70-N74</f>
        <v/>
      </c>
      <c r="O81" s="38">
        <f>O5-O54-O61-O70-O74</f>
        <v/>
      </c>
      <c r="P81" s="9">
        <f>SUM(D81:O81)</f>
        <v/>
      </c>
      <c r="Q81" s="39" t="n"/>
    </row>
    <row r="82" ht="12" customHeight="1">
      <c r="A82" s="40" t="inlineStr">
        <is>
          <t xml:space="preserve">        % contributive margin</t>
        </is>
      </c>
      <c r="B82" s="41" t="n"/>
      <c r="C82" s="41" t="n"/>
      <c r="D82" s="42">
        <f>IFERROR(D81/D5,0)</f>
        <v/>
      </c>
      <c r="E82" s="42">
        <f>IFERROR(E81/E5,0)</f>
        <v/>
      </c>
      <c r="F82" s="42">
        <f>IFERROR(F81/F5,0)</f>
        <v/>
      </c>
      <c r="G82" s="42">
        <f>IFERROR(G81/G5,0)</f>
        <v/>
      </c>
      <c r="H82" s="42">
        <f>IFERROR(H81/H5,0)</f>
        <v/>
      </c>
      <c r="I82" s="42">
        <f>IFERROR(I81/I5,0)</f>
        <v/>
      </c>
      <c r="J82" s="42">
        <f>IFERROR(J81/J5,0)</f>
        <v/>
      </c>
      <c r="K82" s="42">
        <f>IFERROR(K81/K5,0)</f>
        <v/>
      </c>
      <c r="L82" s="42">
        <f>IFERROR(L81/L5,0)</f>
        <v/>
      </c>
      <c r="M82" s="42">
        <f>IFERROR(M81/M5,0)</f>
        <v/>
      </c>
      <c r="N82" s="42">
        <f>IFERROR(N81/N5,0)</f>
        <v/>
      </c>
      <c r="O82" s="42">
        <f>IFERROR(O81/O5,0)</f>
        <v/>
      </c>
      <c r="P82" s="43">
        <f>IFERROR(P81/P5,0)</f>
        <v/>
      </c>
      <c r="Q82" s="34" t="n"/>
    </row>
    <row r="83" ht="12" customHeight="1">
      <c r="A83" s="4" t="n"/>
      <c r="B83" s="4" t="n"/>
      <c r="C83" s="4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24">
        <f>SUM(D83:O83)</f>
        <v/>
      </c>
      <c r="Q83" s="5" t="n"/>
    </row>
    <row r="84" ht="12" customHeight="1">
      <c r="A84" s="11" t="inlineStr">
        <is>
          <t xml:space="preserve">    Opex</t>
        </is>
      </c>
      <c r="B84" s="12" t="inlineStr">
        <is>
          <t>Opex</t>
        </is>
      </c>
      <c r="C84" s="13" t="n"/>
      <c r="D84" s="14">
        <f>D85+D95+D98+D114+D132</f>
        <v/>
      </c>
      <c r="E84" s="14">
        <f>E85+E95+E98+E114+E132</f>
        <v/>
      </c>
      <c r="F84" s="14">
        <f>F85+F95+F98+F114+F132</f>
        <v/>
      </c>
      <c r="G84" s="14">
        <f>G85+G95+G98+G114+G132</f>
        <v/>
      </c>
      <c r="H84" s="14">
        <f>H85+H95+H98+H114+H132</f>
        <v/>
      </c>
      <c r="I84" s="14">
        <f>I85+I95+I98+I114+I132</f>
        <v/>
      </c>
      <c r="J84" s="14">
        <f>J85+J95+J98+J114+J132</f>
        <v/>
      </c>
      <c r="K84" s="14">
        <f>K85+K95+K98+K114+K132</f>
        <v/>
      </c>
      <c r="L84" s="14">
        <f>L85+L95+L98+L114+L132</f>
        <v/>
      </c>
      <c r="M84" s="14">
        <f>M85+M95+M98+M114+M132</f>
        <v/>
      </c>
      <c r="N84" s="14">
        <f>N85+N95+N98+N114+N132</f>
        <v/>
      </c>
      <c r="O84" s="14">
        <f>O85+O95+O98+O114+O132</f>
        <v/>
      </c>
      <c r="P84" s="15">
        <f>SUM(D84:O84)</f>
        <v/>
      </c>
      <c r="Q84" s="16" t="n"/>
    </row>
    <row r="85" ht="12" customHeight="1">
      <c r="A85" s="17" t="inlineStr">
        <is>
          <t xml:space="preserve">        Marketing</t>
        </is>
      </c>
      <c r="B85" s="18" t="n"/>
      <c r="C85" s="19" t="inlineStr">
        <is>
          <t>Marketing</t>
        </is>
      </c>
      <c r="D85" s="20">
        <f>D86+D90</f>
        <v/>
      </c>
      <c r="E85" s="20">
        <f>E86+E90</f>
        <v/>
      </c>
      <c r="F85" s="20">
        <f>F86+F90</f>
        <v/>
      </c>
      <c r="G85" s="20">
        <f>G86+G90</f>
        <v/>
      </c>
      <c r="H85" s="20">
        <f>H86+H90</f>
        <v/>
      </c>
      <c r="I85" s="20">
        <f>I86+I90</f>
        <v/>
      </c>
      <c r="J85" s="20">
        <f>J86+J90</f>
        <v/>
      </c>
      <c r="K85" s="20">
        <f>K86+K90</f>
        <v/>
      </c>
      <c r="L85" s="20">
        <f>L86+L90</f>
        <v/>
      </c>
      <c r="M85" s="20">
        <f>M86+M90</f>
        <v/>
      </c>
      <c r="N85" s="20">
        <f>N86+N90</f>
        <v/>
      </c>
      <c r="O85" s="20">
        <f>O86+O90</f>
        <v/>
      </c>
      <c r="P85" s="21">
        <f>SUM(D85:O85)</f>
        <v/>
      </c>
      <c r="Q85" s="22" t="inlineStr">
        <is>
          <t>-&gt;</t>
        </is>
      </c>
    </row>
    <row r="86" hidden="1" outlineLevel="1" ht="12" customHeight="1">
      <c r="A86" s="17" t="inlineStr">
        <is>
          <t xml:space="preserve">        METAADS</t>
        </is>
      </c>
      <c r="B86" s="18" t="n"/>
      <c r="C86" s="19" t="inlineStr">
        <is>
          <t>METAADS</t>
        </is>
      </c>
      <c r="D86" s="20">
        <f>SUM(D87:D89)</f>
        <v/>
      </c>
      <c r="E86" s="20">
        <f>SUM(E87:E89)</f>
        <v/>
      </c>
      <c r="F86" s="20">
        <f>SUM(F87:F89)</f>
        <v/>
      </c>
      <c r="G86" s="20">
        <f>SUM(G87:G89)</f>
        <v/>
      </c>
      <c r="H86" s="20">
        <f>SUM(H87:H89)</f>
        <v/>
      </c>
      <c r="I86" s="20">
        <f>SUM(I87:I89)</f>
        <v/>
      </c>
      <c r="J86" s="20">
        <f>SUM(J87:J89)</f>
        <v/>
      </c>
      <c r="K86" s="20">
        <f>SUM(K87:K89)</f>
        <v/>
      </c>
      <c r="L86" s="20">
        <f>SUM(L87:L89)</f>
        <v/>
      </c>
      <c r="M86" s="20">
        <f>SUM(M87:M89)</f>
        <v/>
      </c>
      <c r="N86" s="20">
        <f>SUM(N87:N89)</f>
        <v/>
      </c>
      <c r="O86" s="20">
        <f>SUM(O87:O89)</f>
        <v/>
      </c>
      <c r="P86" s="21">
        <f>SUM(D86:O86)</f>
        <v/>
      </c>
      <c r="Q86" s="22" t="inlineStr">
        <is>
          <t>-&gt;</t>
        </is>
      </c>
    </row>
    <row r="87" hidden="1" outlineLevel="1" ht="12" customHeight="1">
      <c r="A87" s="23" t="inlineStr">
        <is>
          <t xml:space="preserve">            EU</t>
        </is>
      </c>
      <c r="B87" s="4" t="n"/>
      <c r="C87" s="4" t="inlineStr">
        <is>
          <t>EU</t>
        </is>
      </c>
      <c r="D87" s="5">
        <f>SUMIFS('g-expenses-sl'!$K:$K,'g-expenses-sl'!$A:$A,D$1,'g-expenses-sl'!$D:$D,"marketing",'g-expenses-sl'!$E:$E,"METAADS",'g-expenses-sl'!$F:$F,$C87)</f>
        <v/>
      </c>
      <c r="E87" s="5">
        <f>SUMIFS('g-expenses-sl'!$K:$K,'g-expenses-sl'!$A:$A,E$1,'g-expenses-sl'!$D:$D,"marketing",'g-expenses-sl'!$E:$E,"METAADS",'g-expenses-sl'!$F:$F,$C87)</f>
        <v/>
      </c>
      <c r="F87" s="5">
        <f>SUMIFS('g-expenses-sl'!$K:$K,'g-expenses-sl'!$A:$A,F$1,'g-expenses-sl'!$D:$D,"marketing",'g-expenses-sl'!$E:$E,"METAADS",'g-expenses-sl'!$F:$F,$C87)</f>
        <v/>
      </c>
      <c r="G87" s="5">
        <f>SUMIFS('g-expenses-sl'!$K:$K,'g-expenses-sl'!$A:$A,G$1,'g-expenses-sl'!$D:$D,"marketing",'g-expenses-sl'!$E:$E,"METAADS",'g-expenses-sl'!$F:$F,$C87)</f>
        <v/>
      </c>
      <c r="H87" s="5">
        <f>SUMIFS('g-expenses-sl'!$K:$K,'g-expenses-sl'!$A:$A,H$1,'g-expenses-sl'!$D:$D,"marketing",'g-expenses-sl'!$E:$E,"METAADS",'g-expenses-sl'!$F:$F,$C87)</f>
        <v/>
      </c>
      <c r="I87" s="5">
        <f>SUMIFS('g-expenses-sl'!$K:$K,'g-expenses-sl'!$A:$A,I$1,'g-expenses-sl'!$D:$D,"marketing",'g-expenses-sl'!$E:$E,"METAADS",'g-expenses-sl'!$F:$F,$C87)</f>
        <v/>
      </c>
      <c r="J87" s="5">
        <f>SUMIFS('g-expenses-sl'!$K:$K,'g-expenses-sl'!$A:$A,J$1,'g-expenses-sl'!$D:$D,"marketing",'g-expenses-sl'!$E:$E,"METAADS",'g-expenses-sl'!$F:$F,$C87)</f>
        <v/>
      </c>
      <c r="K87" s="5">
        <f>SUMIFS('g-expenses-sl'!$K:$K,'g-expenses-sl'!$A:$A,K$1,'g-expenses-sl'!$D:$D,"marketing",'g-expenses-sl'!$E:$E,"METAADS",'g-expenses-sl'!$F:$F,$C87)</f>
        <v/>
      </c>
      <c r="L87" s="5">
        <f>SUMIFS('g-expenses-sl'!$K:$K,'g-expenses-sl'!$A:$A,L$1,'g-expenses-sl'!$D:$D,"marketing",'g-expenses-sl'!$E:$E,"METAADS",'g-expenses-sl'!$F:$F,$C87)</f>
        <v/>
      </c>
      <c r="M87" s="5">
        <f>SUMIFS('g-expenses-sl'!$K:$K,'g-expenses-sl'!$A:$A,M$1,'g-expenses-sl'!$D:$D,"marketing",'g-expenses-sl'!$E:$E,"METAADS",'g-expenses-sl'!$F:$F,$C87)</f>
        <v/>
      </c>
      <c r="N87" s="5">
        <f>SUMIFS('g-expenses-sl'!$K:$K,'g-expenses-sl'!$A:$A,N$1,'g-expenses-sl'!$D:$D,"marketing",'g-expenses-sl'!$E:$E,"METAADS",'g-expenses-sl'!$F:$F,$C87)</f>
        <v/>
      </c>
      <c r="O87" s="5">
        <f>SUMIFS('g-expenses-sl'!$K:$K,'g-expenses-sl'!$A:$A,O$1,'g-expenses-sl'!$D:$D,"marketing",'g-expenses-sl'!$E:$E,"METAADS",'g-expenses-sl'!$F:$F,$C87)</f>
        <v/>
      </c>
      <c r="P87" s="24">
        <f>SUM(D87:O87)</f>
        <v/>
      </c>
      <c r="Q87" s="25" t="inlineStr">
        <is>
          <t>-&gt;</t>
        </is>
      </c>
    </row>
    <row r="88" hidden="1" outlineLevel="1" ht="12" customHeight="1">
      <c r="A88" s="23" t="inlineStr">
        <is>
          <t xml:space="preserve">            UK</t>
        </is>
      </c>
      <c r="B88" s="4" t="n"/>
      <c r="C88" s="4" t="inlineStr">
        <is>
          <t>UK</t>
        </is>
      </c>
      <c r="D88" s="5">
        <f>SUMIFS('g-expenses-sl'!$K:$K,'g-expenses-sl'!$A:$A,D$1,'g-expenses-sl'!$D:$D,"marketing",'g-expenses-sl'!$E:$E,"METAADS",'g-expenses-sl'!$F:$F,$C88)</f>
        <v/>
      </c>
      <c r="E88" s="5">
        <f>SUMIFS('g-expenses-sl'!$K:$K,'g-expenses-sl'!$A:$A,E$1,'g-expenses-sl'!$D:$D,"marketing",'g-expenses-sl'!$E:$E,"METAADS",'g-expenses-sl'!$F:$F,$C88)</f>
        <v/>
      </c>
      <c r="F88" s="5">
        <f>SUMIFS('g-expenses-sl'!$K:$K,'g-expenses-sl'!$A:$A,F$1,'g-expenses-sl'!$D:$D,"marketing",'g-expenses-sl'!$E:$E,"METAADS",'g-expenses-sl'!$F:$F,$C88)</f>
        <v/>
      </c>
      <c r="G88" s="5">
        <f>SUMIFS('g-expenses-sl'!$K:$K,'g-expenses-sl'!$A:$A,G$1,'g-expenses-sl'!$D:$D,"marketing",'g-expenses-sl'!$E:$E,"METAADS",'g-expenses-sl'!$F:$F,$C88)</f>
        <v/>
      </c>
      <c r="H88" s="5">
        <f>SUMIFS('g-expenses-sl'!$K:$K,'g-expenses-sl'!$A:$A,H$1,'g-expenses-sl'!$D:$D,"marketing",'g-expenses-sl'!$E:$E,"METAADS",'g-expenses-sl'!$F:$F,$C88)</f>
        <v/>
      </c>
      <c r="I88" s="5">
        <f>SUMIFS('g-expenses-sl'!$K:$K,'g-expenses-sl'!$A:$A,I$1,'g-expenses-sl'!$D:$D,"marketing",'g-expenses-sl'!$E:$E,"METAADS",'g-expenses-sl'!$F:$F,$C88)</f>
        <v/>
      </c>
      <c r="J88" s="5">
        <f>SUMIFS('g-expenses-sl'!$K:$K,'g-expenses-sl'!$A:$A,J$1,'g-expenses-sl'!$D:$D,"marketing",'g-expenses-sl'!$E:$E,"METAADS",'g-expenses-sl'!$F:$F,$C88)</f>
        <v/>
      </c>
      <c r="K88" s="5">
        <f>SUMIFS('g-expenses-sl'!$K:$K,'g-expenses-sl'!$A:$A,K$1,'g-expenses-sl'!$D:$D,"marketing",'g-expenses-sl'!$E:$E,"METAADS",'g-expenses-sl'!$F:$F,$C88)</f>
        <v/>
      </c>
      <c r="L88" s="5">
        <f>SUMIFS('g-expenses-sl'!$K:$K,'g-expenses-sl'!$A:$A,L$1,'g-expenses-sl'!$D:$D,"marketing",'g-expenses-sl'!$E:$E,"METAADS",'g-expenses-sl'!$F:$F,$C88)</f>
        <v/>
      </c>
      <c r="M88" s="5">
        <f>SUMIFS('g-expenses-sl'!$K:$K,'g-expenses-sl'!$A:$A,M$1,'g-expenses-sl'!$D:$D,"marketing",'g-expenses-sl'!$E:$E,"METAADS",'g-expenses-sl'!$F:$F,$C88)</f>
        <v/>
      </c>
      <c r="N88" s="5">
        <f>SUMIFS('g-expenses-sl'!$K:$K,'g-expenses-sl'!$A:$A,N$1,'g-expenses-sl'!$D:$D,"marketing",'g-expenses-sl'!$E:$E,"METAADS",'g-expenses-sl'!$F:$F,$C88)</f>
        <v/>
      </c>
      <c r="O88" s="5">
        <f>SUMIFS('g-expenses-sl'!$K:$K,'g-expenses-sl'!$A:$A,O$1,'g-expenses-sl'!$D:$D,"marketing",'g-expenses-sl'!$E:$E,"METAADS",'g-expenses-sl'!$F:$F,$C88)</f>
        <v/>
      </c>
      <c r="P88" s="24">
        <f>SUM(D88:O88)</f>
        <v/>
      </c>
      <c r="Q88" s="25" t="inlineStr">
        <is>
          <t>-&gt;</t>
        </is>
      </c>
    </row>
    <row r="89" hidden="1" outlineLevel="1" ht="12" customHeight="1">
      <c r="A89" s="23" t="inlineStr">
        <is>
          <t xml:space="preserve">            US</t>
        </is>
      </c>
      <c r="B89" s="4" t="n"/>
      <c r="C89" s="4" t="inlineStr">
        <is>
          <t>US</t>
        </is>
      </c>
      <c r="D89" s="5">
        <f>SUMIFS('g-expenses-sl'!$K:$K,'g-expenses-sl'!$A:$A,D$1,'g-expenses-sl'!$D:$D,"marketing",'g-expenses-sl'!$E:$E,"METAADS",'g-expenses-sl'!$F:$F,$C89)</f>
        <v/>
      </c>
      <c r="E89" s="5">
        <f>SUMIFS('g-expenses-sl'!$K:$K,'g-expenses-sl'!$A:$A,E$1,'g-expenses-sl'!$D:$D,"marketing",'g-expenses-sl'!$E:$E,"METAADS",'g-expenses-sl'!$F:$F,$C89)</f>
        <v/>
      </c>
      <c r="F89" s="5">
        <f>SUMIFS('g-expenses-sl'!$K:$K,'g-expenses-sl'!$A:$A,F$1,'g-expenses-sl'!$D:$D,"marketing",'g-expenses-sl'!$E:$E,"METAADS",'g-expenses-sl'!$F:$F,$C89)</f>
        <v/>
      </c>
      <c r="G89" s="5">
        <f>SUMIFS('g-expenses-sl'!$K:$K,'g-expenses-sl'!$A:$A,G$1,'g-expenses-sl'!$D:$D,"marketing",'g-expenses-sl'!$E:$E,"METAADS",'g-expenses-sl'!$F:$F,$C89)</f>
        <v/>
      </c>
      <c r="H89" s="5">
        <f>SUMIFS('g-expenses-sl'!$K:$K,'g-expenses-sl'!$A:$A,H$1,'g-expenses-sl'!$D:$D,"marketing",'g-expenses-sl'!$E:$E,"METAADS",'g-expenses-sl'!$F:$F,$C89)</f>
        <v/>
      </c>
      <c r="I89" s="5">
        <f>SUMIFS('g-expenses-sl'!$K:$K,'g-expenses-sl'!$A:$A,I$1,'g-expenses-sl'!$D:$D,"marketing",'g-expenses-sl'!$E:$E,"METAADS",'g-expenses-sl'!$F:$F,$C89)</f>
        <v/>
      </c>
      <c r="J89" s="5">
        <f>SUMIFS('g-expenses-sl'!$K:$K,'g-expenses-sl'!$A:$A,J$1,'g-expenses-sl'!$D:$D,"marketing",'g-expenses-sl'!$E:$E,"METAADS",'g-expenses-sl'!$F:$F,$C89)</f>
        <v/>
      </c>
      <c r="K89" s="5">
        <f>SUMIFS('g-expenses-sl'!$K:$K,'g-expenses-sl'!$A:$A,K$1,'g-expenses-sl'!$D:$D,"marketing",'g-expenses-sl'!$E:$E,"METAADS",'g-expenses-sl'!$F:$F,$C89)</f>
        <v/>
      </c>
      <c r="L89" s="5">
        <f>SUMIFS('g-expenses-sl'!$K:$K,'g-expenses-sl'!$A:$A,L$1,'g-expenses-sl'!$D:$D,"marketing",'g-expenses-sl'!$E:$E,"METAADS",'g-expenses-sl'!$F:$F,$C89)</f>
        <v/>
      </c>
      <c r="M89" s="5">
        <f>SUMIFS('g-expenses-sl'!$K:$K,'g-expenses-sl'!$A:$A,M$1,'g-expenses-sl'!$D:$D,"marketing",'g-expenses-sl'!$E:$E,"METAADS",'g-expenses-sl'!$F:$F,$C89)</f>
        <v/>
      </c>
      <c r="N89" s="5">
        <f>SUMIFS('g-expenses-sl'!$K:$K,'g-expenses-sl'!$A:$A,N$1,'g-expenses-sl'!$D:$D,"marketing",'g-expenses-sl'!$E:$E,"METAADS",'g-expenses-sl'!$F:$F,$C89)</f>
        <v/>
      </c>
      <c r="O89" s="5">
        <f>SUMIFS('g-expenses-sl'!$K:$K,'g-expenses-sl'!$A:$A,O$1,'g-expenses-sl'!$D:$D,"marketing",'g-expenses-sl'!$E:$E,"METAADS",'g-expenses-sl'!$F:$F,$C89)</f>
        <v/>
      </c>
      <c r="P89" s="24">
        <f>SUM(D89:O89)</f>
        <v/>
      </c>
      <c r="Q89" s="25" t="inlineStr">
        <is>
          <t>-&gt;</t>
        </is>
      </c>
    </row>
    <row r="90" hidden="1" outlineLevel="1" ht="12" customHeight="1">
      <c r="A90" s="17" t="inlineStr">
        <is>
          <t xml:space="preserve">        GOOGLEADS</t>
        </is>
      </c>
      <c r="B90" s="18" t="n"/>
      <c r="C90" s="19" t="inlineStr">
        <is>
          <t>GOOGLEADS</t>
        </is>
      </c>
      <c r="D90" s="20">
        <f>SUM(D91:D93)</f>
        <v/>
      </c>
      <c r="E90" s="20">
        <f>SUM(E91:E93)</f>
        <v/>
      </c>
      <c r="F90" s="20">
        <f>SUM(F91:F93)</f>
        <v/>
      </c>
      <c r="G90" s="20">
        <f>SUM(G91:G93)</f>
        <v/>
      </c>
      <c r="H90" s="20">
        <f>SUM(H91:H93)</f>
        <v/>
      </c>
      <c r="I90" s="20">
        <f>SUM(I91:I93)</f>
        <v/>
      </c>
      <c r="J90" s="20">
        <f>SUM(J91:J93)</f>
        <v/>
      </c>
      <c r="K90" s="20">
        <f>SUM(K91:K93)</f>
        <v/>
      </c>
      <c r="L90" s="20">
        <f>SUM(L91:L93)</f>
        <v/>
      </c>
      <c r="M90" s="20">
        <f>SUM(M91:M93)</f>
        <v/>
      </c>
      <c r="N90" s="20">
        <f>SUM(N91:N93)</f>
        <v/>
      </c>
      <c r="O90" s="20">
        <f>SUM(O91:O93)</f>
        <v/>
      </c>
      <c r="P90" s="21">
        <f>SUM(D90:O90)</f>
        <v/>
      </c>
      <c r="Q90" s="22" t="inlineStr">
        <is>
          <t>-&gt;</t>
        </is>
      </c>
    </row>
    <row r="91" hidden="1" outlineLevel="1" ht="12" customHeight="1">
      <c r="A91" s="23" t="inlineStr">
        <is>
          <t xml:space="preserve">            EU</t>
        </is>
      </c>
      <c r="B91" s="4" t="n"/>
      <c r="C91" s="4" t="inlineStr">
        <is>
          <t>EU</t>
        </is>
      </c>
      <c r="D91" s="5">
        <f>SUMIFS('g-expenses-sl'!$K:$K,'g-expenses-sl'!$A:$A,D$1,'g-expenses-sl'!$D:$D,"marketing",'g-expenses-sl'!$E:$E,"GOOGLEADS",'g-expenses-sl'!$F:$F,$C91)</f>
        <v/>
      </c>
      <c r="E91" s="5">
        <f>SUMIFS('g-expenses-sl'!$K:$K,'g-expenses-sl'!$A:$A,E$1,'g-expenses-sl'!$D:$D,"marketing",'g-expenses-sl'!$E:$E,"GOOGLEADS",'g-expenses-sl'!$F:$F,$C91)</f>
        <v/>
      </c>
      <c r="F91" s="5">
        <f>SUMIFS('g-expenses-sl'!$K:$K,'g-expenses-sl'!$A:$A,F$1,'g-expenses-sl'!$D:$D,"marketing",'g-expenses-sl'!$E:$E,"GOOGLEADS",'g-expenses-sl'!$F:$F,$C91)</f>
        <v/>
      </c>
      <c r="G91" s="5">
        <f>SUMIFS('g-expenses-sl'!$K:$K,'g-expenses-sl'!$A:$A,G$1,'g-expenses-sl'!$D:$D,"marketing",'g-expenses-sl'!$E:$E,"GOOGLEADS",'g-expenses-sl'!$F:$F,$C91)</f>
        <v/>
      </c>
      <c r="H91" s="5">
        <f>SUMIFS('g-expenses-sl'!$K:$K,'g-expenses-sl'!$A:$A,H$1,'g-expenses-sl'!$D:$D,"marketing",'g-expenses-sl'!$E:$E,"GOOGLEADS",'g-expenses-sl'!$F:$F,$C91)</f>
        <v/>
      </c>
      <c r="I91" s="5">
        <f>SUMIFS('g-expenses-sl'!$K:$K,'g-expenses-sl'!$A:$A,I$1,'g-expenses-sl'!$D:$D,"marketing",'g-expenses-sl'!$E:$E,"GOOGLEADS",'g-expenses-sl'!$F:$F,$C91)</f>
        <v/>
      </c>
      <c r="J91" s="5">
        <f>SUMIFS('g-expenses-sl'!$K:$K,'g-expenses-sl'!$A:$A,J$1,'g-expenses-sl'!$D:$D,"marketing",'g-expenses-sl'!$E:$E,"GOOGLEADS",'g-expenses-sl'!$F:$F,$C91)</f>
        <v/>
      </c>
      <c r="K91" s="5">
        <f>SUMIFS('g-expenses-sl'!$K:$K,'g-expenses-sl'!$A:$A,K$1,'g-expenses-sl'!$D:$D,"marketing",'g-expenses-sl'!$E:$E,"GOOGLEADS",'g-expenses-sl'!$F:$F,$C91)</f>
        <v/>
      </c>
      <c r="L91" s="5">
        <f>SUMIFS('g-expenses-sl'!$K:$K,'g-expenses-sl'!$A:$A,L$1,'g-expenses-sl'!$D:$D,"marketing",'g-expenses-sl'!$E:$E,"GOOGLEADS",'g-expenses-sl'!$F:$F,$C91)</f>
        <v/>
      </c>
      <c r="M91" s="5">
        <f>SUMIFS('g-expenses-sl'!$K:$K,'g-expenses-sl'!$A:$A,M$1,'g-expenses-sl'!$D:$D,"marketing",'g-expenses-sl'!$E:$E,"GOOGLEADS",'g-expenses-sl'!$F:$F,$C91)</f>
        <v/>
      </c>
      <c r="N91" s="5">
        <f>SUMIFS('g-expenses-sl'!$K:$K,'g-expenses-sl'!$A:$A,N$1,'g-expenses-sl'!$D:$D,"marketing",'g-expenses-sl'!$E:$E,"GOOGLEADS",'g-expenses-sl'!$F:$F,$C91)</f>
        <v/>
      </c>
      <c r="O91" s="5">
        <f>SUMIFS('g-expenses-sl'!$K:$K,'g-expenses-sl'!$A:$A,O$1,'g-expenses-sl'!$D:$D,"marketing",'g-expenses-sl'!$E:$E,"GOOGLEADS",'g-expenses-sl'!$F:$F,$C91)</f>
        <v/>
      </c>
      <c r="P91" s="24">
        <f>SUM(D91:O91)</f>
        <v/>
      </c>
      <c r="Q91" s="25" t="inlineStr">
        <is>
          <t>-&gt;</t>
        </is>
      </c>
    </row>
    <row r="92" hidden="1" outlineLevel="1" ht="12" customHeight="1">
      <c r="A92" s="23" t="inlineStr">
        <is>
          <t xml:space="preserve">            UK</t>
        </is>
      </c>
      <c r="B92" s="4" t="n"/>
      <c r="C92" s="4" t="inlineStr">
        <is>
          <t>UK</t>
        </is>
      </c>
      <c r="D92" s="5">
        <f>SUMIFS('g-expenses-sl'!$K:$K,'g-expenses-sl'!$A:$A,D$1,'g-expenses-sl'!$D:$D,"marketing",'g-expenses-sl'!$E:$E,"GOOGLEADS",'g-expenses-sl'!$F:$F,$C92)</f>
        <v/>
      </c>
      <c r="E92" s="5">
        <f>SUMIFS('g-expenses-sl'!$K:$K,'g-expenses-sl'!$A:$A,E$1,'g-expenses-sl'!$D:$D,"marketing",'g-expenses-sl'!$E:$E,"GOOGLEADS",'g-expenses-sl'!$F:$F,$C92)</f>
        <v/>
      </c>
      <c r="F92" s="5">
        <f>SUMIFS('g-expenses-sl'!$K:$K,'g-expenses-sl'!$A:$A,F$1,'g-expenses-sl'!$D:$D,"marketing",'g-expenses-sl'!$E:$E,"GOOGLEADS",'g-expenses-sl'!$F:$F,$C92)</f>
        <v/>
      </c>
      <c r="G92" s="5">
        <f>SUMIFS('g-expenses-sl'!$K:$K,'g-expenses-sl'!$A:$A,G$1,'g-expenses-sl'!$D:$D,"marketing",'g-expenses-sl'!$E:$E,"GOOGLEADS",'g-expenses-sl'!$F:$F,$C92)</f>
        <v/>
      </c>
      <c r="H92" s="5">
        <f>SUMIFS('g-expenses-sl'!$K:$K,'g-expenses-sl'!$A:$A,H$1,'g-expenses-sl'!$D:$D,"marketing",'g-expenses-sl'!$E:$E,"GOOGLEADS",'g-expenses-sl'!$F:$F,$C92)</f>
        <v/>
      </c>
      <c r="I92" s="5">
        <f>SUMIFS('g-expenses-sl'!$K:$K,'g-expenses-sl'!$A:$A,I$1,'g-expenses-sl'!$D:$D,"marketing",'g-expenses-sl'!$E:$E,"GOOGLEADS",'g-expenses-sl'!$F:$F,$C92)</f>
        <v/>
      </c>
      <c r="J92" s="5">
        <f>SUMIFS('g-expenses-sl'!$K:$K,'g-expenses-sl'!$A:$A,J$1,'g-expenses-sl'!$D:$D,"marketing",'g-expenses-sl'!$E:$E,"GOOGLEADS",'g-expenses-sl'!$F:$F,$C92)</f>
        <v/>
      </c>
      <c r="K92" s="5">
        <f>SUMIFS('g-expenses-sl'!$K:$K,'g-expenses-sl'!$A:$A,K$1,'g-expenses-sl'!$D:$D,"marketing",'g-expenses-sl'!$E:$E,"GOOGLEADS",'g-expenses-sl'!$F:$F,$C92)</f>
        <v/>
      </c>
      <c r="L92" s="5">
        <f>SUMIFS('g-expenses-sl'!$K:$K,'g-expenses-sl'!$A:$A,L$1,'g-expenses-sl'!$D:$D,"marketing",'g-expenses-sl'!$E:$E,"GOOGLEADS",'g-expenses-sl'!$F:$F,$C92)</f>
        <v/>
      </c>
      <c r="M92" s="5">
        <f>SUMIFS('g-expenses-sl'!$K:$K,'g-expenses-sl'!$A:$A,M$1,'g-expenses-sl'!$D:$D,"marketing",'g-expenses-sl'!$E:$E,"GOOGLEADS",'g-expenses-sl'!$F:$F,$C92)</f>
        <v/>
      </c>
      <c r="N92" s="5">
        <f>SUMIFS('g-expenses-sl'!$K:$K,'g-expenses-sl'!$A:$A,N$1,'g-expenses-sl'!$D:$D,"marketing",'g-expenses-sl'!$E:$E,"GOOGLEADS",'g-expenses-sl'!$F:$F,$C92)</f>
        <v/>
      </c>
      <c r="O92" s="5">
        <f>SUMIFS('g-expenses-sl'!$K:$K,'g-expenses-sl'!$A:$A,O$1,'g-expenses-sl'!$D:$D,"marketing",'g-expenses-sl'!$E:$E,"GOOGLEADS",'g-expenses-sl'!$F:$F,$C92)</f>
        <v/>
      </c>
      <c r="P92" s="24">
        <f>SUM(D92:O92)</f>
        <v/>
      </c>
      <c r="Q92" s="25" t="inlineStr">
        <is>
          <t>-&gt;</t>
        </is>
      </c>
    </row>
    <row r="93" hidden="1" outlineLevel="1" ht="12" customHeight="1">
      <c r="A93" s="23" t="inlineStr">
        <is>
          <t xml:space="preserve">            US</t>
        </is>
      </c>
      <c r="B93" s="4" t="n"/>
      <c r="C93" s="4" t="inlineStr">
        <is>
          <t>US</t>
        </is>
      </c>
      <c r="D93" s="5">
        <f>SUMIFS('g-expenses-sl'!$K:$K,'g-expenses-sl'!$A:$A,D$1,'g-expenses-sl'!$D:$D,"marketing",'g-expenses-sl'!$E:$E,"GOOGLEADS",'g-expenses-sl'!$F:$F,$C93)</f>
        <v/>
      </c>
      <c r="E93" s="5">
        <f>SUMIFS('g-expenses-sl'!$K:$K,'g-expenses-sl'!$A:$A,E$1,'g-expenses-sl'!$D:$D,"marketing",'g-expenses-sl'!$E:$E,"GOOGLEADS",'g-expenses-sl'!$F:$F,$C93)</f>
        <v/>
      </c>
      <c r="F93" s="5">
        <f>SUMIFS('g-expenses-sl'!$K:$K,'g-expenses-sl'!$A:$A,F$1,'g-expenses-sl'!$D:$D,"marketing",'g-expenses-sl'!$E:$E,"GOOGLEADS",'g-expenses-sl'!$F:$F,$C93)</f>
        <v/>
      </c>
      <c r="G93" s="5">
        <f>SUMIFS('g-expenses-sl'!$K:$K,'g-expenses-sl'!$A:$A,G$1,'g-expenses-sl'!$D:$D,"marketing",'g-expenses-sl'!$E:$E,"GOOGLEADS",'g-expenses-sl'!$F:$F,$C93)</f>
        <v/>
      </c>
      <c r="H93" s="5">
        <f>SUMIFS('g-expenses-sl'!$K:$K,'g-expenses-sl'!$A:$A,H$1,'g-expenses-sl'!$D:$D,"marketing",'g-expenses-sl'!$E:$E,"GOOGLEADS",'g-expenses-sl'!$F:$F,$C93)</f>
        <v/>
      </c>
      <c r="I93" s="5">
        <f>SUMIFS('g-expenses-sl'!$K:$K,'g-expenses-sl'!$A:$A,I$1,'g-expenses-sl'!$D:$D,"marketing",'g-expenses-sl'!$E:$E,"GOOGLEADS",'g-expenses-sl'!$F:$F,$C93)</f>
        <v/>
      </c>
      <c r="J93" s="5">
        <f>SUMIFS('g-expenses-sl'!$K:$K,'g-expenses-sl'!$A:$A,J$1,'g-expenses-sl'!$D:$D,"marketing",'g-expenses-sl'!$E:$E,"GOOGLEADS",'g-expenses-sl'!$F:$F,$C93)</f>
        <v/>
      </c>
      <c r="K93" s="5">
        <f>SUMIFS('g-expenses-sl'!$K:$K,'g-expenses-sl'!$A:$A,K$1,'g-expenses-sl'!$D:$D,"marketing",'g-expenses-sl'!$E:$E,"GOOGLEADS",'g-expenses-sl'!$F:$F,$C93)</f>
        <v/>
      </c>
      <c r="L93" s="5">
        <f>SUMIFS('g-expenses-sl'!$K:$K,'g-expenses-sl'!$A:$A,L$1,'g-expenses-sl'!$D:$D,"marketing",'g-expenses-sl'!$E:$E,"GOOGLEADS",'g-expenses-sl'!$F:$F,$C93)</f>
        <v/>
      </c>
      <c r="M93" s="5">
        <f>SUMIFS('g-expenses-sl'!$K:$K,'g-expenses-sl'!$A:$A,M$1,'g-expenses-sl'!$D:$D,"marketing",'g-expenses-sl'!$E:$E,"GOOGLEADS",'g-expenses-sl'!$F:$F,$C93)</f>
        <v/>
      </c>
      <c r="N93" s="5">
        <f>SUMIFS('g-expenses-sl'!$K:$K,'g-expenses-sl'!$A:$A,N$1,'g-expenses-sl'!$D:$D,"marketing",'g-expenses-sl'!$E:$E,"GOOGLEADS",'g-expenses-sl'!$F:$F,$C93)</f>
        <v/>
      </c>
      <c r="O93" s="5">
        <f>SUMIFS('g-expenses-sl'!$K:$K,'g-expenses-sl'!$A:$A,O$1,'g-expenses-sl'!$D:$D,"marketing",'g-expenses-sl'!$E:$E,"GOOGLEADS",'g-expenses-sl'!$F:$F,$C93)</f>
        <v/>
      </c>
      <c r="P93" s="24">
        <f>SUM(D93:O93)</f>
        <v/>
      </c>
      <c r="Q93" s="25" t="inlineStr">
        <is>
          <t>-&gt;</t>
        </is>
      </c>
    </row>
    <row r="94" hidden="1" outlineLevel="1" collapsed="1" ht="12" customHeight="1">
      <c r="A94" s="44" t="inlineStr">
        <is>
          <t xml:space="preserve">        Sales / mkt EU</t>
        </is>
      </c>
      <c r="B94" s="32" t="n"/>
      <c r="C94" s="45" t="inlineStr">
        <is>
          <t>Sales / mkt EU</t>
        </is>
      </c>
      <c r="D94" s="46">
        <f>IFERROR((D7+D9+D11+D13+D15+D17+D19+D21+D23+D25+D27+D29+D31+D33)/(D87+D91),0)</f>
        <v/>
      </c>
      <c r="E94" s="46">
        <f>IFERROR((E7+E9+E11+E13+E15+E17+E19+E21+E23+E25+E27+E29+E31+E33)/(E87+E91),0)</f>
        <v/>
      </c>
      <c r="F94" s="46">
        <f>IFERROR((F7+F9+F11+F13+F15+F17+F19+F21+F23+F25+F27+F29+F31+F33)/(F87+F91),0)</f>
        <v/>
      </c>
      <c r="G94" s="46">
        <f>IFERROR((G7+G9+G11+G13+G15+G17+G19+G21+G23+G25+G27+G29+G31+G33)/(G87+G91),0)</f>
        <v/>
      </c>
      <c r="H94" s="46">
        <f>IFERROR((H7+H9+H11+H13+H15+H17+H19+H21+H23+H25+H27+H29+H31+H33)/(H87+H91),0)</f>
        <v/>
      </c>
      <c r="I94" s="46">
        <f>IFERROR((I7+I9+I11+I13+I15+I17+I19+I21+I23+I25+I27+I29+I31+I33)/(I87+I91),0)</f>
        <v/>
      </c>
      <c r="J94" s="46">
        <f>IFERROR((J7+J9+J11+J13+J15+J17+J19+J21+J23+J25+J27+J29+J31+J33)/(J87+J91),0)</f>
        <v/>
      </c>
      <c r="K94" s="46">
        <f>IFERROR((K7+K9+K11+K13+K15+K17+K19+K21+K23+K25+K27+K29+K31+K33)/(K87+K91),0)</f>
        <v/>
      </c>
      <c r="L94" s="46">
        <f>IFERROR((L7+L9+L11+L13+L15+L17+L19+L21+L23+L25+L27+L29+L31+L33)/(L87+L91),0)</f>
        <v/>
      </c>
      <c r="M94" s="46">
        <f>IFERROR((M7+M9+M11+M13+M15+M17+M19+M21+M23+M25+M27+M29+M31+M33)/(M87+M91),0)</f>
        <v/>
      </c>
      <c r="N94" s="46">
        <f>IFERROR((N7+N9+N11+N13+N15+N17+N19+N21+N23+N25+N27+N29+N31+N33)/(N87+N91),0)</f>
        <v/>
      </c>
      <c r="O94" s="46">
        <f>IFERROR((O7+O9+O11+O13+O15+O17+O19+O21+O23+O25+O27+O29+O31+O33)/(O87+O91),0)</f>
        <v/>
      </c>
      <c r="P94" s="47">
        <f>IFERROR((P7+P9+P11+P13+P15+P17+P19+P21+P23+P25+P27+P29+P31+P33)/(P87+P91),0)</f>
        <v/>
      </c>
      <c r="Q94" s="46" t="n"/>
    </row>
    <row r="95" ht="12" customHeight="1">
      <c r="A95" s="17" t="inlineStr">
        <is>
          <t xml:space="preserve">        Staff</t>
        </is>
      </c>
      <c r="B95" s="18" t="n"/>
      <c r="C95" s="19" t="inlineStr">
        <is>
          <t>Staff</t>
        </is>
      </c>
      <c r="D95" s="20">
        <f>SUM(D96:D97)</f>
        <v/>
      </c>
      <c r="E95" s="20">
        <f>SUM(E96:E97)</f>
        <v/>
      </c>
      <c r="F95" s="20">
        <f>SUM(F96:F97)</f>
        <v/>
      </c>
      <c r="G95" s="20">
        <f>SUM(G96:G97)</f>
        <v/>
      </c>
      <c r="H95" s="20">
        <f>SUM(H96:H97)</f>
        <v/>
      </c>
      <c r="I95" s="20">
        <f>SUM(I96:I97)</f>
        <v/>
      </c>
      <c r="J95" s="20">
        <f>SUM(J96:J97)</f>
        <v/>
      </c>
      <c r="K95" s="20">
        <f>SUM(K96:K97)</f>
        <v/>
      </c>
      <c r="L95" s="20">
        <f>SUM(L96:L97)</f>
        <v/>
      </c>
      <c r="M95" s="20">
        <f>SUM(M96:M97)</f>
        <v/>
      </c>
      <c r="N95" s="20">
        <f>SUM(N96:N97)</f>
        <v/>
      </c>
      <c r="O95" s="20">
        <f>SUM(O96:O97)</f>
        <v/>
      </c>
      <c r="P95" s="21">
        <f>SUM(D95:O95)</f>
        <v/>
      </c>
      <c r="Q95" s="22" t="inlineStr">
        <is>
          <t>-&gt;</t>
        </is>
      </c>
    </row>
    <row r="96" hidden="1" outlineLevel="1" ht="12" customHeight="1">
      <c r="A96" s="23" t="inlineStr">
        <is>
          <t xml:space="preserve">            PAYROLL</t>
        </is>
      </c>
      <c r="B96" s="4" t="n"/>
      <c r="C96" s="4" t="inlineStr">
        <is>
          <t>PAYROLL</t>
        </is>
      </c>
      <c r="D96" s="5">
        <f>SUMIFS('g-expenses-sl'!$K:$K,'g-expenses-sl'!$A:$A,D$1,'g-expenses-sl'!$D:$D,"staff",'g-expenses-sl'!$E:$E,$C96)</f>
        <v/>
      </c>
      <c r="E96" s="5">
        <f>SUMIFS('g-expenses-sl'!$K:$K,'g-expenses-sl'!$A:$A,E$1,'g-expenses-sl'!$D:$D,"staff",'g-expenses-sl'!$E:$E,$C96)</f>
        <v/>
      </c>
      <c r="F96" s="5">
        <f>SUMIFS('g-expenses-sl'!$K:$K,'g-expenses-sl'!$A:$A,F$1,'g-expenses-sl'!$D:$D,"staff",'g-expenses-sl'!$E:$E,$C96)</f>
        <v/>
      </c>
      <c r="G96" s="5">
        <f>SUMIFS('g-expenses-sl'!$K:$K,'g-expenses-sl'!$A:$A,G$1,'g-expenses-sl'!$D:$D,"staff",'g-expenses-sl'!$E:$E,$C96)</f>
        <v/>
      </c>
      <c r="H96" s="5">
        <f>SUMIFS('g-expenses-sl'!$K:$K,'g-expenses-sl'!$A:$A,H$1,'g-expenses-sl'!$D:$D,"staff",'g-expenses-sl'!$E:$E,$C96)</f>
        <v/>
      </c>
      <c r="I96" s="5">
        <f>SUMIFS('g-expenses-sl'!$K:$K,'g-expenses-sl'!$A:$A,I$1,'g-expenses-sl'!$D:$D,"staff",'g-expenses-sl'!$E:$E,$C96)</f>
        <v/>
      </c>
      <c r="J96" s="5">
        <f>SUMIFS('g-expenses-sl'!$K:$K,'g-expenses-sl'!$A:$A,J$1,'g-expenses-sl'!$D:$D,"staff",'g-expenses-sl'!$E:$E,$C96)</f>
        <v/>
      </c>
      <c r="K96" s="5">
        <f>SUMIFS('g-expenses-sl'!$K:$K,'g-expenses-sl'!$A:$A,K$1,'g-expenses-sl'!$D:$D,"staff",'g-expenses-sl'!$E:$E,$C96)</f>
        <v/>
      </c>
      <c r="L96" s="5">
        <f>SUMIFS('g-expenses-sl'!$K:$K,'g-expenses-sl'!$A:$A,L$1,'g-expenses-sl'!$D:$D,"staff",'g-expenses-sl'!$E:$E,$C96)</f>
        <v/>
      </c>
      <c r="M96" s="5">
        <f>SUMIFS('g-expenses-sl'!$K:$K,'g-expenses-sl'!$A:$A,M$1,'g-expenses-sl'!$D:$D,"staff",'g-expenses-sl'!$E:$E,$C96)</f>
        <v/>
      </c>
      <c r="N96" s="5">
        <f>SUMIFS('g-expenses-sl'!$K:$K,'g-expenses-sl'!$A:$A,N$1,'g-expenses-sl'!$D:$D,"staff",'g-expenses-sl'!$E:$E,$C96)</f>
        <v/>
      </c>
      <c r="O96" s="5">
        <f>SUMIFS('g-expenses-sl'!$K:$K,'g-expenses-sl'!$A:$A,O$1,'g-expenses-sl'!$D:$D,"staff",'g-expenses-sl'!$E:$E,$C96)</f>
        <v/>
      </c>
      <c r="P96" s="24">
        <f>SUM(D96:O96)</f>
        <v/>
      </c>
      <c r="Q96" s="25" t="inlineStr">
        <is>
          <t>-&gt;</t>
        </is>
      </c>
    </row>
    <row r="97" hidden="1" outlineLevel="1" collapsed="1" ht="12" customHeight="1">
      <c r="A97" s="23" t="inlineStr">
        <is>
          <t xml:space="preserve">            DOSCONSULTING</t>
        </is>
      </c>
      <c r="B97" s="4" t="n"/>
      <c r="C97" s="4" t="inlineStr">
        <is>
          <t>DOSCONSULTING</t>
        </is>
      </c>
      <c r="D97" s="5">
        <f>SUMIFS('g-expenses-sl'!$K:$K,'g-expenses-sl'!$A:$A,D$1,'g-expenses-sl'!$D:$D,"staff",'g-expenses-sl'!$E:$E,$C97)</f>
        <v/>
      </c>
      <c r="E97" s="5">
        <f>SUMIFS('g-expenses-sl'!$K:$K,'g-expenses-sl'!$A:$A,E$1,'g-expenses-sl'!$D:$D,"staff",'g-expenses-sl'!$E:$E,$C97)</f>
        <v/>
      </c>
      <c r="F97" s="5">
        <f>SUMIFS('g-expenses-sl'!$K:$K,'g-expenses-sl'!$A:$A,F$1,'g-expenses-sl'!$D:$D,"staff",'g-expenses-sl'!$E:$E,$C97)</f>
        <v/>
      </c>
      <c r="G97" s="5">
        <f>SUMIFS('g-expenses-sl'!$K:$K,'g-expenses-sl'!$A:$A,G$1,'g-expenses-sl'!$D:$D,"staff",'g-expenses-sl'!$E:$E,$C97)</f>
        <v/>
      </c>
      <c r="H97" s="5">
        <f>SUMIFS('g-expenses-sl'!$K:$K,'g-expenses-sl'!$A:$A,H$1,'g-expenses-sl'!$D:$D,"staff",'g-expenses-sl'!$E:$E,$C97)</f>
        <v/>
      </c>
      <c r="I97" s="5">
        <f>SUMIFS('g-expenses-sl'!$K:$K,'g-expenses-sl'!$A:$A,I$1,'g-expenses-sl'!$D:$D,"staff",'g-expenses-sl'!$E:$E,$C97)</f>
        <v/>
      </c>
      <c r="J97" s="5">
        <f>SUMIFS('g-expenses-sl'!$K:$K,'g-expenses-sl'!$A:$A,J$1,'g-expenses-sl'!$D:$D,"staff",'g-expenses-sl'!$E:$E,$C97)</f>
        <v/>
      </c>
      <c r="K97" s="5">
        <f>SUMIFS('g-expenses-sl'!$K:$K,'g-expenses-sl'!$A:$A,K$1,'g-expenses-sl'!$D:$D,"staff",'g-expenses-sl'!$E:$E,$C97)</f>
        <v/>
      </c>
      <c r="L97" s="5">
        <f>SUMIFS('g-expenses-sl'!$K:$K,'g-expenses-sl'!$A:$A,L$1,'g-expenses-sl'!$D:$D,"staff",'g-expenses-sl'!$E:$E,$C97)</f>
        <v/>
      </c>
      <c r="M97" s="5">
        <f>SUMIFS('g-expenses-sl'!$K:$K,'g-expenses-sl'!$A:$A,M$1,'g-expenses-sl'!$D:$D,"staff",'g-expenses-sl'!$E:$E,$C97)</f>
        <v/>
      </c>
      <c r="N97" s="5">
        <f>SUMIFS('g-expenses-sl'!$K:$K,'g-expenses-sl'!$A:$A,N$1,'g-expenses-sl'!$D:$D,"staff",'g-expenses-sl'!$E:$E,$C97)</f>
        <v/>
      </c>
      <c r="O97" s="5">
        <f>SUMIFS('g-expenses-sl'!$K:$K,'g-expenses-sl'!$A:$A,O$1,'g-expenses-sl'!$D:$D,"staff",'g-expenses-sl'!$E:$E,$C97)</f>
        <v/>
      </c>
      <c r="P97" s="24">
        <f>SUM(D97:O97)</f>
        <v/>
      </c>
      <c r="Q97" s="25" t="inlineStr">
        <is>
          <t>-&gt;</t>
        </is>
      </c>
    </row>
    <row r="98" ht="12" customHeight="1">
      <c r="A98" s="17" t="inlineStr">
        <is>
          <t xml:space="preserve">        Administration</t>
        </is>
      </c>
      <c r="B98" s="18" t="n"/>
      <c r="C98" s="19" t="inlineStr">
        <is>
          <t>Administration</t>
        </is>
      </c>
      <c r="D98" s="20">
        <f>D99+D100+D101+D102+D103+D107+D108+D109+D110+D111+D112+D113</f>
        <v/>
      </c>
      <c r="E98" s="20">
        <f>E99+E100+E101+E102+E103+E107+E108+E109+E110+E111+E112+E113</f>
        <v/>
      </c>
      <c r="F98" s="20">
        <f>F99+F100+F101+F102+F103+F107+F108+F109+F110+F111+F112+F113</f>
        <v/>
      </c>
      <c r="G98" s="20">
        <f>G99+G100+G101+G102+G103+G107+G108+G109+G110+G111+G112+G113</f>
        <v/>
      </c>
      <c r="H98" s="20">
        <f>H99+H100+H101+H102+H103+H107+H108+H109+H110+H111+H112+H113</f>
        <v/>
      </c>
      <c r="I98" s="20">
        <f>I99+I100+I101+I102+I103+I107+I108+I109+I110+I111+I112+I113</f>
        <v/>
      </c>
      <c r="J98" s="20">
        <f>J99+J100+J101+J102+J103+J107+J108+J109+J110+J111+J112+J113</f>
        <v/>
      </c>
      <c r="K98" s="20">
        <f>K99+K100+K101+K102+K103+K107+K108+K109+K110+K111+K112+K113</f>
        <v/>
      </c>
      <c r="L98" s="20">
        <f>L99+L100+L101+L102+L103+L107+L108+L109+L110+L111+L112+L113</f>
        <v/>
      </c>
      <c r="M98" s="20">
        <f>M99+M100+M101+M102+M103+M107+M108+M109+M110+M111+M112+M113</f>
        <v/>
      </c>
      <c r="N98" s="20">
        <f>N99+N100+N101+N102+N103+N107+N108+N109+N110+N111+N112+N113</f>
        <v/>
      </c>
      <c r="O98" s="20">
        <f>O99+O100+O101+O102+O103+O107+O108+O109+O110+O111+O112+O113</f>
        <v/>
      </c>
      <c r="P98" s="21">
        <f>SUM(D98:O98)</f>
        <v/>
      </c>
      <c r="Q98" s="22" t="inlineStr">
        <is>
          <t>-&gt;</t>
        </is>
      </c>
    </row>
    <row r="99" hidden="1" outlineLevel="1" ht="12" customHeight="1">
      <c r="A99" s="23" t="inlineStr">
        <is>
          <t xml:space="preserve">            ADEPLUS</t>
        </is>
      </c>
      <c r="B99" s="4" t="n"/>
      <c r="C99" s="4" t="inlineStr">
        <is>
          <t>ADEPLUS</t>
        </is>
      </c>
      <c r="D99" s="5">
        <f>SUMIFS('g-expenses-sl'!$K:$K,'g-expenses-sl'!$A:$A,D$1,'g-expenses-sl'!$D:$D,"administration",'g-expenses-sl'!$E:$E,$C99)</f>
        <v/>
      </c>
      <c r="E99" s="5">
        <f>SUMIFS('g-expenses-sl'!$K:$K,'g-expenses-sl'!$A:$A,E$1,'g-expenses-sl'!$D:$D,"administration",'g-expenses-sl'!$E:$E,$C99)</f>
        <v/>
      </c>
      <c r="F99" s="5">
        <f>SUMIFS('g-expenses-sl'!$K:$K,'g-expenses-sl'!$A:$A,F$1,'g-expenses-sl'!$D:$D,"administration",'g-expenses-sl'!$E:$E,$C99)</f>
        <v/>
      </c>
      <c r="G99" s="5">
        <f>SUMIFS('g-expenses-sl'!$K:$K,'g-expenses-sl'!$A:$A,G$1,'g-expenses-sl'!$D:$D,"administration",'g-expenses-sl'!$E:$E,$C99)</f>
        <v/>
      </c>
      <c r="H99" s="5">
        <f>SUMIFS('g-expenses-sl'!$K:$K,'g-expenses-sl'!$A:$A,H$1,'g-expenses-sl'!$D:$D,"administration",'g-expenses-sl'!$E:$E,$C99)</f>
        <v/>
      </c>
      <c r="I99" s="5">
        <f>SUMIFS('g-expenses-sl'!$K:$K,'g-expenses-sl'!$A:$A,I$1,'g-expenses-sl'!$D:$D,"administration",'g-expenses-sl'!$E:$E,$C99)</f>
        <v/>
      </c>
      <c r="J99" s="5">
        <f>SUMIFS('g-expenses-sl'!$K:$K,'g-expenses-sl'!$A:$A,J$1,'g-expenses-sl'!$D:$D,"administration",'g-expenses-sl'!$E:$E,$C99)</f>
        <v/>
      </c>
      <c r="K99" s="5">
        <f>SUMIFS('g-expenses-sl'!$K:$K,'g-expenses-sl'!$A:$A,K$1,'g-expenses-sl'!$D:$D,"administration",'g-expenses-sl'!$E:$E,$C99)</f>
        <v/>
      </c>
      <c r="L99" s="5">
        <f>SUMIFS('g-expenses-sl'!$K:$K,'g-expenses-sl'!$A:$A,L$1,'g-expenses-sl'!$D:$D,"administration",'g-expenses-sl'!$E:$E,$C99)</f>
        <v/>
      </c>
      <c r="M99" s="5">
        <f>SUMIFS('g-expenses-sl'!$K:$K,'g-expenses-sl'!$A:$A,M$1,'g-expenses-sl'!$D:$D,"administration",'g-expenses-sl'!$E:$E,$C99)</f>
        <v/>
      </c>
      <c r="N99" s="5">
        <f>SUMIFS('g-expenses-sl'!$K:$K,'g-expenses-sl'!$A:$A,N$1,'g-expenses-sl'!$D:$D,"administration",'g-expenses-sl'!$E:$E,$C99)</f>
        <v/>
      </c>
      <c r="O99" s="5">
        <f>SUMIFS('g-expenses-sl'!$K:$K,'g-expenses-sl'!$A:$A,O$1,'g-expenses-sl'!$D:$D,"administration",'g-expenses-sl'!$E:$E,$C99)</f>
        <v/>
      </c>
      <c r="P99" s="24">
        <f>SUM(D99:O99)</f>
        <v/>
      </c>
      <c r="Q99" s="25" t="inlineStr">
        <is>
          <t>-&gt;</t>
        </is>
      </c>
    </row>
    <row r="100" hidden="1" outlineLevel="1" ht="12" customHeight="1">
      <c r="A100" s="23" t="inlineStr">
        <is>
          <t xml:space="preserve">            BBVACNC</t>
        </is>
      </c>
      <c r="B100" s="4" t="n"/>
      <c r="C100" s="4" t="inlineStr">
        <is>
          <t>BBVACNC</t>
        </is>
      </c>
      <c r="D100" s="5">
        <f>SUMIFS('g-expenses-sl'!$K:$K,'g-expenses-sl'!$A:$A,D$1,'g-expenses-sl'!$D:$D,"administration",'g-expenses-sl'!$E:$E,$C100)</f>
        <v/>
      </c>
      <c r="E100" s="5">
        <f>SUMIFS('g-expenses-sl'!$K:$K,'g-expenses-sl'!$A:$A,E$1,'g-expenses-sl'!$D:$D,"administration",'g-expenses-sl'!$E:$E,$C100)</f>
        <v/>
      </c>
      <c r="F100" s="5">
        <f>SUMIFS('g-expenses-sl'!$K:$K,'g-expenses-sl'!$A:$A,F$1,'g-expenses-sl'!$D:$D,"administration",'g-expenses-sl'!$E:$E,$C100)</f>
        <v/>
      </c>
      <c r="G100" s="5">
        <f>SUMIFS('g-expenses-sl'!$K:$K,'g-expenses-sl'!$A:$A,G$1,'g-expenses-sl'!$D:$D,"administration",'g-expenses-sl'!$E:$E,$C100)</f>
        <v/>
      </c>
      <c r="H100" s="5">
        <f>SUMIFS('g-expenses-sl'!$K:$K,'g-expenses-sl'!$A:$A,H$1,'g-expenses-sl'!$D:$D,"administration",'g-expenses-sl'!$E:$E,$C100)</f>
        <v/>
      </c>
      <c r="I100" s="5">
        <f>SUMIFS('g-expenses-sl'!$K:$K,'g-expenses-sl'!$A:$A,I$1,'g-expenses-sl'!$D:$D,"administration",'g-expenses-sl'!$E:$E,$C100)</f>
        <v/>
      </c>
      <c r="J100" s="5">
        <f>SUMIFS('g-expenses-sl'!$K:$K,'g-expenses-sl'!$A:$A,J$1,'g-expenses-sl'!$D:$D,"administration",'g-expenses-sl'!$E:$E,$C100)</f>
        <v/>
      </c>
      <c r="K100" s="5">
        <f>SUMIFS('g-expenses-sl'!$K:$K,'g-expenses-sl'!$A:$A,K$1,'g-expenses-sl'!$D:$D,"administration",'g-expenses-sl'!$E:$E,$C100)</f>
        <v/>
      </c>
      <c r="L100" s="5">
        <f>SUMIFS('g-expenses-sl'!$K:$K,'g-expenses-sl'!$A:$A,L$1,'g-expenses-sl'!$D:$D,"administration",'g-expenses-sl'!$E:$E,$C100)</f>
        <v/>
      </c>
      <c r="M100" s="5">
        <f>SUMIFS('g-expenses-sl'!$K:$K,'g-expenses-sl'!$A:$A,M$1,'g-expenses-sl'!$D:$D,"administration",'g-expenses-sl'!$E:$E,$C100)</f>
        <v/>
      </c>
      <c r="N100" s="5">
        <f>SUMIFS('g-expenses-sl'!$K:$K,'g-expenses-sl'!$A:$A,N$1,'g-expenses-sl'!$D:$D,"administration",'g-expenses-sl'!$E:$E,$C100)</f>
        <v/>
      </c>
      <c r="O100" s="5">
        <f>SUMIFS('g-expenses-sl'!$K:$K,'g-expenses-sl'!$A:$A,O$1,'g-expenses-sl'!$D:$D,"administration",'g-expenses-sl'!$E:$E,$C100)</f>
        <v/>
      </c>
      <c r="P100" s="24">
        <f>SUM(D100:O100)</f>
        <v/>
      </c>
      <c r="Q100" s="25" t="inlineStr">
        <is>
          <t>-&gt;</t>
        </is>
      </c>
    </row>
    <row r="101" hidden="1" outlineLevel="1" ht="12" customHeight="1">
      <c r="A101" s="23" t="inlineStr">
        <is>
          <t xml:space="preserve">            CLARIS</t>
        </is>
      </c>
      <c r="B101" s="4" t="n"/>
      <c r="C101" s="4" t="inlineStr">
        <is>
          <t>CLARIS</t>
        </is>
      </c>
      <c r="D101" s="5">
        <f>SUMIFS('g-expenses-sl'!$K:$K,'g-expenses-sl'!$A:$A,D$1,'g-expenses-sl'!$D:$D,"administration",'g-expenses-sl'!$E:$E,$C101)</f>
        <v/>
      </c>
      <c r="E101" s="5">
        <f>SUMIFS('g-expenses-sl'!$K:$K,'g-expenses-sl'!$A:$A,E$1,'g-expenses-sl'!$D:$D,"administration",'g-expenses-sl'!$E:$E,$C101)</f>
        <v/>
      </c>
      <c r="F101" s="5">
        <f>SUMIFS('g-expenses-sl'!$K:$K,'g-expenses-sl'!$A:$A,F$1,'g-expenses-sl'!$D:$D,"administration",'g-expenses-sl'!$E:$E,$C101)</f>
        <v/>
      </c>
      <c r="G101" s="5">
        <f>SUMIFS('g-expenses-sl'!$K:$K,'g-expenses-sl'!$A:$A,G$1,'g-expenses-sl'!$D:$D,"administration",'g-expenses-sl'!$E:$E,$C101)</f>
        <v/>
      </c>
      <c r="H101" s="5">
        <f>SUMIFS('g-expenses-sl'!$K:$K,'g-expenses-sl'!$A:$A,H$1,'g-expenses-sl'!$D:$D,"administration",'g-expenses-sl'!$E:$E,$C101)</f>
        <v/>
      </c>
      <c r="I101" s="5">
        <f>SUMIFS('g-expenses-sl'!$K:$K,'g-expenses-sl'!$A:$A,I$1,'g-expenses-sl'!$D:$D,"administration",'g-expenses-sl'!$E:$E,$C101)</f>
        <v/>
      </c>
      <c r="J101" s="5">
        <f>SUMIFS('g-expenses-sl'!$K:$K,'g-expenses-sl'!$A:$A,J$1,'g-expenses-sl'!$D:$D,"administration",'g-expenses-sl'!$E:$E,$C101)</f>
        <v/>
      </c>
      <c r="K101" s="5">
        <f>SUMIFS('g-expenses-sl'!$K:$K,'g-expenses-sl'!$A:$A,K$1,'g-expenses-sl'!$D:$D,"administration",'g-expenses-sl'!$E:$E,$C101)</f>
        <v/>
      </c>
      <c r="L101" s="5">
        <f>SUMIFS('g-expenses-sl'!$K:$K,'g-expenses-sl'!$A:$A,L$1,'g-expenses-sl'!$D:$D,"administration",'g-expenses-sl'!$E:$E,$C101)</f>
        <v/>
      </c>
      <c r="M101" s="5">
        <f>SUMIFS('g-expenses-sl'!$K:$K,'g-expenses-sl'!$A:$A,M$1,'g-expenses-sl'!$D:$D,"administration",'g-expenses-sl'!$E:$E,$C101)</f>
        <v/>
      </c>
      <c r="N101" s="5">
        <f>SUMIFS('g-expenses-sl'!$K:$K,'g-expenses-sl'!$A:$A,N$1,'g-expenses-sl'!$D:$D,"administration",'g-expenses-sl'!$E:$E,$C101)</f>
        <v/>
      </c>
      <c r="O101" s="5">
        <f>SUMIFS('g-expenses-sl'!$K:$K,'g-expenses-sl'!$A:$A,O$1,'g-expenses-sl'!$D:$D,"administration",'g-expenses-sl'!$E:$E,$C101)</f>
        <v/>
      </c>
      <c r="P101" s="24">
        <f>SUM(D101:O101)</f>
        <v/>
      </c>
      <c r="Q101" s="25" t="inlineStr">
        <is>
          <t>-&gt;</t>
        </is>
      </c>
    </row>
    <row r="102" hidden="1" outlineLevel="1" ht="12" customHeight="1">
      <c r="A102" s="23" t="inlineStr">
        <is>
          <t xml:space="preserve">            CONTASIMPLE</t>
        </is>
      </c>
      <c r="B102" s="4" t="n"/>
      <c r="C102" s="4" t="inlineStr">
        <is>
          <t>CONTASIMPLE</t>
        </is>
      </c>
      <c r="D102" s="5">
        <f>SUMIFS('g-expenses-sl'!$K:$K,'g-expenses-sl'!$A:$A,D$1,'g-expenses-sl'!$D:$D,"administration",'g-expenses-sl'!$E:$E,$C102)</f>
        <v/>
      </c>
      <c r="E102" s="5">
        <f>SUMIFS('g-expenses-sl'!$K:$K,'g-expenses-sl'!$A:$A,E$1,'g-expenses-sl'!$D:$D,"administration",'g-expenses-sl'!$E:$E,$C102)</f>
        <v/>
      </c>
      <c r="F102" s="5">
        <f>SUMIFS('g-expenses-sl'!$K:$K,'g-expenses-sl'!$A:$A,F$1,'g-expenses-sl'!$D:$D,"administration",'g-expenses-sl'!$E:$E,$C102)</f>
        <v/>
      </c>
      <c r="G102" s="5">
        <f>SUMIFS('g-expenses-sl'!$K:$K,'g-expenses-sl'!$A:$A,G$1,'g-expenses-sl'!$D:$D,"administration",'g-expenses-sl'!$E:$E,$C102)</f>
        <v/>
      </c>
      <c r="H102" s="5">
        <f>SUMIFS('g-expenses-sl'!$K:$K,'g-expenses-sl'!$A:$A,H$1,'g-expenses-sl'!$D:$D,"administration",'g-expenses-sl'!$E:$E,$C102)</f>
        <v/>
      </c>
      <c r="I102" s="5">
        <f>SUMIFS('g-expenses-sl'!$K:$K,'g-expenses-sl'!$A:$A,I$1,'g-expenses-sl'!$D:$D,"administration",'g-expenses-sl'!$E:$E,$C102)</f>
        <v/>
      </c>
      <c r="J102" s="5">
        <f>SUMIFS('g-expenses-sl'!$K:$K,'g-expenses-sl'!$A:$A,J$1,'g-expenses-sl'!$D:$D,"administration",'g-expenses-sl'!$E:$E,$C102)</f>
        <v/>
      </c>
      <c r="K102" s="5">
        <f>SUMIFS('g-expenses-sl'!$K:$K,'g-expenses-sl'!$A:$A,K$1,'g-expenses-sl'!$D:$D,"administration",'g-expenses-sl'!$E:$E,$C102)</f>
        <v/>
      </c>
      <c r="L102" s="5">
        <f>SUMIFS('g-expenses-sl'!$K:$K,'g-expenses-sl'!$A:$A,L$1,'g-expenses-sl'!$D:$D,"administration",'g-expenses-sl'!$E:$E,$C102)</f>
        <v/>
      </c>
      <c r="M102" s="5">
        <f>SUMIFS('g-expenses-sl'!$K:$K,'g-expenses-sl'!$A:$A,M$1,'g-expenses-sl'!$D:$D,"administration",'g-expenses-sl'!$E:$E,$C102)</f>
        <v/>
      </c>
      <c r="N102" s="5">
        <f>SUMIFS('g-expenses-sl'!$K:$K,'g-expenses-sl'!$A:$A,N$1,'g-expenses-sl'!$D:$D,"administration",'g-expenses-sl'!$E:$E,$C102)</f>
        <v/>
      </c>
      <c r="O102" s="5">
        <f>SUMIFS('g-expenses-sl'!$K:$K,'g-expenses-sl'!$A:$A,O$1,'g-expenses-sl'!$D:$D,"administration",'g-expenses-sl'!$E:$E,$C102)</f>
        <v/>
      </c>
      <c r="P102" s="24">
        <f>SUM(D102:O102)</f>
        <v/>
      </c>
      <c r="Q102" s="25" t="inlineStr">
        <is>
          <t>-&gt;</t>
        </is>
      </c>
    </row>
    <row r="103" hidden="1" outlineLevel="1" ht="12" customHeight="1">
      <c r="A103" s="23" t="inlineStr">
        <is>
          <t xml:space="preserve">            HANNUN</t>
        </is>
      </c>
      <c r="B103" s="4" t="n"/>
      <c r="C103" s="4" t="inlineStr">
        <is>
          <t>HANNUN</t>
        </is>
      </c>
      <c r="D103" s="5">
        <f>SUMIFS('g-expenses-sl'!$K:$K,'g-expenses-sl'!$A:$A,D$1,'g-expenses-sl'!$D:$D,"administration",'g-expenses-sl'!$E:$E,$C103)</f>
        <v/>
      </c>
      <c r="E103" s="5">
        <f>SUMIFS('g-expenses-sl'!$K:$K,'g-expenses-sl'!$A:$A,E$1,'g-expenses-sl'!$D:$D,"administration",'g-expenses-sl'!$E:$E,$C103)</f>
        <v/>
      </c>
      <c r="F103" s="5">
        <f>SUMIFS('g-expenses-sl'!$K:$K,'g-expenses-sl'!$A:$A,F$1,'g-expenses-sl'!$D:$D,"administration",'g-expenses-sl'!$E:$E,$C103)</f>
        <v/>
      </c>
      <c r="G103" s="5">
        <f>SUMIFS('g-expenses-sl'!$K:$K,'g-expenses-sl'!$A:$A,G$1,'g-expenses-sl'!$D:$D,"administration",'g-expenses-sl'!$E:$E,$C103)</f>
        <v/>
      </c>
      <c r="H103" s="5">
        <f>SUMIFS('g-expenses-sl'!$K:$K,'g-expenses-sl'!$A:$A,H$1,'g-expenses-sl'!$D:$D,"administration",'g-expenses-sl'!$E:$E,$C103)</f>
        <v/>
      </c>
      <c r="I103" s="5">
        <f>SUMIFS('g-expenses-sl'!$K:$K,'g-expenses-sl'!$A:$A,I$1,'g-expenses-sl'!$D:$D,"administration",'g-expenses-sl'!$E:$E,$C103)</f>
        <v/>
      </c>
      <c r="J103" s="5">
        <f>SUMIFS('g-expenses-sl'!$K:$K,'g-expenses-sl'!$A:$A,J$1,'g-expenses-sl'!$D:$D,"administration",'g-expenses-sl'!$E:$E,$C103)</f>
        <v/>
      </c>
      <c r="K103" s="5">
        <f>SUMIFS('g-expenses-sl'!$K:$K,'g-expenses-sl'!$A:$A,K$1,'g-expenses-sl'!$D:$D,"administration",'g-expenses-sl'!$E:$E,$C103)</f>
        <v/>
      </c>
      <c r="L103" s="5">
        <f>SUMIFS('g-expenses-sl'!$K:$K,'g-expenses-sl'!$A:$A,L$1,'g-expenses-sl'!$D:$D,"administration",'g-expenses-sl'!$E:$E,$C103)</f>
        <v/>
      </c>
      <c r="M103" s="5">
        <f>SUMIFS('g-expenses-sl'!$K:$K,'g-expenses-sl'!$A:$A,M$1,'g-expenses-sl'!$D:$D,"administration",'g-expenses-sl'!$E:$E,$C103)</f>
        <v/>
      </c>
      <c r="N103" s="5">
        <f>SUMIFS('g-expenses-sl'!$K:$K,'g-expenses-sl'!$A:$A,N$1,'g-expenses-sl'!$D:$D,"administration",'g-expenses-sl'!$E:$E,$C103)</f>
        <v/>
      </c>
      <c r="O103" s="5">
        <f>SUMIFS('g-expenses-sl'!$K:$K,'g-expenses-sl'!$A:$A,O$1,'g-expenses-sl'!$D:$D,"administration",'g-expenses-sl'!$E:$E,$C103)</f>
        <v/>
      </c>
      <c r="P103" s="24">
        <f>SUM(D103:O103)</f>
        <v/>
      </c>
      <c r="Q103" s="25" t="inlineStr">
        <is>
          <t>-&gt;</t>
        </is>
      </c>
    </row>
    <row r="104" hidden="1" outlineLevel="1" ht="12" customHeight="1">
      <c r="A104" s="23" t="inlineStr">
        <is>
          <t xml:space="preserve">            administration</t>
        </is>
      </c>
      <c r="B104" s="4" t="n"/>
      <c r="C104" s="4" t="inlineStr">
        <is>
          <t>administration</t>
        </is>
      </c>
      <c r="D104" s="5">
        <f>SUMIFS('g-expenses-sl'!$K:$K,'g-expenses-sl'!$A:$A,D$1,'g-expenses-sl'!$D:$D,"administration",'g-expenses-sl'!$E:$E,$C103,'g-expenses-sl'!$F:$F,$C104)</f>
        <v/>
      </c>
      <c r="E104" s="5">
        <f>SUMIFS('g-expenses-sl'!$K:$K,'g-expenses-sl'!$A:$A,E$1,'g-expenses-sl'!$D:$D,"administration",'g-expenses-sl'!$E:$E,$C103,'g-expenses-sl'!$F:$F,$C104)</f>
        <v/>
      </c>
      <c r="F104" s="5">
        <f>SUMIFS('g-expenses-sl'!$K:$K,'g-expenses-sl'!$A:$A,F$1,'g-expenses-sl'!$D:$D,"administration",'g-expenses-sl'!$E:$E,$C103,'g-expenses-sl'!$F:$F,$C104)</f>
        <v/>
      </c>
      <c r="G104" s="5">
        <f>SUMIFS('g-expenses-sl'!$K:$K,'g-expenses-sl'!$A:$A,G$1,'g-expenses-sl'!$D:$D,"administration",'g-expenses-sl'!$E:$E,$C103,'g-expenses-sl'!$F:$F,$C104)</f>
        <v/>
      </c>
      <c r="H104" s="5">
        <f>SUMIFS('g-expenses-sl'!$K:$K,'g-expenses-sl'!$A:$A,H$1,'g-expenses-sl'!$D:$D,"administration",'g-expenses-sl'!$E:$E,$C103,'g-expenses-sl'!$F:$F,$C104)</f>
        <v/>
      </c>
      <c r="I104" s="5">
        <f>SUMIFS('g-expenses-sl'!$K:$K,'g-expenses-sl'!$A:$A,I$1,'g-expenses-sl'!$D:$D,"administration",'g-expenses-sl'!$E:$E,$C103,'g-expenses-sl'!$F:$F,$C104)</f>
        <v/>
      </c>
      <c r="J104" s="5">
        <f>SUMIFS('g-expenses-sl'!$K:$K,'g-expenses-sl'!$A:$A,J$1,'g-expenses-sl'!$D:$D,"administration",'g-expenses-sl'!$E:$E,$C103,'g-expenses-sl'!$F:$F,$C104)</f>
        <v/>
      </c>
      <c r="K104" s="5">
        <f>SUMIFS('g-expenses-sl'!$K:$K,'g-expenses-sl'!$A:$A,K$1,'g-expenses-sl'!$D:$D,"administration",'g-expenses-sl'!$E:$E,$C103,'g-expenses-sl'!$F:$F,$C104)</f>
        <v/>
      </c>
      <c r="L104" s="5">
        <f>SUMIFS('g-expenses-sl'!$K:$K,'g-expenses-sl'!$A:$A,L$1,'g-expenses-sl'!$D:$D,"administration",'g-expenses-sl'!$E:$E,$C103,'g-expenses-sl'!$F:$F,$C104)</f>
        <v/>
      </c>
      <c r="M104" s="5">
        <f>SUMIFS('g-expenses-sl'!$K:$K,'g-expenses-sl'!$A:$A,M$1,'g-expenses-sl'!$D:$D,"administration",'g-expenses-sl'!$E:$E,$C103,'g-expenses-sl'!$F:$F,$C104)</f>
        <v/>
      </c>
      <c r="N104" s="5">
        <f>SUMIFS('g-expenses-sl'!$K:$K,'g-expenses-sl'!$A:$A,N$1,'g-expenses-sl'!$D:$D,"administration",'g-expenses-sl'!$E:$E,$C103,'g-expenses-sl'!$F:$F,$C104)</f>
        <v/>
      </c>
      <c r="O104" s="5">
        <f>SUMIFS('g-expenses-sl'!$K:$K,'g-expenses-sl'!$A:$A,O$1,'g-expenses-sl'!$D:$D,"administration",'g-expenses-sl'!$E:$E,$C103,'g-expenses-sl'!$F:$F,$C104)</f>
        <v/>
      </c>
      <c r="P104" s="24">
        <f>SUM(D104:O104)</f>
        <v/>
      </c>
      <c r="Q104" s="25" t="inlineStr">
        <is>
          <t>-&gt;</t>
        </is>
      </c>
    </row>
    <row r="105" hidden="1" outlineLevel="1" ht="12" customHeight="1">
      <c r="A105" s="23" t="inlineStr">
        <is>
          <t xml:space="preserve">            office</t>
        </is>
      </c>
      <c r="B105" s="4" t="n"/>
      <c r="C105" s="4" t="inlineStr">
        <is>
          <t>office</t>
        </is>
      </c>
      <c r="D105" s="5">
        <f>SUMIFS('g-expenses-sl'!$K:$K,'g-expenses-sl'!$A:$A,D$1,'g-expenses-sl'!$D:$D,"administration",'g-expenses-sl'!$E:$E,$C103,'g-expenses-sl'!$F:$F,$C105)</f>
        <v/>
      </c>
      <c r="E105" s="5">
        <f>SUMIFS('g-expenses-sl'!$K:$K,'g-expenses-sl'!$A:$A,E$1,'g-expenses-sl'!$D:$D,"administration",'g-expenses-sl'!$E:$E,$C103,'g-expenses-sl'!$F:$F,$C105)</f>
        <v/>
      </c>
      <c r="F105" s="5">
        <f>SUMIFS('g-expenses-sl'!$K:$K,'g-expenses-sl'!$A:$A,F$1,'g-expenses-sl'!$D:$D,"administration",'g-expenses-sl'!$E:$E,$C103,'g-expenses-sl'!$F:$F,$C105)</f>
        <v/>
      </c>
      <c r="G105" s="5">
        <f>SUMIFS('g-expenses-sl'!$K:$K,'g-expenses-sl'!$A:$A,G$1,'g-expenses-sl'!$D:$D,"administration",'g-expenses-sl'!$E:$E,$C103,'g-expenses-sl'!$F:$F,$C105)</f>
        <v/>
      </c>
      <c r="H105" s="5">
        <f>SUMIFS('g-expenses-sl'!$K:$K,'g-expenses-sl'!$A:$A,H$1,'g-expenses-sl'!$D:$D,"administration",'g-expenses-sl'!$E:$E,$C103,'g-expenses-sl'!$F:$F,$C105)</f>
        <v/>
      </c>
      <c r="I105" s="5">
        <f>SUMIFS('g-expenses-sl'!$K:$K,'g-expenses-sl'!$A:$A,I$1,'g-expenses-sl'!$D:$D,"administration",'g-expenses-sl'!$E:$E,$C103,'g-expenses-sl'!$F:$F,$C105)</f>
        <v/>
      </c>
      <c r="J105" s="5">
        <f>SUMIFS('g-expenses-sl'!$K:$K,'g-expenses-sl'!$A:$A,J$1,'g-expenses-sl'!$D:$D,"administration",'g-expenses-sl'!$E:$E,$C103,'g-expenses-sl'!$F:$F,$C105)</f>
        <v/>
      </c>
      <c r="K105" s="5">
        <f>SUMIFS('g-expenses-sl'!$K:$K,'g-expenses-sl'!$A:$A,K$1,'g-expenses-sl'!$D:$D,"administration",'g-expenses-sl'!$E:$E,$C103,'g-expenses-sl'!$F:$F,$C105)</f>
        <v/>
      </c>
      <c r="L105" s="5">
        <f>SUMIFS('g-expenses-sl'!$K:$K,'g-expenses-sl'!$A:$A,L$1,'g-expenses-sl'!$D:$D,"administration",'g-expenses-sl'!$E:$E,$C103,'g-expenses-sl'!$F:$F,$C105)</f>
        <v/>
      </c>
      <c r="M105" s="5">
        <f>SUMIFS('g-expenses-sl'!$K:$K,'g-expenses-sl'!$A:$A,M$1,'g-expenses-sl'!$D:$D,"administration",'g-expenses-sl'!$E:$E,$C103,'g-expenses-sl'!$F:$F,$C105)</f>
        <v/>
      </c>
      <c r="N105" s="5">
        <f>SUMIFS('g-expenses-sl'!$K:$K,'g-expenses-sl'!$A:$A,N$1,'g-expenses-sl'!$D:$D,"administration",'g-expenses-sl'!$E:$E,$C103,'g-expenses-sl'!$F:$F,$C105)</f>
        <v/>
      </c>
      <c r="O105" s="5">
        <f>SUMIFS('g-expenses-sl'!$K:$K,'g-expenses-sl'!$A:$A,O$1,'g-expenses-sl'!$D:$D,"administration",'g-expenses-sl'!$E:$E,$C103,'g-expenses-sl'!$F:$F,$C105)</f>
        <v/>
      </c>
      <c r="P105" s="24">
        <f>SUM(D105:O105)</f>
        <v/>
      </c>
      <c r="Q105" s="25" t="inlineStr">
        <is>
          <t>-&gt;</t>
        </is>
      </c>
    </row>
    <row r="106" hidden="1" outlineLevel="1" collapsed="1" ht="12" customHeight="1">
      <c r="A106" s="23" t="inlineStr">
        <is>
          <t xml:space="preserve">            services</t>
        </is>
      </c>
      <c r="B106" s="4" t="n"/>
      <c r="C106" s="4" t="inlineStr">
        <is>
          <t>services</t>
        </is>
      </c>
      <c r="D106" s="5">
        <f>SUMIFS('g-expenses-sl'!$K:$K,'g-expenses-sl'!$A:$A,D$1,'g-expenses-sl'!$D:$D,"administration",'g-expenses-sl'!$E:$E,$C103,'g-expenses-sl'!$F:$F,$C106)</f>
        <v/>
      </c>
      <c r="E106" s="5">
        <f>SUMIFS('g-expenses-sl'!$K:$K,'g-expenses-sl'!$A:$A,E$1,'g-expenses-sl'!$D:$D,"administration",'g-expenses-sl'!$E:$E,$C103,'g-expenses-sl'!$F:$F,$C106)</f>
        <v/>
      </c>
      <c r="F106" s="5">
        <f>SUMIFS('g-expenses-sl'!$K:$K,'g-expenses-sl'!$A:$A,F$1,'g-expenses-sl'!$D:$D,"administration",'g-expenses-sl'!$E:$E,$C103,'g-expenses-sl'!$F:$F,$C106)</f>
        <v/>
      </c>
      <c r="G106" s="5">
        <f>SUMIFS('g-expenses-sl'!$K:$K,'g-expenses-sl'!$A:$A,G$1,'g-expenses-sl'!$D:$D,"administration",'g-expenses-sl'!$E:$E,$C103,'g-expenses-sl'!$F:$F,$C106)</f>
        <v/>
      </c>
      <c r="H106" s="5">
        <f>SUMIFS('g-expenses-sl'!$K:$K,'g-expenses-sl'!$A:$A,H$1,'g-expenses-sl'!$D:$D,"administration",'g-expenses-sl'!$E:$E,$C103,'g-expenses-sl'!$F:$F,$C106)</f>
        <v/>
      </c>
      <c r="I106" s="5">
        <f>SUMIFS('g-expenses-sl'!$K:$K,'g-expenses-sl'!$A:$A,I$1,'g-expenses-sl'!$D:$D,"administration",'g-expenses-sl'!$E:$E,$C103,'g-expenses-sl'!$F:$F,$C106)</f>
        <v/>
      </c>
      <c r="J106" s="5">
        <f>SUMIFS('g-expenses-sl'!$K:$K,'g-expenses-sl'!$A:$A,J$1,'g-expenses-sl'!$D:$D,"administration",'g-expenses-sl'!$E:$E,$C103,'g-expenses-sl'!$F:$F,$C106)</f>
        <v/>
      </c>
      <c r="K106" s="5">
        <f>SUMIFS('g-expenses-sl'!$K:$K,'g-expenses-sl'!$A:$A,K$1,'g-expenses-sl'!$D:$D,"administration",'g-expenses-sl'!$E:$E,$C103,'g-expenses-sl'!$F:$F,$C106)</f>
        <v/>
      </c>
      <c r="L106" s="5">
        <f>SUMIFS('g-expenses-sl'!$K:$K,'g-expenses-sl'!$A:$A,L$1,'g-expenses-sl'!$D:$D,"administration",'g-expenses-sl'!$E:$E,$C103,'g-expenses-sl'!$F:$F,$C106)</f>
        <v/>
      </c>
      <c r="M106" s="5">
        <f>SUMIFS('g-expenses-sl'!$K:$K,'g-expenses-sl'!$A:$A,M$1,'g-expenses-sl'!$D:$D,"administration",'g-expenses-sl'!$E:$E,$C103,'g-expenses-sl'!$F:$F,$C106)</f>
        <v/>
      </c>
      <c r="N106" s="5">
        <f>SUMIFS('g-expenses-sl'!$K:$K,'g-expenses-sl'!$A:$A,N$1,'g-expenses-sl'!$D:$D,"administration",'g-expenses-sl'!$E:$E,$C103,'g-expenses-sl'!$F:$F,$C106)</f>
        <v/>
      </c>
      <c r="O106" s="5">
        <f>SUMIFS('g-expenses-sl'!$K:$K,'g-expenses-sl'!$A:$A,O$1,'g-expenses-sl'!$D:$D,"administration",'g-expenses-sl'!$E:$E,$C103,'g-expenses-sl'!$F:$F,$C106)</f>
        <v/>
      </c>
      <c r="P106" s="24">
        <f>SUM(D106:O106)</f>
        <v/>
      </c>
      <c r="Q106" s="25" t="inlineStr">
        <is>
          <t>-&gt;</t>
        </is>
      </c>
    </row>
    <row r="107" hidden="1" outlineLevel="1" ht="12" customHeight="1">
      <c r="A107" s="23" t="inlineStr">
        <is>
          <t xml:space="preserve">            LINKEDIN</t>
        </is>
      </c>
      <c r="B107" s="4" t="n"/>
      <c r="C107" s="4" t="inlineStr">
        <is>
          <t>LINKEDIN</t>
        </is>
      </c>
      <c r="D107" s="5">
        <f>SUMIFS('g-expenses-sl'!$K:$K,'g-expenses-sl'!$A:$A,D$1,'g-expenses-sl'!$D:$D,"administration",'g-expenses-sl'!$E:$E,$C107)</f>
        <v/>
      </c>
      <c r="E107" s="5">
        <f>SUMIFS('g-expenses-sl'!$K:$K,'g-expenses-sl'!$A:$A,E$1,'g-expenses-sl'!$D:$D,"administration",'g-expenses-sl'!$E:$E,$C107)</f>
        <v/>
      </c>
      <c r="F107" s="5">
        <f>SUMIFS('g-expenses-sl'!$K:$K,'g-expenses-sl'!$A:$A,F$1,'g-expenses-sl'!$D:$D,"administration",'g-expenses-sl'!$E:$E,$C107)</f>
        <v/>
      </c>
      <c r="G107" s="5">
        <f>SUMIFS('g-expenses-sl'!$K:$K,'g-expenses-sl'!$A:$A,G$1,'g-expenses-sl'!$D:$D,"administration",'g-expenses-sl'!$E:$E,$C107)</f>
        <v/>
      </c>
      <c r="H107" s="5">
        <f>SUMIFS('g-expenses-sl'!$K:$K,'g-expenses-sl'!$A:$A,H$1,'g-expenses-sl'!$D:$D,"administration",'g-expenses-sl'!$E:$E,$C107)</f>
        <v/>
      </c>
      <c r="I107" s="5">
        <f>SUMIFS('g-expenses-sl'!$K:$K,'g-expenses-sl'!$A:$A,I$1,'g-expenses-sl'!$D:$D,"administration",'g-expenses-sl'!$E:$E,$C107)</f>
        <v/>
      </c>
      <c r="J107" s="5">
        <f>SUMIFS('g-expenses-sl'!$K:$K,'g-expenses-sl'!$A:$A,J$1,'g-expenses-sl'!$D:$D,"administration",'g-expenses-sl'!$E:$E,$C107)</f>
        <v/>
      </c>
      <c r="K107" s="5">
        <f>SUMIFS('g-expenses-sl'!$K:$K,'g-expenses-sl'!$A:$A,K$1,'g-expenses-sl'!$D:$D,"administration",'g-expenses-sl'!$E:$E,$C107)</f>
        <v/>
      </c>
      <c r="L107" s="5">
        <f>SUMIFS('g-expenses-sl'!$K:$K,'g-expenses-sl'!$A:$A,L$1,'g-expenses-sl'!$D:$D,"administration",'g-expenses-sl'!$E:$E,$C107)</f>
        <v/>
      </c>
      <c r="M107" s="5">
        <f>SUMIFS('g-expenses-sl'!$K:$K,'g-expenses-sl'!$A:$A,M$1,'g-expenses-sl'!$D:$D,"administration",'g-expenses-sl'!$E:$E,$C107)</f>
        <v/>
      </c>
      <c r="N107" s="5">
        <f>SUMIFS('g-expenses-sl'!$K:$K,'g-expenses-sl'!$A:$A,N$1,'g-expenses-sl'!$D:$D,"administration",'g-expenses-sl'!$E:$E,$C107)</f>
        <v/>
      </c>
      <c r="O107" s="5">
        <f>SUMIFS('g-expenses-sl'!$K:$K,'g-expenses-sl'!$A:$A,O$1,'g-expenses-sl'!$D:$D,"administration",'g-expenses-sl'!$E:$E,$C107)</f>
        <v/>
      </c>
      <c r="P107" s="24">
        <f>SUM(D107:O107)</f>
        <v/>
      </c>
      <c r="Q107" s="25" t="inlineStr">
        <is>
          <t>-&gt;</t>
        </is>
      </c>
    </row>
    <row r="108" hidden="1" outlineLevel="1" ht="12" customHeight="1">
      <c r="A108" s="23" t="inlineStr">
        <is>
          <t xml:space="preserve">            LIZENZERO</t>
        </is>
      </c>
      <c r="B108" s="4" t="n"/>
      <c r="C108" s="4" t="inlineStr">
        <is>
          <t>LIZENZERO</t>
        </is>
      </c>
      <c r="D108" s="5">
        <f>SUMIFS('g-expenses-sl'!$K:$K,'g-expenses-sl'!$A:$A,D$1,'g-expenses-sl'!$D:$D,"administration",'g-expenses-sl'!$E:$E,$C108)</f>
        <v/>
      </c>
      <c r="E108" s="5">
        <f>SUMIFS('g-expenses-sl'!$K:$K,'g-expenses-sl'!$A:$A,E$1,'g-expenses-sl'!$D:$D,"administration",'g-expenses-sl'!$E:$E,$C108)</f>
        <v/>
      </c>
      <c r="F108" s="5">
        <f>SUMIFS('g-expenses-sl'!$K:$K,'g-expenses-sl'!$A:$A,F$1,'g-expenses-sl'!$D:$D,"administration",'g-expenses-sl'!$E:$E,$C108)</f>
        <v/>
      </c>
      <c r="G108" s="5">
        <f>SUMIFS('g-expenses-sl'!$K:$K,'g-expenses-sl'!$A:$A,G$1,'g-expenses-sl'!$D:$D,"administration",'g-expenses-sl'!$E:$E,$C108)</f>
        <v/>
      </c>
      <c r="H108" s="5">
        <f>SUMIFS('g-expenses-sl'!$K:$K,'g-expenses-sl'!$A:$A,H$1,'g-expenses-sl'!$D:$D,"administration",'g-expenses-sl'!$E:$E,$C108)</f>
        <v/>
      </c>
      <c r="I108" s="5">
        <f>SUMIFS('g-expenses-sl'!$K:$K,'g-expenses-sl'!$A:$A,I$1,'g-expenses-sl'!$D:$D,"administration",'g-expenses-sl'!$E:$E,$C108)</f>
        <v/>
      </c>
      <c r="J108" s="5">
        <f>SUMIFS('g-expenses-sl'!$K:$K,'g-expenses-sl'!$A:$A,J$1,'g-expenses-sl'!$D:$D,"administration",'g-expenses-sl'!$E:$E,$C108)</f>
        <v/>
      </c>
      <c r="K108" s="5">
        <f>SUMIFS('g-expenses-sl'!$K:$K,'g-expenses-sl'!$A:$A,K$1,'g-expenses-sl'!$D:$D,"administration",'g-expenses-sl'!$E:$E,$C108)</f>
        <v/>
      </c>
      <c r="L108" s="5">
        <f>SUMIFS('g-expenses-sl'!$K:$K,'g-expenses-sl'!$A:$A,L$1,'g-expenses-sl'!$D:$D,"administration",'g-expenses-sl'!$E:$E,$C108)</f>
        <v/>
      </c>
      <c r="M108" s="5">
        <f>SUMIFS('g-expenses-sl'!$K:$K,'g-expenses-sl'!$A:$A,M$1,'g-expenses-sl'!$D:$D,"administration",'g-expenses-sl'!$E:$E,$C108)</f>
        <v/>
      </c>
      <c r="N108" s="5">
        <f>SUMIFS('g-expenses-sl'!$K:$K,'g-expenses-sl'!$A:$A,N$1,'g-expenses-sl'!$D:$D,"administration",'g-expenses-sl'!$E:$E,$C108)</f>
        <v/>
      </c>
      <c r="O108" s="5">
        <f>SUMIFS('g-expenses-sl'!$K:$K,'g-expenses-sl'!$A:$A,O$1,'g-expenses-sl'!$D:$D,"administration",'g-expenses-sl'!$E:$E,$C108)</f>
        <v/>
      </c>
      <c r="P108" s="24">
        <f>SUM(D108:O108)</f>
        <v/>
      </c>
      <c r="Q108" s="25" t="inlineStr">
        <is>
          <t>-&gt;</t>
        </is>
      </c>
    </row>
    <row r="109" hidden="1" outlineLevel="1" ht="12" customHeight="1">
      <c r="A109" s="23" t="inlineStr">
        <is>
          <t xml:space="preserve">            NODA</t>
        </is>
      </c>
      <c r="B109" s="4" t="n"/>
      <c r="C109" s="4" t="inlineStr">
        <is>
          <t>NODA</t>
        </is>
      </c>
      <c r="D109" s="5">
        <f>SUMIFS('g-expenses-sl'!$K:$K,'g-expenses-sl'!$A:$A,D$1,'g-expenses-sl'!$D:$D,"administration",'g-expenses-sl'!$E:$E,$C109)</f>
        <v/>
      </c>
      <c r="E109" s="5">
        <f>SUMIFS('g-expenses-sl'!$K:$K,'g-expenses-sl'!$A:$A,E$1,'g-expenses-sl'!$D:$D,"administration",'g-expenses-sl'!$E:$E,$C109)</f>
        <v/>
      </c>
      <c r="F109" s="5">
        <f>SUMIFS('g-expenses-sl'!$K:$K,'g-expenses-sl'!$A:$A,F$1,'g-expenses-sl'!$D:$D,"administration",'g-expenses-sl'!$E:$E,$C109)</f>
        <v/>
      </c>
      <c r="G109" s="5">
        <f>SUMIFS('g-expenses-sl'!$K:$K,'g-expenses-sl'!$A:$A,G$1,'g-expenses-sl'!$D:$D,"administration",'g-expenses-sl'!$E:$E,$C109)</f>
        <v/>
      </c>
      <c r="H109" s="5">
        <f>SUMIFS('g-expenses-sl'!$K:$K,'g-expenses-sl'!$A:$A,H$1,'g-expenses-sl'!$D:$D,"administration",'g-expenses-sl'!$E:$E,$C109)</f>
        <v/>
      </c>
      <c r="I109" s="5">
        <f>SUMIFS('g-expenses-sl'!$K:$K,'g-expenses-sl'!$A:$A,I$1,'g-expenses-sl'!$D:$D,"administration",'g-expenses-sl'!$E:$E,$C109)</f>
        <v/>
      </c>
      <c r="J109" s="5">
        <f>SUMIFS('g-expenses-sl'!$K:$K,'g-expenses-sl'!$A:$A,J$1,'g-expenses-sl'!$D:$D,"administration",'g-expenses-sl'!$E:$E,$C109)</f>
        <v/>
      </c>
      <c r="K109" s="5">
        <f>SUMIFS('g-expenses-sl'!$K:$K,'g-expenses-sl'!$A:$A,K$1,'g-expenses-sl'!$D:$D,"administration",'g-expenses-sl'!$E:$E,$C109)</f>
        <v/>
      </c>
      <c r="L109" s="5">
        <f>SUMIFS('g-expenses-sl'!$K:$K,'g-expenses-sl'!$A:$A,L$1,'g-expenses-sl'!$D:$D,"administration",'g-expenses-sl'!$E:$E,$C109)</f>
        <v/>
      </c>
      <c r="M109" s="5">
        <f>SUMIFS('g-expenses-sl'!$K:$K,'g-expenses-sl'!$A:$A,M$1,'g-expenses-sl'!$D:$D,"administration",'g-expenses-sl'!$E:$E,$C109)</f>
        <v/>
      </c>
      <c r="N109" s="5">
        <f>SUMIFS('g-expenses-sl'!$K:$K,'g-expenses-sl'!$A:$A,N$1,'g-expenses-sl'!$D:$D,"administration",'g-expenses-sl'!$E:$E,$C109)</f>
        <v/>
      </c>
      <c r="O109" s="5">
        <f>SUMIFS('g-expenses-sl'!$K:$K,'g-expenses-sl'!$A:$A,O$1,'g-expenses-sl'!$D:$D,"administration",'g-expenses-sl'!$E:$E,$C109)</f>
        <v/>
      </c>
      <c r="P109" s="24">
        <f>SUM(D109:O109)</f>
        <v/>
      </c>
      <c r="Q109" s="25" t="inlineStr">
        <is>
          <t>-&gt;</t>
        </is>
      </c>
    </row>
    <row r="110" hidden="1" outlineLevel="1" ht="12" customHeight="1">
      <c r="A110" s="23" t="inlineStr">
        <is>
          <t xml:space="preserve">            NOTARIOSMONTESQUINZA</t>
        </is>
      </c>
      <c r="B110" s="4" t="n"/>
      <c r="C110" s="4" t="inlineStr">
        <is>
          <t>NOTARIOSMONTESQUINZA</t>
        </is>
      </c>
      <c r="D110" s="5">
        <f>SUMIFS('g-expenses-sl'!$K:$K,'g-expenses-sl'!$A:$A,D$1,'g-expenses-sl'!$D:$D,"administration",'g-expenses-sl'!$E:$E,$C110)</f>
        <v/>
      </c>
      <c r="E110" s="5">
        <f>SUMIFS('g-expenses-sl'!$K:$K,'g-expenses-sl'!$A:$A,E$1,'g-expenses-sl'!$D:$D,"administration",'g-expenses-sl'!$E:$E,$C110)</f>
        <v/>
      </c>
      <c r="F110" s="5">
        <f>SUMIFS('g-expenses-sl'!$K:$K,'g-expenses-sl'!$A:$A,F$1,'g-expenses-sl'!$D:$D,"administration",'g-expenses-sl'!$E:$E,$C110)</f>
        <v/>
      </c>
      <c r="G110" s="5">
        <f>SUMIFS('g-expenses-sl'!$K:$K,'g-expenses-sl'!$A:$A,G$1,'g-expenses-sl'!$D:$D,"administration",'g-expenses-sl'!$E:$E,$C110)</f>
        <v/>
      </c>
      <c r="H110" s="5">
        <f>SUMIFS('g-expenses-sl'!$K:$K,'g-expenses-sl'!$A:$A,H$1,'g-expenses-sl'!$D:$D,"administration",'g-expenses-sl'!$E:$E,$C110)</f>
        <v/>
      </c>
      <c r="I110" s="5">
        <f>SUMIFS('g-expenses-sl'!$K:$K,'g-expenses-sl'!$A:$A,I$1,'g-expenses-sl'!$D:$D,"administration",'g-expenses-sl'!$E:$E,$C110)</f>
        <v/>
      </c>
      <c r="J110" s="5">
        <f>SUMIFS('g-expenses-sl'!$K:$K,'g-expenses-sl'!$A:$A,J$1,'g-expenses-sl'!$D:$D,"administration",'g-expenses-sl'!$E:$E,$C110)</f>
        <v/>
      </c>
      <c r="K110" s="5">
        <f>SUMIFS('g-expenses-sl'!$K:$K,'g-expenses-sl'!$A:$A,K$1,'g-expenses-sl'!$D:$D,"administration",'g-expenses-sl'!$E:$E,$C110)</f>
        <v/>
      </c>
      <c r="L110" s="5">
        <f>SUMIFS('g-expenses-sl'!$K:$K,'g-expenses-sl'!$A:$A,L$1,'g-expenses-sl'!$D:$D,"administration",'g-expenses-sl'!$E:$E,$C110)</f>
        <v/>
      </c>
      <c r="M110" s="5">
        <f>SUMIFS('g-expenses-sl'!$K:$K,'g-expenses-sl'!$A:$A,M$1,'g-expenses-sl'!$D:$D,"administration",'g-expenses-sl'!$E:$E,$C110)</f>
        <v/>
      </c>
      <c r="N110" s="5">
        <f>SUMIFS('g-expenses-sl'!$K:$K,'g-expenses-sl'!$A:$A,N$1,'g-expenses-sl'!$D:$D,"administration",'g-expenses-sl'!$E:$E,$C110)</f>
        <v/>
      </c>
      <c r="O110" s="5">
        <f>SUMIFS('g-expenses-sl'!$K:$K,'g-expenses-sl'!$A:$A,O$1,'g-expenses-sl'!$D:$D,"administration",'g-expenses-sl'!$E:$E,$C110)</f>
        <v/>
      </c>
      <c r="P110" s="24">
        <f>SUM(D110:O110)</f>
        <v/>
      </c>
      <c r="Q110" s="25" t="inlineStr">
        <is>
          <t>-&gt;</t>
        </is>
      </c>
    </row>
    <row r="111" hidden="1" outlineLevel="1" ht="12" customHeight="1">
      <c r="A111" s="23" t="inlineStr">
        <is>
          <t xml:space="preserve">            REGUS</t>
        </is>
      </c>
      <c r="B111" s="4" t="n"/>
      <c r="C111" s="4" t="inlineStr">
        <is>
          <t>REGUS</t>
        </is>
      </c>
      <c r="D111" s="5">
        <f>SUMIFS('g-expenses-sl'!$K:$K,'g-expenses-sl'!$A:$A,D$1,'g-expenses-sl'!$D:$D,"administration",'g-expenses-sl'!$E:$E,$C111)</f>
        <v/>
      </c>
      <c r="E111" s="5">
        <f>SUMIFS('g-expenses-sl'!$K:$K,'g-expenses-sl'!$A:$A,E$1,'g-expenses-sl'!$D:$D,"administration",'g-expenses-sl'!$E:$E,$C111)</f>
        <v/>
      </c>
      <c r="F111" s="5">
        <f>SUMIFS('g-expenses-sl'!$K:$K,'g-expenses-sl'!$A:$A,F$1,'g-expenses-sl'!$D:$D,"administration",'g-expenses-sl'!$E:$E,$C111)</f>
        <v/>
      </c>
      <c r="G111" s="5">
        <f>SUMIFS('g-expenses-sl'!$K:$K,'g-expenses-sl'!$A:$A,G$1,'g-expenses-sl'!$D:$D,"administration",'g-expenses-sl'!$E:$E,$C111)</f>
        <v/>
      </c>
      <c r="H111" s="5">
        <f>SUMIFS('g-expenses-sl'!$K:$K,'g-expenses-sl'!$A:$A,H$1,'g-expenses-sl'!$D:$D,"administration",'g-expenses-sl'!$E:$E,$C111)</f>
        <v/>
      </c>
      <c r="I111" s="5">
        <f>SUMIFS('g-expenses-sl'!$K:$K,'g-expenses-sl'!$A:$A,I$1,'g-expenses-sl'!$D:$D,"administration",'g-expenses-sl'!$E:$E,$C111)</f>
        <v/>
      </c>
      <c r="J111" s="5">
        <f>SUMIFS('g-expenses-sl'!$K:$K,'g-expenses-sl'!$A:$A,J$1,'g-expenses-sl'!$D:$D,"administration",'g-expenses-sl'!$E:$E,$C111)</f>
        <v/>
      </c>
      <c r="K111" s="5">
        <f>SUMIFS('g-expenses-sl'!$K:$K,'g-expenses-sl'!$A:$A,K$1,'g-expenses-sl'!$D:$D,"administration",'g-expenses-sl'!$E:$E,$C111)</f>
        <v/>
      </c>
      <c r="L111" s="5">
        <f>SUMIFS('g-expenses-sl'!$K:$K,'g-expenses-sl'!$A:$A,L$1,'g-expenses-sl'!$D:$D,"administration",'g-expenses-sl'!$E:$E,$C111)</f>
        <v/>
      </c>
      <c r="M111" s="5">
        <f>SUMIFS('g-expenses-sl'!$K:$K,'g-expenses-sl'!$A:$A,M$1,'g-expenses-sl'!$D:$D,"administration",'g-expenses-sl'!$E:$E,$C111)</f>
        <v/>
      </c>
      <c r="N111" s="5">
        <f>SUMIFS('g-expenses-sl'!$K:$K,'g-expenses-sl'!$A:$A,N$1,'g-expenses-sl'!$D:$D,"administration",'g-expenses-sl'!$E:$E,$C111)</f>
        <v/>
      </c>
      <c r="O111" s="5">
        <f>SUMIFS('g-expenses-sl'!$K:$K,'g-expenses-sl'!$A:$A,O$1,'g-expenses-sl'!$D:$D,"administration",'g-expenses-sl'!$E:$E,$C111)</f>
        <v/>
      </c>
      <c r="P111" s="24">
        <f>SUM(D111:O111)</f>
        <v/>
      </c>
      <c r="Q111" s="25" t="inlineStr">
        <is>
          <t>-&gt;</t>
        </is>
      </c>
    </row>
    <row r="112" hidden="1" outlineLevel="1" ht="12" customHeight="1">
      <c r="A112" s="23" t="inlineStr">
        <is>
          <t xml:space="preserve">            TORRAS</t>
        </is>
      </c>
      <c r="B112" s="4" t="n"/>
      <c r="C112" s="4" t="inlineStr">
        <is>
          <t>TORRAS</t>
        </is>
      </c>
      <c r="D112" s="5">
        <f>SUMIFS('g-expenses-sl'!$K:$K,'g-expenses-sl'!$A:$A,D$1,'g-expenses-sl'!$D:$D,"administration",'g-expenses-sl'!$E:$E,$C112)</f>
        <v/>
      </c>
      <c r="E112" s="5">
        <f>SUMIFS('g-expenses-sl'!$K:$K,'g-expenses-sl'!$A:$A,E$1,'g-expenses-sl'!$D:$D,"administration",'g-expenses-sl'!$E:$E,$C112)</f>
        <v/>
      </c>
      <c r="F112" s="5">
        <f>SUMIFS('g-expenses-sl'!$K:$K,'g-expenses-sl'!$A:$A,F$1,'g-expenses-sl'!$D:$D,"administration",'g-expenses-sl'!$E:$E,$C112)</f>
        <v/>
      </c>
      <c r="G112" s="5">
        <f>SUMIFS('g-expenses-sl'!$K:$K,'g-expenses-sl'!$A:$A,G$1,'g-expenses-sl'!$D:$D,"administration",'g-expenses-sl'!$E:$E,$C112)</f>
        <v/>
      </c>
      <c r="H112" s="5">
        <f>SUMIFS('g-expenses-sl'!$K:$K,'g-expenses-sl'!$A:$A,H$1,'g-expenses-sl'!$D:$D,"administration",'g-expenses-sl'!$E:$E,$C112)</f>
        <v/>
      </c>
      <c r="I112" s="5">
        <f>SUMIFS('g-expenses-sl'!$K:$K,'g-expenses-sl'!$A:$A,I$1,'g-expenses-sl'!$D:$D,"administration",'g-expenses-sl'!$E:$E,$C112)</f>
        <v/>
      </c>
      <c r="J112" s="5">
        <f>SUMIFS('g-expenses-sl'!$K:$K,'g-expenses-sl'!$A:$A,J$1,'g-expenses-sl'!$D:$D,"administration",'g-expenses-sl'!$E:$E,$C112)</f>
        <v/>
      </c>
      <c r="K112" s="5">
        <f>SUMIFS('g-expenses-sl'!$K:$K,'g-expenses-sl'!$A:$A,K$1,'g-expenses-sl'!$D:$D,"administration",'g-expenses-sl'!$E:$E,$C112)</f>
        <v/>
      </c>
      <c r="L112" s="5">
        <f>SUMIFS('g-expenses-sl'!$K:$K,'g-expenses-sl'!$A:$A,L$1,'g-expenses-sl'!$D:$D,"administration",'g-expenses-sl'!$E:$E,$C112)</f>
        <v/>
      </c>
      <c r="M112" s="5">
        <f>SUMIFS('g-expenses-sl'!$K:$K,'g-expenses-sl'!$A:$A,M$1,'g-expenses-sl'!$D:$D,"administration",'g-expenses-sl'!$E:$E,$C112)</f>
        <v/>
      </c>
      <c r="N112" s="5">
        <f>SUMIFS('g-expenses-sl'!$K:$K,'g-expenses-sl'!$A:$A,N$1,'g-expenses-sl'!$D:$D,"administration",'g-expenses-sl'!$E:$E,$C112)</f>
        <v/>
      </c>
      <c r="O112" s="5">
        <f>SUMIFS('g-expenses-sl'!$K:$K,'g-expenses-sl'!$A:$A,O$1,'g-expenses-sl'!$D:$D,"administration",'g-expenses-sl'!$E:$E,$C112)</f>
        <v/>
      </c>
      <c r="P112" s="24">
        <f>SUM(D112:O112)</f>
        <v/>
      </c>
      <c r="Q112" s="25" t="inlineStr">
        <is>
          <t>-&gt;</t>
        </is>
      </c>
    </row>
    <row r="113" hidden="1" outlineLevel="1" collapsed="1" ht="12" customHeight="1">
      <c r="A113" s="23" t="inlineStr">
        <is>
          <t xml:space="preserve">            VITALY</t>
        </is>
      </c>
      <c r="B113" s="4" t="n"/>
      <c r="C113" s="4" t="inlineStr">
        <is>
          <t>VITALY</t>
        </is>
      </c>
      <c r="D113" s="5">
        <f>SUMIFS('g-expenses-sl'!$K:$K,'g-expenses-sl'!$A:$A,D$1,'g-expenses-sl'!$D:$D,"administration",'g-expenses-sl'!$E:$E,$C113)</f>
        <v/>
      </c>
      <c r="E113" s="5">
        <f>SUMIFS('g-expenses-sl'!$K:$K,'g-expenses-sl'!$A:$A,E$1,'g-expenses-sl'!$D:$D,"administration",'g-expenses-sl'!$E:$E,$C113)</f>
        <v/>
      </c>
      <c r="F113" s="5">
        <f>SUMIFS('g-expenses-sl'!$K:$K,'g-expenses-sl'!$A:$A,F$1,'g-expenses-sl'!$D:$D,"administration",'g-expenses-sl'!$E:$E,$C113)</f>
        <v/>
      </c>
      <c r="G113" s="5">
        <f>SUMIFS('g-expenses-sl'!$K:$K,'g-expenses-sl'!$A:$A,G$1,'g-expenses-sl'!$D:$D,"administration",'g-expenses-sl'!$E:$E,$C113)</f>
        <v/>
      </c>
      <c r="H113" s="5">
        <f>SUMIFS('g-expenses-sl'!$K:$K,'g-expenses-sl'!$A:$A,H$1,'g-expenses-sl'!$D:$D,"administration",'g-expenses-sl'!$E:$E,$C113)</f>
        <v/>
      </c>
      <c r="I113" s="5">
        <f>SUMIFS('g-expenses-sl'!$K:$K,'g-expenses-sl'!$A:$A,I$1,'g-expenses-sl'!$D:$D,"administration",'g-expenses-sl'!$E:$E,$C113)</f>
        <v/>
      </c>
      <c r="J113" s="5">
        <f>SUMIFS('g-expenses-sl'!$K:$K,'g-expenses-sl'!$A:$A,J$1,'g-expenses-sl'!$D:$D,"administration",'g-expenses-sl'!$E:$E,$C113)</f>
        <v/>
      </c>
      <c r="K113" s="5">
        <f>SUMIFS('g-expenses-sl'!$K:$K,'g-expenses-sl'!$A:$A,K$1,'g-expenses-sl'!$D:$D,"administration",'g-expenses-sl'!$E:$E,$C113)</f>
        <v/>
      </c>
      <c r="L113" s="5">
        <f>SUMIFS('g-expenses-sl'!$K:$K,'g-expenses-sl'!$A:$A,L$1,'g-expenses-sl'!$D:$D,"administration",'g-expenses-sl'!$E:$E,$C113)</f>
        <v/>
      </c>
      <c r="M113" s="5">
        <f>SUMIFS('g-expenses-sl'!$K:$K,'g-expenses-sl'!$A:$A,M$1,'g-expenses-sl'!$D:$D,"administration",'g-expenses-sl'!$E:$E,$C113)</f>
        <v/>
      </c>
      <c r="N113" s="5">
        <f>SUMIFS('g-expenses-sl'!$K:$K,'g-expenses-sl'!$A:$A,N$1,'g-expenses-sl'!$D:$D,"administration",'g-expenses-sl'!$E:$E,$C113)</f>
        <v/>
      </c>
      <c r="O113" s="5">
        <f>SUMIFS('g-expenses-sl'!$K:$K,'g-expenses-sl'!$A:$A,O$1,'g-expenses-sl'!$D:$D,"administration",'g-expenses-sl'!$E:$E,$C113)</f>
        <v/>
      </c>
      <c r="P113" s="24">
        <f>SUM(D113:O113)</f>
        <v/>
      </c>
      <c r="Q113" s="25" t="inlineStr">
        <is>
          <t>-&gt;</t>
        </is>
      </c>
    </row>
    <row r="114" ht="12" customHeight="1">
      <c r="A114" s="17" t="inlineStr">
        <is>
          <t xml:space="preserve">        Technology</t>
        </is>
      </c>
      <c r="B114" s="18" t="n"/>
      <c r="C114" s="19" t="inlineStr">
        <is>
          <t>Technology</t>
        </is>
      </c>
      <c r="D114" s="20">
        <f>SUM(D115:D131)</f>
        <v/>
      </c>
      <c r="E114" s="20">
        <f>SUM(E115:E131)</f>
        <v/>
      </c>
      <c r="F114" s="20">
        <f>SUM(F115:F131)</f>
        <v/>
      </c>
      <c r="G114" s="20">
        <f>SUM(G115:G131)</f>
        <v/>
      </c>
      <c r="H114" s="20">
        <f>SUM(H115:H131)</f>
        <v/>
      </c>
      <c r="I114" s="20">
        <f>SUM(I115:I131)</f>
        <v/>
      </c>
      <c r="J114" s="20">
        <f>SUM(J115:J131)</f>
        <v/>
      </c>
      <c r="K114" s="20">
        <f>SUM(K115:K131)</f>
        <v/>
      </c>
      <c r="L114" s="20">
        <f>SUM(L115:L131)</f>
        <v/>
      </c>
      <c r="M114" s="20">
        <f>SUM(M115:M131)</f>
        <v/>
      </c>
      <c r="N114" s="20">
        <f>SUM(N115:N131)</f>
        <v/>
      </c>
      <c r="O114" s="20">
        <f>SUM(O115:O131)</f>
        <v/>
      </c>
      <c r="P114" s="21">
        <f>SUM(D114:O114)</f>
        <v/>
      </c>
      <c r="Q114" s="22" t="inlineStr">
        <is>
          <t>-&gt;</t>
        </is>
      </c>
    </row>
    <row r="115" hidden="1" outlineLevel="1" ht="12" customHeight="1">
      <c r="A115" s="23" t="inlineStr">
        <is>
          <t xml:space="preserve">            ADOBE</t>
        </is>
      </c>
      <c r="B115" s="4" t="n"/>
      <c r="C115" s="4" t="inlineStr">
        <is>
          <t>ADOBE</t>
        </is>
      </c>
      <c r="D115" s="5">
        <f>SUMIFS('g-expenses-sl'!$K:$K,'g-expenses-sl'!$A:$A,D$1,'g-expenses-sl'!$D:$D,"technology",'g-expenses-sl'!$E:$E,$C115)</f>
        <v/>
      </c>
      <c r="E115" s="5">
        <f>SUMIFS('g-expenses-sl'!$K:$K,'g-expenses-sl'!$A:$A,E$1,'g-expenses-sl'!$D:$D,"technology",'g-expenses-sl'!$E:$E,$C115)</f>
        <v/>
      </c>
      <c r="F115" s="5">
        <f>SUMIFS('g-expenses-sl'!$K:$K,'g-expenses-sl'!$A:$A,F$1,'g-expenses-sl'!$D:$D,"technology",'g-expenses-sl'!$E:$E,$C115)</f>
        <v/>
      </c>
      <c r="G115" s="5">
        <f>SUMIFS('g-expenses-sl'!$K:$K,'g-expenses-sl'!$A:$A,G$1,'g-expenses-sl'!$D:$D,"technology",'g-expenses-sl'!$E:$E,$C115)</f>
        <v/>
      </c>
      <c r="H115" s="5">
        <f>SUMIFS('g-expenses-sl'!$K:$K,'g-expenses-sl'!$A:$A,H$1,'g-expenses-sl'!$D:$D,"technology",'g-expenses-sl'!$E:$E,$C115)</f>
        <v/>
      </c>
      <c r="I115" s="5">
        <f>SUMIFS('g-expenses-sl'!$K:$K,'g-expenses-sl'!$A:$A,I$1,'g-expenses-sl'!$D:$D,"technology",'g-expenses-sl'!$E:$E,$C115)</f>
        <v/>
      </c>
      <c r="J115" s="5">
        <f>SUMIFS('g-expenses-sl'!$K:$K,'g-expenses-sl'!$A:$A,J$1,'g-expenses-sl'!$D:$D,"technology",'g-expenses-sl'!$E:$E,$C115)</f>
        <v/>
      </c>
      <c r="K115" s="5">
        <f>SUMIFS('g-expenses-sl'!$K:$K,'g-expenses-sl'!$A:$A,K$1,'g-expenses-sl'!$D:$D,"technology",'g-expenses-sl'!$E:$E,$C115)</f>
        <v/>
      </c>
      <c r="L115" s="5">
        <f>SUMIFS('g-expenses-sl'!$K:$K,'g-expenses-sl'!$A:$A,L$1,'g-expenses-sl'!$D:$D,"technology",'g-expenses-sl'!$E:$E,$C115)</f>
        <v/>
      </c>
      <c r="M115" s="5">
        <f>SUMIFS('g-expenses-sl'!$K:$K,'g-expenses-sl'!$A:$A,M$1,'g-expenses-sl'!$D:$D,"technology",'g-expenses-sl'!$E:$E,$C115)</f>
        <v/>
      </c>
      <c r="N115" s="5">
        <f>SUMIFS('g-expenses-sl'!$K:$K,'g-expenses-sl'!$A:$A,N$1,'g-expenses-sl'!$D:$D,"technology",'g-expenses-sl'!$E:$E,$C115)</f>
        <v/>
      </c>
      <c r="O115" s="5">
        <f>SUMIFS('g-expenses-sl'!$K:$K,'g-expenses-sl'!$A:$A,O$1,'g-expenses-sl'!$D:$D,"technology",'g-expenses-sl'!$E:$E,$C115)</f>
        <v/>
      </c>
      <c r="P115" s="24">
        <f>SUM(D115:O115)</f>
        <v/>
      </c>
      <c r="Q115" s="25" t="inlineStr">
        <is>
          <t>-&gt;</t>
        </is>
      </c>
    </row>
    <row r="116" hidden="1" outlineLevel="1" ht="12" customHeight="1">
      <c r="A116" s="23" t="inlineStr">
        <is>
          <t xml:space="preserve">            CANVA</t>
        </is>
      </c>
      <c r="B116" s="4" t="n"/>
      <c r="C116" s="4" t="inlineStr">
        <is>
          <t>CANVA</t>
        </is>
      </c>
      <c r="D116" s="5">
        <f>SUMIFS('g-expenses-sl'!$K:$K,'g-expenses-sl'!$A:$A,D$1,'g-expenses-sl'!$D:$D,"technology",'g-expenses-sl'!$E:$E,$C116)</f>
        <v/>
      </c>
      <c r="E116" s="5">
        <f>SUMIFS('g-expenses-sl'!$K:$K,'g-expenses-sl'!$A:$A,E$1,'g-expenses-sl'!$D:$D,"technology",'g-expenses-sl'!$E:$E,$C116)</f>
        <v/>
      </c>
      <c r="F116" s="5">
        <f>SUMIFS('g-expenses-sl'!$K:$K,'g-expenses-sl'!$A:$A,F$1,'g-expenses-sl'!$D:$D,"technology",'g-expenses-sl'!$E:$E,$C116)</f>
        <v/>
      </c>
      <c r="G116" s="5">
        <f>SUMIFS('g-expenses-sl'!$K:$K,'g-expenses-sl'!$A:$A,G$1,'g-expenses-sl'!$D:$D,"technology",'g-expenses-sl'!$E:$E,$C116)</f>
        <v/>
      </c>
      <c r="H116" s="5">
        <f>SUMIFS('g-expenses-sl'!$K:$K,'g-expenses-sl'!$A:$A,H$1,'g-expenses-sl'!$D:$D,"technology",'g-expenses-sl'!$E:$E,$C116)</f>
        <v/>
      </c>
      <c r="I116" s="5">
        <f>SUMIFS('g-expenses-sl'!$K:$K,'g-expenses-sl'!$A:$A,I$1,'g-expenses-sl'!$D:$D,"technology",'g-expenses-sl'!$E:$E,$C116)</f>
        <v/>
      </c>
      <c r="J116" s="5">
        <f>SUMIFS('g-expenses-sl'!$K:$K,'g-expenses-sl'!$A:$A,J$1,'g-expenses-sl'!$D:$D,"technology",'g-expenses-sl'!$E:$E,$C116)</f>
        <v/>
      </c>
      <c r="K116" s="5">
        <f>SUMIFS('g-expenses-sl'!$K:$K,'g-expenses-sl'!$A:$A,K$1,'g-expenses-sl'!$D:$D,"technology",'g-expenses-sl'!$E:$E,$C116)</f>
        <v/>
      </c>
      <c r="L116" s="5">
        <f>SUMIFS('g-expenses-sl'!$K:$K,'g-expenses-sl'!$A:$A,L$1,'g-expenses-sl'!$D:$D,"technology",'g-expenses-sl'!$E:$E,$C116)</f>
        <v/>
      </c>
      <c r="M116" s="5">
        <f>SUMIFS('g-expenses-sl'!$K:$K,'g-expenses-sl'!$A:$A,M$1,'g-expenses-sl'!$D:$D,"technology",'g-expenses-sl'!$E:$E,$C116)</f>
        <v/>
      </c>
      <c r="N116" s="5">
        <f>SUMIFS('g-expenses-sl'!$K:$K,'g-expenses-sl'!$A:$A,N$1,'g-expenses-sl'!$D:$D,"technology",'g-expenses-sl'!$E:$E,$C116)</f>
        <v/>
      </c>
      <c r="O116" s="5">
        <f>SUMIFS('g-expenses-sl'!$K:$K,'g-expenses-sl'!$A:$A,O$1,'g-expenses-sl'!$D:$D,"technology",'g-expenses-sl'!$E:$E,$C116)</f>
        <v/>
      </c>
      <c r="P116" s="24">
        <f>SUM(D116:O116)</f>
        <v/>
      </c>
      <c r="Q116" s="25" t="inlineStr">
        <is>
          <t>-&gt;</t>
        </is>
      </c>
    </row>
    <row r="117" hidden="1" outlineLevel="1" ht="12" customHeight="1">
      <c r="A117" s="23" t="inlineStr">
        <is>
          <t xml:space="preserve">            GODADDY</t>
        </is>
      </c>
      <c r="B117" s="4" t="n"/>
      <c r="C117" s="4" t="inlineStr">
        <is>
          <t>GODADDY</t>
        </is>
      </c>
      <c r="D117" s="5">
        <f>SUMIFS('g-expenses-sl'!$K:$K,'g-expenses-sl'!$A:$A,D$1,'g-expenses-sl'!$D:$D,"technology",'g-expenses-sl'!$E:$E,$C117)</f>
        <v/>
      </c>
      <c r="E117" s="5">
        <f>SUMIFS('g-expenses-sl'!$K:$K,'g-expenses-sl'!$A:$A,E$1,'g-expenses-sl'!$D:$D,"technology",'g-expenses-sl'!$E:$E,$C117)</f>
        <v/>
      </c>
      <c r="F117" s="5">
        <f>SUMIFS('g-expenses-sl'!$K:$K,'g-expenses-sl'!$A:$A,F$1,'g-expenses-sl'!$D:$D,"technology",'g-expenses-sl'!$E:$E,$C117)</f>
        <v/>
      </c>
      <c r="G117" s="5">
        <f>SUMIFS('g-expenses-sl'!$K:$K,'g-expenses-sl'!$A:$A,G$1,'g-expenses-sl'!$D:$D,"technology",'g-expenses-sl'!$E:$E,$C117)</f>
        <v/>
      </c>
      <c r="H117" s="5">
        <f>SUMIFS('g-expenses-sl'!$K:$K,'g-expenses-sl'!$A:$A,H$1,'g-expenses-sl'!$D:$D,"technology",'g-expenses-sl'!$E:$E,$C117)</f>
        <v/>
      </c>
      <c r="I117" s="5">
        <f>SUMIFS('g-expenses-sl'!$K:$K,'g-expenses-sl'!$A:$A,I$1,'g-expenses-sl'!$D:$D,"technology",'g-expenses-sl'!$E:$E,$C117)</f>
        <v/>
      </c>
      <c r="J117" s="5">
        <f>SUMIFS('g-expenses-sl'!$K:$K,'g-expenses-sl'!$A:$A,J$1,'g-expenses-sl'!$D:$D,"technology",'g-expenses-sl'!$E:$E,$C117)</f>
        <v/>
      </c>
      <c r="K117" s="5">
        <f>SUMIFS('g-expenses-sl'!$K:$K,'g-expenses-sl'!$A:$A,K$1,'g-expenses-sl'!$D:$D,"technology",'g-expenses-sl'!$E:$E,$C117)</f>
        <v/>
      </c>
      <c r="L117" s="5">
        <f>SUMIFS('g-expenses-sl'!$K:$K,'g-expenses-sl'!$A:$A,L$1,'g-expenses-sl'!$D:$D,"technology",'g-expenses-sl'!$E:$E,$C117)</f>
        <v/>
      </c>
      <c r="M117" s="5">
        <f>SUMIFS('g-expenses-sl'!$K:$K,'g-expenses-sl'!$A:$A,M$1,'g-expenses-sl'!$D:$D,"technology",'g-expenses-sl'!$E:$E,$C117)</f>
        <v/>
      </c>
      <c r="N117" s="5">
        <f>SUMIFS('g-expenses-sl'!$K:$K,'g-expenses-sl'!$A:$A,N$1,'g-expenses-sl'!$D:$D,"technology",'g-expenses-sl'!$E:$E,$C117)</f>
        <v/>
      </c>
      <c r="O117" s="5">
        <f>SUMIFS('g-expenses-sl'!$K:$K,'g-expenses-sl'!$A:$A,O$1,'g-expenses-sl'!$D:$D,"technology",'g-expenses-sl'!$E:$E,$C117)</f>
        <v/>
      </c>
      <c r="P117" s="24">
        <f>SUM(D117:O117)</f>
        <v/>
      </c>
      <c r="Q117" s="25" t="inlineStr">
        <is>
          <t>-&gt;</t>
        </is>
      </c>
    </row>
    <row r="118" hidden="1" outlineLevel="1" ht="12" customHeight="1">
      <c r="A118" s="23" t="inlineStr">
        <is>
          <t xml:space="preserve">            GOOGLEWORKSPACE</t>
        </is>
      </c>
      <c r="B118" s="4" t="n"/>
      <c r="C118" s="4" t="inlineStr">
        <is>
          <t>GOOGLEWORKSPACE</t>
        </is>
      </c>
      <c r="D118" s="5">
        <f>SUMIFS('g-expenses-sl'!$K:$K,'g-expenses-sl'!$A:$A,D$1,'g-expenses-sl'!$D:$D,"technology",'g-expenses-sl'!$E:$E,$C118)</f>
        <v/>
      </c>
      <c r="E118" s="5">
        <f>SUMIFS('g-expenses-sl'!$K:$K,'g-expenses-sl'!$A:$A,E$1,'g-expenses-sl'!$D:$D,"technology",'g-expenses-sl'!$E:$E,$C118)</f>
        <v/>
      </c>
      <c r="F118" s="5">
        <f>SUMIFS('g-expenses-sl'!$K:$K,'g-expenses-sl'!$A:$A,F$1,'g-expenses-sl'!$D:$D,"technology",'g-expenses-sl'!$E:$E,$C118)</f>
        <v/>
      </c>
      <c r="G118" s="5">
        <f>SUMIFS('g-expenses-sl'!$K:$K,'g-expenses-sl'!$A:$A,G$1,'g-expenses-sl'!$D:$D,"technology",'g-expenses-sl'!$E:$E,$C118)</f>
        <v/>
      </c>
      <c r="H118" s="5">
        <f>SUMIFS('g-expenses-sl'!$K:$K,'g-expenses-sl'!$A:$A,H$1,'g-expenses-sl'!$D:$D,"technology",'g-expenses-sl'!$E:$E,$C118)</f>
        <v/>
      </c>
      <c r="I118" s="5">
        <f>SUMIFS('g-expenses-sl'!$K:$K,'g-expenses-sl'!$A:$A,I$1,'g-expenses-sl'!$D:$D,"technology",'g-expenses-sl'!$E:$E,$C118)</f>
        <v/>
      </c>
      <c r="J118" s="5">
        <f>SUMIFS('g-expenses-sl'!$K:$K,'g-expenses-sl'!$A:$A,J$1,'g-expenses-sl'!$D:$D,"technology",'g-expenses-sl'!$E:$E,$C118)</f>
        <v/>
      </c>
      <c r="K118" s="5">
        <f>SUMIFS('g-expenses-sl'!$K:$K,'g-expenses-sl'!$A:$A,K$1,'g-expenses-sl'!$D:$D,"technology",'g-expenses-sl'!$E:$E,$C118)</f>
        <v/>
      </c>
      <c r="L118" s="5">
        <f>SUMIFS('g-expenses-sl'!$K:$K,'g-expenses-sl'!$A:$A,L$1,'g-expenses-sl'!$D:$D,"technology",'g-expenses-sl'!$E:$E,$C118)</f>
        <v/>
      </c>
      <c r="M118" s="5">
        <f>SUMIFS('g-expenses-sl'!$K:$K,'g-expenses-sl'!$A:$A,M$1,'g-expenses-sl'!$D:$D,"technology",'g-expenses-sl'!$E:$E,$C118)</f>
        <v/>
      </c>
      <c r="N118" s="5">
        <f>SUMIFS('g-expenses-sl'!$K:$K,'g-expenses-sl'!$A:$A,N$1,'g-expenses-sl'!$D:$D,"technology",'g-expenses-sl'!$E:$E,$C118)</f>
        <v/>
      </c>
      <c r="O118" s="5">
        <f>SUMIFS('g-expenses-sl'!$K:$K,'g-expenses-sl'!$A:$A,O$1,'g-expenses-sl'!$D:$D,"technology",'g-expenses-sl'!$E:$E,$C118)</f>
        <v/>
      </c>
      <c r="P118" s="24">
        <f>SUM(D118:O118)</f>
        <v/>
      </c>
      <c r="Q118" s="25" t="inlineStr">
        <is>
          <t>-&gt;</t>
        </is>
      </c>
    </row>
    <row r="119" hidden="1" outlineLevel="1" ht="12" customHeight="1">
      <c r="A119" s="23" t="inlineStr">
        <is>
          <t xml:space="preserve">            GORGIAS</t>
        </is>
      </c>
      <c r="B119" s="4" t="n"/>
      <c r="C119" s="4" t="inlineStr">
        <is>
          <t>GORGIAS</t>
        </is>
      </c>
      <c r="D119" s="5">
        <f>SUMIFS('g-expenses-sl'!$K:$K,'g-expenses-sl'!$A:$A,D$1,'g-expenses-sl'!$D:$D,"technology",'g-expenses-sl'!$E:$E,$C119)</f>
        <v/>
      </c>
      <c r="E119" s="5">
        <f>SUMIFS('g-expenses-sl'!$K:$K,'g-expenses-sl'!$A:$A,E$1,'g-expenses-sl'!$D:$D,"technology",'g-expenses-sl'!$E:$E,$C119)</f>
        <v/>
      </c>
      <c r="F119" s="5">
        <f>SUMIFS('g-expenses-sl'!$K:$K,'g-expenses-sl'!$A:$A,F$1,'g-expenses-sl'!$D:$D,"technology",'g-expenses-sl'!$E:$E,$C119)</f>
        <v/>
      </c>
      <c r="G119" s="5">
        <f>SUMIFS('g-expenses-sl'!$K:$K,'g-expenses-sl'!$A:$A,G$1,'g-expenses-sl'!$D:$D,"technology",'g-expenses-sl'!$E:$E,$C119)</f>
        <v/>
      </c>
      <c r="H119" s="5">
        <f>SUMIFS('g-expenses-sl'!$K:$K,'g-expenses-sl'!$A:$A,H$1,'g-expenses-sl'!$D:$D,"technology",'g-expenses-sl'!$E:$E,$C119)</f>
        <v/>
      </c>
      <c r="I119" s="5">
        <f>SUMIFS('g-expenses-sl'!$K:$K,'g-expenses-sl'!$A:$A,I$1,'g-expenses-sl'!$D:$D,"technology",'g-expenses-sl'!$E:$E,$C119)</f>
        <v/>
      </c>
      <c r="J119" s="5">
        <f>SUMIFS('g-expenses-sl'!$K:$K,'g-expenses-sl'!$A:$A,J$1,'g-expenses-sl'!$D:$D,"technology",'g-expenses-sl'!$E:$E,$C119)</f>
        <v/>
      </c>
      <c r="K119" s="5">
        <f>SUMIFS('g-expenses-sl'!$K:$K,'g-expenses-sl'!$A:$A,K$1,'g-expenses-sl'!$D:$D,"technology",'g-expenses-sl'!$E:$E,$C119)</f>
        <v/>
      </c>
      <c r="L119" s="5">
        <f>SUMIFS('g-expenses-sl'!$K:$K,'g-expenses-sl'!$A:$A,L$1,'g-expenses-sl'!$D:$D,"technology",'g-expenses-sl'!$E:$E,$C119)</f>
        <v/>
      </c>
      <c r="M119" s="5">
        <f>SUMIFS('g-expenses-sl'!$K:$K,'g-expenses-sl'!$A:$A,M$1,'g-expenses-sl'!$D:$D,"technology",'g-expenses-sl'!$E:$E,$C119)</f>
        <v/>
      </c>
      <c r="N119" s="5">
        <f>SUMIFS('g-expenses-sl'!$K:$K,'g-expenses-sl'!$A:$A,N$1,'g-expenses-sl'!$D:$D,"technology",'g-expenses-sl'!$E:$E,$C119)</f>
        <v/>
      </c>
      <c r="O119" s="5">
        <f>SUMIFS('g-expenses-sl'!$K:$K,'g-expenses-sl'!$A:$A,O$1,'g-expenses-sl'!$D:$D,"technology",'g-expenses-sl'!$E:$E,$C119)</f>
        <v/>
      </c>
      <c r="P119" s="24">
        <f>SUM(D119:O119)</f>
        <v/>
      </c>
      <c r="Q119" s="25" t="inlineStr">
        <is>
          <t>-&gt;</t>
        </is>
      </c>
    </row>
    <row r="120" hidden="1" outlineLevel="1" ht="12" customHeight="1">
      <c r="A120" s="23" t="inlineStr">
        <is>
          <t xml:space="preserve">            HETZNER</t>
        </is>
      </c>
      <c r="B120" s="4" t="n"/>
      <c r="C120" s="4" t="inlineStr">
        <is>
          <t>HETZNER</t>
        </is>
      </c>
      <c r="D120" s="5">
        <f>SUMIFS('g-expenses-sl'!$K:$K,'g-expenses-sl'!$A:$A,D$1,'g-expenses-sl'!$D:$D,"technology",'g-expenses-sl'!$E:$E,$C120)</f>
        <v/>
      </c>
      <c r="E120" s="5">
        <f>SUMIFS('g-expenses-sl'!$K:$K,'g-expenses-sl'!$A:$A,E$1,'g-expenses-sl'!$D:$D,"technology",'g-expenses-sl'!$E:$E,$C120)</f>
        <v/>
      </c>
      <c r="F120" s="5">
        <f>SUMIFS('g-expenses-sl'!$K:$K,'g-expenses-sl'!$A:$A,F$1,'g-expenses-sl'!$D:$D,"technology",'g-expenses-sl'!$E:$E,$C120)</f>
        <v/>
      </c>
      <c r="G120" s="5">
        <f>SUMIFS('g-expenses-sl'!$K:$K,'g-expenses-sl'!$A:$A,G$1,'g-expenses-sl'!$D:$D,"technology",'g-expenses-sl'!$E:$E,$C120)</f>
        <v/>
      </c>
      <c r="H120" s="5">
        <f>SUMIFS('g-expenses-sl'!$K:$K,'g-expenses-sl'!$A:$A,H$1,'g-expenses-sl'!$D:$D,"technology",'g-expenses-sl'!$E:$E,$C120)</f>
        <v/>
      </c>
      <c r="I120" s="5">
        <f>SUMIFS('g-expenses-sl'!$K:$K,'g-expenses-sl'!$A:$A,I$1,'g-expenses-sl'!$D:$D,"technology",'g-expenses-sl'!$E:$E,$C120)</f>
        <v/>
      </c>
      <c r="J120" s="5">
        <f>SUMIFS('g-expenses-sl'!$K:$K,'g-expenses-sl'!$A:$A,J$1,'g-expenses-sl'!$D:$D,"technology",'g-expenses-sl'!$E:$E,$C120)</f>
        <v/>
      </c>
      <c r="K120" s="5">
        <f>SUMIFS('g-expenses-sl'!$K:$K,'g-expenses-sl'!$A:$A,K$1,'g-expenses-sl'!$D:$D,"technology",'g-expenses-sl'!$E:$E,$C120)</f>
        <v/>
      </c>
      <c r="L120" s="5">
        <f>SUMIFS('g-expenses-sl'!$K:$K,'g-expenses-sl'!$A:$A,L$1,'g-expenses-sl'!$D:$D,"technology",'g-expenses-sl'!$E:$E,$C120)</f>
        <v/>
      </c>
      <c r="M120" s="5">
        <f>SUMIFS('g-expenses-sl'!$K:$K,'g-expenses-sl'!$A:$A,M$1,'g-expenses-sl'!$D:$D,"technology",'g-expenses-sl'!$E:$E,$C120)</f>
        <v/>
      </c>
      <c r="N120" s="5">
        <f>SUMIFS('g-expenses-sl'!$K:$K,'g-expenses-sl'!$A:$A,N$1,'g-expenses-sl'!$D:$D,"technology",'g-expenses-sl'!$E:$E,$C120)</f>
        <v/>
      </c>
      <c r="O120" s="5">
        <f>SUMIFS('g-expenses-sl'!$K:$K,'g-expenses-sl'!$A:$A,O$1,'g-expenses-sl'!$D:$D,"technology",'g-expenses-sl'!$E:$E,$C120)</f>
        <v/>
      </c>
      <c r="P120" s="24">
        <f>SUM(D120:O120)</f>
        <v/>
      </c>
      <c r="Q120" s="25" t="inlineStr">
        <is>
          <t>-&gt;</t>
        </is>
      </c>
    </row>
    <row r="121" hidden="1" outlineLevel="1" ht="12" customHeight="1">
      <c r="A121" s="23" t="inlineStr">
        <is>
          <t xml:space="preserve">            KONVOAI</t>
        </is>
      </c>
      <c r="B121" s="4" t="n"/>
      <c r="C121" s="4" t="inlineStr">
        <is>
          <t>KONVOAI</t>
        </is>
      </c>
      <c r="D121" s="5">
        <f>SUMIFS('g-expenses-sl'!$K:$K,'g-expenses-sl'!$A:$A,D$1,'g-expenses-sl'!$D:$D,"technology",'g-expenses-sl'!$E:$E,$C121)</f>
        <v/>
      </c>
      <c r="E121" s="5">
        <f>SUMIFS('g-expenses-sl'!$K:$K,'g-expenses-sl'!$A:$A,E$1,'g-expenses-sl'!$D:$D,"technology",'g-expenses-sl'!$E:$E,$C121)</f>
        <v/>
      </c>
      <c r="F121" s="5">
        <f>SUMIFS('g-expenses-sl'!$K:$K,'g-expenses-sl'!$A:$A,F$1,'g-expenses-sl'!$D:$D,"technology",'g-expenses-sl'!$E:$E,$C121)</f>
        <v/>
      </c>
      <c r="G121" s="5">
        <f>SUMIFS('g-expenses-sl'!$K:$K,'g-expenses-sl'!$A:$A,G$1,'g-expenses-sl'!$D:$D,"technology",'g-expenses-sl'!$E:$E,$C121)</f>
        <v/>
      </c>
      <c r="H121" s="5">
        <f>SUMIFS('g-expenses-sl'!$K:$K,'g-expenses-sl'!$A:$A,H$1,'g-expenses-sl'!$D:$D,"technology",'g-expenses-sl'!$E:$E,$C121)</f>
        <v/>
      </c>
      <c r="I121" s="5">
        <f>SUMIFS('g-expenses-sl'!$K:$K,'g-expenses-sl'!$A:$A,I$1,'g-expenses-sl'!$D:$D,"technology",'g-expenses-sl'!$E:$E,$C121)</f>
        <v/>
      </c>
      <c r="J121" s="5">
        <f>SUMIFS('g-expenses-sl'!$K:$K,'g-expenses-sl'!$A:$A,J$1,'g-expenses-sl'!$D:$D,"technology",'g-expenses-sl'!$E:$E,$C121)</f>
        <v/>
      </c>
      <c r="K121" s="5">
        <f>SUMIFS('g-expenses-sl'!$K:$K,'g-expenses-sl'!$A:$A,K$1,'g-expenses-sl'!$D:$D,"technology",'g-expenses-sl'!$E:$E,$C121)</f>
        <v/>
      </c>
      <c r="L121" s="5">
        <f>SUMIFS('g-expenses-sl'!$K:$K,'g-expenses-sl'!$A:$A,L$1,'g-expenses-sl'!$D:$D,"technology",'g-expenses-sl'!$E:$E,$C121)</f>
        <v/>
      </c>
      <c r="M121" s="5">
        <f>SUMIFS('g-expenses-sl'!$K:$K,'g-expenses-sl'!$A:$A,M$1,'g-expenses-sl'!$D:$D,"technology",'g-expenses-sl'!$E:$E,$C121)</f>
        <v/>
      </c>
      <c r="N121" s="5">
        <f>SUMIFS('g-expenses-sl'!$K:$K,'g-expenses-sl'!$A:$A,N$1,'g-expenses-sl'!$D:$D,"technology",'g-expenses-sl'!$E:$E,$C121)</f>
        <v/>
      </c>
      <c r="O121" s="5">
        <f>SUMIFS('g-expenses-sl'!$K:$K,'g-expenses-sl'!$A:$A,O$1,'g-expenses-sl'!$D:$D,"technology",'g-expenses-sl'!$E:$E,$C121)</f>
        <v/>
      </c>
      <c r="P121" s="24">
        <f>SUM(D121:O121)</f>
        <v/>
      </c>
      <c r="Q121" s="25" t="inlineStr">
        <is>
          <t>-&gt;</t>
        </is>
      </c>
    </row>
    <row r="122" hidden="1" outlineLevel="1" ht="12" customHeight="1">
      <c r="A122" s="23" t="inlineStr">
        <is>
          <t xml:space="preserve">            MASMOVIL</t>
        </is>
      </c>
      <c r="B122" s="4" t="n"/>
      <c r="C122" s="4" t="inlineStr">
        <is>
          <t>MASMOVIL</t>
        </is>
      </c>
      <c r="D122" s="5">
        <f>SUMIFS('g-expenses-sl'!$K:$K,'g-expenses-sl'!$A:$A,D$1,'g-expenses-sl'!$D:$D,"technology",'g-expenses-sl'!$E:$E,$C122)</f>
        <v/>
      </c>
      <c r="E122" s="5">
        <f>SUMIFS('g-expenses-sl'!$K:$K,'g-expenses-sl'!$A:$A,E$1,'g-expenses-sl'!$D:$D,"technology",'g-expenses-sl'!$E:$E,$C122)</f>
        <v/>
      </c>
      <c r="F122" s="5">
        <f>SUMIFS('g-expenses-sl'!$K:$K,'g-expenses-sl'!$A:$A,F$1,'g-expenses-sl'!$D:$D,"technology",'g-expenses-sl'!$E:$E,$C122)</f>
        <v/>
      </c>
      <c r="G122" s="5">
        <f>SUMIFS('g-expenses-sl'!$K:$K,'g-expenses-sl'!$A:$A,G$1,'g-expenses-sl'!$D:$D,"technology",'g-expenses-sl'!$E:$E,$C122)</f>
        <v/>
      </c>
      <c r="H122" s="5">
        <f>SUMIFS('g-expenses-sl'!$K:$K,'g-expenses-sl'!$A:$A,H$1,'g-expenses-sl'!$D:$D,"technology",'g-expenses-sl'!$E:$E,$C122)</f>
        <v/>
      </c>
      <c r="I122" s="5">
        <f>SUMIFS('g-expenses-sl'!$K:$K,'g-expenses-sl'!$A:$A,I$1,'g-expenses-sl'!$D:$D,"technology",'g-expenses-sl'!$E:$E,$C122)</f>
        <v/>
      </c>
      <c r="J122" s="5">
        <f>SUMIFS('g-expenses-sl'!$K:$K,'g-expenses-sl'!$A:$A,J$1,'g-expenses-sl'!$D:$D,"technology",'g-expenses-sl'!$E:$E,$C122)</f>
        <v/>
      </c>
      <c r="K122" s="5">
        <f>SUMIFS('g-expenses-sl'!$K:$K,'g-expenses-sl'!$A:$A,K$1,'g-expenses-sl'!$D:$D,"technology",'g-expenses-sl'!$E:$E,$C122)</f>
        <v/>
      </c>
      <c r="L122" s="5">
        <f>SUMIFS('g-expenses-sl'!$K:$K,'g-expenses-sl'!$A:$A,L$1,'g-expenses-sl'!$D:$D,"technology",'g-expenses-sl'!$E:$E,$C122)</f>
        <v/>
      </c>
      <c r="M122" s="5">
        <f>SUMIFS('g-expenses-sl'!$K:$K,'g-expenses-sl'!$A:$A,M$1,'g-expenses-sl'!$D:$D,"technology",'g-expenses-sl'!$E:$E,$C122)</f>
        <v/>
      </c>
      <c r="N122" s="5">
        <f>SUMIFS('g-expenses-sl'!$K:$K,'g-expenses-sl'!$A:$A,N$1,'g-expenses-sl'!$D:$D,"technology",'g-expenses-sl'!$E:$E,$C122)</f>
        <v/>
      </c>
      <c r="O122" s="5">
        <f>SUMIFS('g-expenses-sl'!$K:$K,'g-expenses-sl'!$A:$A,O$1,'g-expenses-sl'!$D:$D,"technology",'g-expenses-sl'!$E:$E,$C122)</f>
        <v/>
      </c>
      <c r="P122" s="24">
        <f>SUM(D122:O122)</f>
        <v/>
      </c>
      <c r="Q122" s="25" t="inlineStr">
        <is>
          <t>-&gt;</t>
        </is>
      </c>
    </row>
    <row r="123" hidden="1" outlineLevel="1" ht="12" customHeight="1">
      <c r="A123" s="23" t="inlineStr">
        <is>
          <t xml:space="preserve">            MICROSOFT</t>
        </is>
      </c>
      <c r="B123" s="4" t="n"/>
      <c r="C123" s="4" t="inlineStr">
        <is>
          <t>MICROSOFT</t>
        </is>
      </c>
      <c r="D123" s="5">
        <f>SUMIFS('g-expenses-sl'!$K:$K,'g-expenses-sl'!$A:$A,D$1,'g-expenses-sl'!$D:$D,"technology",'g-expenses-sl'!$E:$E,$C123)</f>
        <v/>
      </c>
      <c r="E123" s="5">
        <f>SUMIFS('g-expenses-sl'!$K:$K,'g-expenses-sl'!$A:$A,E$1,'g-expenses-sl'!$D:$D,"technology",'g-expenses-sl'!$E:$E,$C123)</f>
        <v/>
      </c>
      <c r="F123" s="5">
        <f>SUMIFS('g-expenses-sl'!$K:$K,'g-expenses-sl'!$A:$A,F$1,'g-expenses-sl'!$D:$D,"technology",'g-expenses-sl'!$E:$E,$C123)</f>
        <v/>
      </c>
      <c r="G123" s="5">
        <f>SUMIFS('g-expenses-sl'!$K:$K,'g-expenses-sl'!$A:$A,G$1,'g-expenses-sl'!$D:$D,"technology",'g-expenses-sl'!$E:$E,$C123)</f>
        <v/>
      </c>
      <c r="H123" s="5">
        <f>SUMIFS('g-expenses-sl'!$K:$K,'g-expenses-sl'!$A:$A,H$1,'g-expenses-sl'!$D:$D,"technology",'g-expenses-sl'!$E:$E,$C123)</f>
        <v/>
      </c>
      <c r="I123" s="5">
        <f>SUMIFS('g-expenses-sl'!$K:$K,'g-expenses-sl'!$A:$A,I$1,'g-expenses-sl'!$D:$D,"technology",'g-expenses-sl'!$E:$E,$C123)</f>
        <v/>
      </c>
      <c r="J123" s="5">
        <f>SUMIFS('g-expenses-sl'!$K:$K,'g-expenses-sl'!$A:$A,J$1,'g-expenses-sl'!$D:$D,"technology",'g-expenses-sl'!$E:$E,$C123)</f>
        <v/>
      </c>
      <c r="K123" s="5">
        <f>SUMIFS('g-expenses-sl'!$K:$K,'g-expenses-sl'!$A:$A,K$1,'g-expenses-sl'!$D:$D,"technology",'g-expenses-sl'!$E:$E,$C123)</f>
        <v/>
      </c>
      <c r="L123" s="5">
        <f>SUMIFS('g-expenses-sl'!$K:$K,'g-expenses-sl'!$A:$A,L$1,'g-expenses-sl'!$D:$D,"technology",'g-expenses-sl'!$E:$E,$C123)</f>
        <v/>
      </c>
      <c r="M123" s="5">
        <f>SUMIFS('g-expenses-sl'!$K:$K,'g-expenses-sl'!$A:$A,M$1,'g-expenses-sl'!$D:$D,"technology",'g-expenses-sl'!$E:$E,$C123)</f>
        <v/>
      </c>
      <c r="N123" s="5">
        <f>SUMIFS('g-expenses-sl'!$K:$K,'g-expenses-sl'!$A:$A,N$1,'g-expenses-sl'!$D:$D,"technology",'g-expenses-sl'!$E:$E,$C123)</f>
        <v/>
      </c>
      <c r="O123" s="5">
        <f>SUMIFS('g-expenses-sl'!$K:$K,'g-expenses-sl'!$A:$A,O$1,'g-expenses-sl'!$D:$D,"technology",'g-expenses-sl'!$E:$E,$C123)</f>
        <v/>
      </c>
      <c r="P123" s="24">
        <f>SUM(D123:O123)</f>
        <v/>
      </c>
      <c r="Q123" s="25" t="inlineStr">
        <is>
          <t>-&gt;</t>
        </is>
      </c>
    </row>
    <row r="124" hidden="1" outlineLevel="1" ht="12" customHeight="1">
      <c r="A124" s="23" t="inlineStr">
        <is>
          <t xml:space="preserve">            OPENAI</t>
        </is>
      </c>
      <c r="B124" s="4" t="n"/>
      <c r="C124" s="4" t="inlineStr">
        <is>
          <t>OPENAI</t>
        </is>
      </c>
      <c r="D124" s="5">
        <f>SUMIFS('g-expenses-sl'!$K:$K,'g-expenses-sl'!$A:$A,D$1,'g-expenses-sl'!$D:$D,"technology",'g-expenses-sl'!$E:$E,$C124)</f>
        <v/>
      </c>
      <c r="E124" s="5">
        <f>SUMIFS('g-expenses-sl'!$K:$K,'g-expenses-sl'!$A:$A,E$1,'g-expenses-sl'!$D:$D,"technology",'g-expenses-sl'!$E:$E,$C124)</f>
        <v/>
      </c>
      <c r="F124" s="5">
        <f>SUMIFS('g-expenses-sl'!$K:$K,'g-expenses-sl'!$A:$A,F$1,'g-expenses-sl'!$D:$D,"technology",'g-expenses-sl'!$E:$E,$C124)</f>
        <v/>
      </c>
      <c r="G124" s="5">
        <f>SUMIFS('g-expenses-sl'!$K:$K,'g-expenses-sl'!$A:$A,G$1,'g-expenses-sl'!$D:$D,"technology",'g-expenses-sl'!$E:$E,$C124)</f>
        <v/>
      </c>
      <c r="H124" s="5">
        <f>SUMIFS('g-expenses-sl'!$K:$K,'g-expenses-sl'!$A:$A,H$1,'g-expenses-sl'!$D:$D,"technology",'g-expenses-sl'!$E:$E,$C124)</f>
        <v/>
      </c>
      <c r="I124" s="5">
        <f>SUMIFS('g-expenses-sl'!$K:$K,'g-expenses-sl'!$A:$A,I$1,'g-expenses-sl'!$D:$D,"technology",'g-expenses-sl'!$E:$E,$C124)</f>
        <v/>
      </c>
      <c r="J124" s="5">
        <f>SUMIFS('g-expenses-sl'!$K:$K,'g-expenses-sl'!$A:$A,J$1,'g-expenses-sl'!$D:$D,"technology",'g-expenses-sl'!$E:$E,$C124)</f>
        <v/>
      </c>
      <c r="K124" s="5">
        <f>SUMIFS('g-expenses-sl'!$K:$K,'g-expenses-sl'!$A:$A,K$1,'g-expenses-sl'!$D:$D,"technology",'g-expenses-sl'!$E:$E,$C124)</f>
        <v/>
      </c>
      <c r="L124" s="5">
        <f>SUMIFS('g-expenses-sl'!$K:$K,'g-expenses-sl'!$A:$A,L$1,'g-expenses-sl'!$D:$D,"technology",'g-expenses-sl'!$E:$E,$C124)</f>
        <v/>
      </c>
      <c r="M124" s="5">
        <f>SUMIFS('g-expenses-sl'!$K:$K,'g-expenses-sl'!$A:$A,M$1,'g-expenses-sl'!$D:$D,"technology",'g-expenses-sl'!$E:$E,$C124)</f>
        <v/>
      </c>
      <c r="N124" s="5">
        <f>SUMIFS('g-expenses-sl'!$K:$K,'g-expenses-sl'!$A:$A,N$1,'g-expenses-sl'!$D:$D,"technology",'g-expenses-sl'!$E:$E,$C124)</f>
        <v/>
      </c>
      <c r="O124" s="5">
        <f>SUMIFS('g-expenses-sl'!$K:$K,'g-expenses-sl'!$A:$A,O$1,'g-expenses-sl'!$D:$D,"technology",'g-expenses-sl'!$E:$E,$C124)</f>
        <v/>
      </c>
      <c r="P124" s="24">
        <f>SUM(D124:O124)</f>
        <v/>
      </c>
      <c r="Q124" s="25" t="inlineStr">
        <is>
          <t>-&gt;</t>
        </is>
      </c>
    </row>
    <row r="125" hidden="1" outlineLevel="1" ht="12" customHeight="1">
      <c r="A125" s="23" t="inlineStr">
        <is>
          <t xml:space="preserve">            PRODUCTHERO</t>
        </is>
      </c>
      <c r="B125" s="4" t="n"/>
      <c r="C125" s="4" t="inlineStr">
        <is>
          <t>PRODUCTHERO</t>
        </is>
      </c>
      <c r="D125" s="5">
        <f>SUMIFS('g-expenses-sl'!$K:$K,'g-expenses-sl'!$A:$A,D$1,'g-expenses-sl'!$D:$D,"technology",'g-expenses-sl'!$E:$E,$C125)</f>
        <v/>
      </c>
      <c r="E125" s="5">
        <f>SUMIFS('g-expenses-sl'!$K:$K,'g-expenses-sl'!$A:$A,E$1,'g-expenses-sl'!$D:$D,"technology",'g-expenses-sl'!$E:$E,$C125)</f>
        <v/>
      </c>
      <c r="F125" s="5">
        <f>SUMIFS('g-expenses-sl'!$K:$K,'g-expenses-sl'!$A:$A,F$1,'g-expenses-sl'!$D:$D,"technology",'g-expenses-sl'!$E:$E,$C125)</f>
        <v/>
      </c>
      <c r="G125" s="5">
        <f>SUMIFS('g-expenses-sl'!$K:$K,'g-expenses-sl'!$A:$A,G$1,'g-expenses-sl'!$D:$D,"technology",'g-expenses-sl'!$E:$E,$C125)</f>
        <v/>
      </c>
      <c r="H125" s="5">
        <f>SUMIFS('g-expenses-sl'!$K:$K,'g-expenses-sl'!$A:$A,H$1,'g-expenses-sl'!$D:$D,"technology",'g-expenses-sl'!$E:$E,$C125)</f>
        <v/>
      </c>
      <c r="I125" s="5">
        <f>SUMIFS('g-expenses-sl'!$K:$K,'g-expenses-sl'!$A:$A,I$1,'g-expenses-sl'!$D:$D,"technology",'g-expenses-sl'!$E:$E,$C125)</f>
        <v/>
      </c>
      <c r="J125" s="5">
        <f>SUMIFS('g-expenses-sl'!$K:$K,'g-expenses-sl'!$A:$A,J$1,'g-expenses-sl'!$D:$D,"technology",'g-expenses-sl'!$E:$E,$C125)</f>
        <v/>
      </c>
      <c r="K125" s="5">
        <f>SUMIFS('g-expenses-sl'!$K:$K,'g-expenses-sl'!$A:$A,K$1,'g-expenses-sl'!$D:$D,"technology",'g-expenses-sl'!$E:$E,$C125)</f>
        <v/>
      </c>
      <c r="L125" s="5">
        <f>SUMIFS('g-expenses-sl'!$K:$K,'g-expenses-sl'!$A:$A,L$1,'g-expenses-sl'!$D:$D,"technology",'g-expenses-sl'!$E:$E,$C125)</f>
        <v/>
      </c>
      <c r="M125" s="5">
        <f>SUMIFS('g-expenses-sl'!$K:$K,'g-expenses-sl'!$A:$A,M$1,'g-expenses-sl'!$D:$D,"technology",'g-expenses-sl'!$E:$E,$C125)</f>
        <v/>
      </c>
      <c r="N125" s="5">
        <f>SUMIFS('g-expenses-sl'!$K:$K,'g-expenses-sl'!$A:$A,N$1,'g-expenses-sl'!$D:$D,"technology",'g-expenses-sl'!$E:$E,$C125)</f>
        <v/>
      </c>
      <c r="O125" s="5">
        <f>SUMIFS('g-expenses-sl'!$K:$K,'g-expenses-sl'!$A:$A,O$1,'g-expenses-sl'!$D:$D,"technology",'g-expenses-sl'!$E:$E,$C125)</f>
        <v/>
      </c>
      <c r="P125" s="24">
        <f>SUM(D125:O125)</f>
        <v/>
      </c>
      <c r="Q125" s="25" t="inlineStr">
        <is>
          <t>-&gt;</t>
        </is>
      </c>
    </row>
    <row r="126" hidden="1" outlineLevel="1" ht="12" customHeight="1">
      <c r="A126" s="23" t="inlineStr">
        <is>
          <t xml:space="preserve">            RAILWAY</t>
        </is>
      </c>
      <c r="B126" s="4" t="n"/>
      <c r="C126" s="4" t="inlineStr">
        <is>
          <t>RAILWAY</t>
        </is>
      </c>
      <c r="D126" s="5">
        <f>SUMIFS('g-expenses-sl'!$K:$K,'g-expenses-sl'!$A:$A,D$1,'g-expenses-sl'!$D:$D,"technology",'g-expenses-sl'!$E:$E,$C126)</f>
        <v/>
      </c>
      <c r="E126" s="5">
        <f>SUMIFS('g-expenses-sl'!$K:$K,'g-expenses-sl'!$A:$A,E$1,'g-expenses-sl'!$D:$D,"technology",'g-expenses-sl'!$E:$E,$C126)</f>
        <v/>
      </c>
      <c r="F126" s="5">
        <f>SUMIFS('g-expenses-sl'!$K:$K,'g-expenses-sl'!$A:$A,F$1,'g-expenses-sl'!$D:$D,"technology",'g-expenses-sl'!$E:$E,$C126)</f>
        <v/>
      </c>
      <c r="G126" s="5">
        <f>SUMIFS('g-expenses-sl'!$K:$K,'g-expenses-sl'!$A:$A,G$1,'g-expenses-sl'!$D:$D,"technology",'g-expenses-sl'!$E:$E,$C126)</f>
        <v/>
      </c>
      <c r="H126" s="5">
        <f>SUMIFS('g-expenses-sl'!$K:$K,'g-expenses-sl'!$A:$A,H$1,'g-expenses-sl'!$D:$D,"technology",'g-expenses-sl'!$E:$E,$C126)</f>
        <v/>
      </c>
      <c r="I126" s="5">
        <f>SUMIFS('g-expenses-sl'!$K:$K,'g-expenses-sl'!$A:$A,I$1,'g-expenses-sl'!$D:$D,"technology",'g-expenses-sl'!$E:$E,$C126)</f>
        <v/>
      </c>
      <c r="J126" s="5">
        <f>SUMIFS('g-expenses-sl'!$K:$K,'g-expenses-sl'!$A:$A,J$1,'g-expenses-sl'!$D:$D,"technology",'g-expenses-sl'!$E:$E,$C126)</f>
        <v/>
      </c>
      <c r="K126" s="5">
        <f>SUMIFS('g-expenses-sl'!$K:$K,'g-expenses-sl'!$A:$A,K$1,'g-expenses-sl'!$D:$D,"technology",'g-expenses-sl'!$E:$E,$C126)</f>
        <v/>
      </c>
      <c r="L126" s="5">
        <f>SUMIFS('g-expenses-sl'!$K:$K,'g-expenses-sl'!$A:$A,L$1,'g-expenses-sl'!$D:$D,"technology",'g-expenses-sl'!$E:$E,$C126)</f>
        <v/>
      </c>
      <c r="M126" s="5">
        <f>SUMIFS('g-expenses-sl'!$K:$K,'g-expenses-sl'!$A:$A,M$1,'g-expenses-sl'!$D:$D,"technology",'g-expenses-sl'!$E:$E,$C126)</f>
        <v/>
      </c>
      <c r="N126" s="5">
        <f>SUMIFS('g-expenses-sl'!$K:$K,'g-expenses-sl'!$A:$A,N$1,'g-expenses-sl'!$D:$D,"technology",'g-expenses-sl'!$E:$E,$C126)</f>
        <v/>
      </c>
      <c r="O126" s="5">
        <f>SUMIFS('g-expenses-sl'!$K:$K,'g-expenses-sl'!$A:$A,O$1,'g-expenses-sl'!$D:$D,"technology",'g-expenses-sl'!$E:$E,$C126)</f>
        <v/>
      </c>
      <c r="P126" s="24">
        <f>SUM(D126:O126)</f>
        <v/>
      </c>
      <c r="Q126" s="25" t="inlineStr">
        <is>
          <t>-&gt;</t>
        </is>
      </c>
    </row>
    <row r="127" hidden="1" outlineLevel="1" ht="12" customHeight="1">
      <c r="A127" s="23" t="inlineStr">
        <is>
          <t xml:space="preserve">            REVER</t>
        </is>
      </c>
      <c r="B127" s="4" t="n"/>
      <c r="C127" s="4" t="inlineStr">
        <is>
          <t>REVER</t>
        </is>
      </c>
      <c r="D127" s="5">
        <f>SUMIFS('g-expenses-sl'!$K:$K,'g-expenses-sl'!$A:$A,D$1,'g-expenses-sl'!$D:$D,"technology",'g-expenses-sl'!$E:$E,$C127)</f>
        <v/>
      </c>
      <c r="E127" s="5">
        <f>SUMIFS('g-expenses-sl'!$K:$K,'g-expenses-sl'!$A:$A,E$1,'g-expenses-sl'!$D:$D,"technology",'g-expenses-sl'!$E:$E,$C127)</f>
        <v/>
      </c>
      <c r="F127" s="5">
        <f>SUMIFS('g-expenses-sl'!$K:$K,'g-expenses-sl'!$A:$A,F$1,'g-expenses-sl'!$D:$D,"technology",'g-expenses-sl'!$E:$E,$C127)</f>
        <v/>
      </c>
      <c r="G127" s="5">
        <f>SUMIFS('g-expenses-sl'!$K:$K,'g-expenses-sl'!$A:$A,G$1,'g-expenses-sl'!$D:$D,"technology",'g-expenses-sl'!$E:$E,$C127)</f>
        <v/>
      </c>
      <c r="H127" s="5">
        <f>SUMIFS('g-expenses-sl'!$K:$K,'g-expenses-sl'!$A:$A,H$1,'g-expenses-sl'!$D:$D,"technology",'g-expenses-sl'!$E:$E,$C127)</f>
        <v/>
      </c>
      <c r="I127" s="5">
        <f>SUMIFS('g-expenses-sl'!$K:$K,'g-expenses-sl'!$A:$A,I$1,'g-expenses-sl'!$D:$D,"technology",'g-expenses-sl'!$E:$E,$C127)</f>
        <v/>
      </c>
      <c r="J127" s="5">
        <f>SUMIFS('g-expenses-sl'!$K:$K,'g-expenses-sl'!$A:$A,J$1,'g-expenses-sl'!$D:$D,"technology",'g-expenses-sl'!$E:$E,$C127)</f>
        <v/>
      </c>
      <c r="K127" s="5">
        <f>SUMIFS('g-expenses-sl'!$K:$K,'g-expenses-sl'!$A:$A,K$1,'g-expenses-sl'!$D:$D,"technology",'g-expenses-sl'!$E:$E,$C127)</f>
        <v/>
      </c>
      <c r="L127" s="5">
        <f>SUMIFS('g-expenses-sl'!$K:$K,'g-expenses-sl'!$A:$A,L$1,'g-expenses-sl'!$D:$D,"technology",'g-expenses-sl'!$E:$E,$C127)</f>
        <v/>
      </c>
      <c r="M127" s="5">
        <f>SUMIFS('g-expenses-sl'!$K:$K,'g-expenses-sl'!$A:$A,M$1,'g-expenses-sl'!$D:$D,"technology",'g-expenses-sl'!$E:$E,$C127)</f>
        <v/>
      </c>
      <c r="N127" s="5">
        <f>SUMIFS('g-expenses-sl'!$K:$K,'g-expenses-sl'!$A:$A,N$1,'g-expenses-sl'!$D:$D,"technology",'g-expenses-sl'!$E:$E,$C127)</f>
        <v/>
      </c>
      <c r="O127" s="5">
        <f>SUMIFS('g-expenses-sl'!$K:$K,'g-expenses-sl'!$A:$A,O$1,'g-expenses-sl'!$D:$D,"technology",'g-expenses-sl'!$E:$E,$C127)</f>
        <v/>
      </c>
      <c r="P127" s="24">
        <f>SUM(D127:O127)</f>
        <v/>
      </c>
      <c r="Q127" s="25" t="inlineStr">
        <is>
          <t>-&gt;</t>
        </is>
      </c>
    </row>
    <row r="128" hidden="1" outlineLevel="1" ht="12" customHeight="1">
      <c r="A128" s="23" t="inlineStr">
        <is>
          <t xml:space="preserve">            SHOPIFY</t>
        </is>
      </c>
      <c r="B128" s="4" t="n"/>
      <c r="C128" s="4" t="inlineStr">
        <is>
          <t>SHOPIFY</t>
        </is>
      </c>
      <c r="D128" s="5">
        <f>SUMIFS('g-expenses-sl'!$K:$K,'g-expenses-sl'!$A:$A,D$1,'g-expenses-sl'!$D:$D,"technology",'g-expenses-sl'!$E:$E,$C128)</f>
        <v/>
      </c>
      <c r="E128" s="5">
        <f>SUMIFS('g-expenses-sl'!$K:$K,'g-expenses-sl'!$A:$A,E$1,'g-expenses-sl'!$D:$D,"technology",'g-expenses-sl'!$E:$E,$C128)</f>
        <v/>
      </c>
      <c r="F128" s="5">
        <f>SUMIFS('g-expenses-sl'!$K:$K,'g-expenses-sl'!$A:$A,F$1,'g-expenses-sl'!$D:$D,"technology",'g-expenses-sl'!$E:$E,$C128)</f>
        <v/>
      </c>
      <c r="G128" s="5">
        <f>SUMIFS('g-expenses-sl'!$K:$K,'g-expenses-sl'!$A:$A,G$1,'g-expenses-sl'!$D:$D,"technology",'g-expenses-sl'!$E:$E,$C128)</f>
        <v/>
      </c>
      <c r="H128" s="5">
        <f>SUMIFS('g-expenses-sl'!$K:$K,'g-expenses-sl'!$A:$A,H$1,'g-expenses-sl'!$D:$D,"technology",'g-expenses-sl'!$E:$E,$C128)</f>
        <v/>
      </c>
      <c r="I128" s="5">
        <f>SUMIFS('g-expenses-sl'!$K:$K,'g-expenses-sl'!$A:$A,I$1,'g-expenses-sl'!$D:$D,"technology",'g-expenses-sl'!$E:$E,$C128)</f>
        <v/>
      </c>
      <c r="J128" s="5">
        <f>SUMIFS('g-expenses-sl'!$K:$K,'g-expenses-sl'!$A:$A,J$1,'g-expenses-sl'!$D:$D,"technology",'g-expenses-sl'!$E:$E,$C128)</f>
        <v/>
      </c>
      <c r="K128" s="5">
        <f>SUMIFS('g-expenses-sl'!$K:$K,'g-expenses-sl'!$A:$A,K$1,'g-expenses-sl'!$D:$D,"technology",'g-expenses-sl'!$E:$E,$C128)</f>
        <v/>
      </c>
      <c r="L128" s="5">
        <f>SUMIFS('g-expenses-sl'!$K:$K,'g-expenses-sl'!$A:$A,L$1,'g-expenses-sl'!$D:$D,"technology",'g-expenses-sl'!$E:$E,$C128)</f>
        <v/>
      </c>
      <c r="M128" s="5">
        <f>SUMIFS('g-expenses-sl'!$K:$K,'g-expenses-sl'!$A:$A,M$1,'g-expenses-sl'!$D:$D,"technology",'g-expenses-sl'!$E:$E,$C128)</f>
        <v/>
      </c>
      <c r="N128" s="5">
        <f>SUMIFS('g-expenses-sl'!$K:$K,'g-expenses-sl'!$A:$A,N$1,'g-expenses-sl'!$D:$D,"technology",'g-expenses-sl'!$E:$E,$C128)</f>
        <v/>
      </c>
      <c r="O128" s="5">
        <f>SUMIFS('g-expenses-sl'!$K:$K,'g-expenses-sl'!$A:$A,O$1,'g-expenses-sl'!$D:$D,"technology",'g-expenses-sl'!$E:$E,$C128)</f>
        <v/>
      </c>
      <c r="P128" s="24">
        <f>SUM(D128:O128)</f>
        <v/>
      </c>
      <c r="Q128" s="25" t="inlineStr">
        <is>
          <t>-&gt;</t>
        </is>
      </c>
    </row>
    <row r="129" hidden="1" outlineLevel="1" ht="12" customHeight="1">
      <c r="A129" s="23" t="inlineStr">
        <is>
          <t xml:space="preserve">            SIMPLYCOM</t>
        </is>
      </c>
      <c r="B129" s="4" t="n"/>
      <c r="C129" s="4" t="inlineStr">
        <is>
          <t>SIMPLYCOM</t>
        </is>
      </c>
      <c r="D129" s="5">
        <f>SUMIFS('g-expenses-sl'!$K:$K,'g-expenses-sl'!$A:$A,D$1,'g-expenses-sl'!$D:$D,"technology",'g-expenses-sl'!$E:$E,$C129)</f>
        <v/>
      </c>
      <c r="E129" s="5">
        <f>SUMIFS('g-expenses-sl'!$K:$K,'g-expenses-sl'!$A:$A,E$1,'g-expenses-sl'!$D:$D,"technology",'g-expenses-sl'!$E:$E,$C129)</f>
        <v/>
      </c>
      <c r="F129" s="5">
        <f>SUMIFS('g-expenses-sl'!$K:$K,'g-expenses-sl'!$A:$A,F$1,'g-expenses-sl'!$D:$D,"technology",'g-expenses-sl'!$E:$E,$C129)</f>
        <v/>
      </c>
      <c r="G129" s="5">
        <f>SUMIFS('g-expenses-sl'!$K:$K,'g-expenses-sl'!$A:$A,G$1,'g-expenses-sl'!$D:$D,"technology",'g-expenses-sl'!$E:$E,$C129)</f>
        <v/>
      </c>
      <c r="H129" s="5">
        <f>SUMIFS('g-expenses-sl'!$K:$K,'g-expenses-sl'!$A:$A,H$1,'g-expenses-sl'!$D:$D,"technology",'g-expenses-sl'!$E:$E,$C129)</f>
        <v/>
      </c>
      <c r="I129" s="5">
        <f>SUMIFS('g-expenses-sl'!$K:$K,'g-expenses-sl'!$A:$A,I$1,'g-expenses-sl'!$D:$D,"technology",'g-expenses-sl'!$E:$E,$C129)</f>
        <v/>
      </c>
      <c r="J129" s="5">
        <f>SUMIFS('g-expenses-sl'!$K:$K,'g-expenses-sl'!$A:$A,J$1,'g-expenses-sl'!$D:$D,"technology",'g-expenses-sl'!$E:$E,$C129)</f>
        <v/>
      </c>
      <c r="K129" s="5">
        <f>SUMIFS('g-expenses-sl'!$K:$K,'g-expenses-sl'!$A:$A,K$1,'g-expenses-sl'!$D:$D,"technology",'g-expenses-sl'!$E:$E,$C129)</f>
        <v/>
      </c>
      <c r="L129" s="5">
        <f>SUMIFS('g-expenses-sl'!$K:$K,'g-expenses-sl'!$A:$A,L$1,'g-expenses-sl'!$D:$D,"technology",'g-expenses-sl'!$E:$E,$C129)</f>
        <v/>
      </c>
      <c r="M129" s="5">
        <f>SUMIFS('g-expenses-sl'!$K:$K,'g-expenses-sl'!$A:$A,M$1,'g-expenses-sl'!$D:$D,"technology",'g-expenses-sl'!$E:$E,$C129)</f>
        <v/>
      </c>
      <c r="N129" s="5">
        <f>SUMIFS('g-expenses-sl'!$K:$K,'g-expenses-sl'!$A:$A,N$1,'g-expenses-sl'!$D:$D,"technology",'g-expenses-sl'!$E:$E,$C129)</f>
        <v/>
      </c>
      <c r="O129" s="5">
        <f>SUMIFS('g-expenses-sl'!$K:$K,'g-expenses-sl'!$A:$A,O$1,'g-expenses-sl'!$D:$D,"technology",'g-expenses-sl'!$E:$E,$C129)</f>
        <v/>
      </c>
      <c r="P129" s="24">
        <f>SUM(D129:O129)</f>
        <v/>
      </c>
      <c r="Q129" s="25" t="inlineStr">
        <is>
          <t>-&gt;</t>
        </is>
      </c>
    </row>
    <row r="130" hidden="1" outlineLevel="1" ht="12" customHeight="1">
      <c r="A130" s="23" t="inlineStr">
        <is>
          <t xml:space="preserve">            SYNCWITH</t>
        </is>
      </c>
      <c r="B130" s="4" t="n"/>
      <c r="C130" s="4" t="inlineStr">
        <is>
          <t>SYNCWITH</t>
        </is>
      </c>
      <c r="D130" s="5">
        <f>SUMIFS('g-expenses-sl'!$K:$K,'g-expenses-sl'!$A:$A,D$1,'g-expenses-sl'!$D:$D,"technology",'g-expenses-sl'!$E:$E,$C130)</f>
        <v/>
      </c>
      <c r="E130" s="5">
        <f>SUMIFS('g-expenses-sl'!$K:$K,'g-expenses-sl'!$A:$A,E$1,'g-expenses-sl'!$D:$D,"technology",'g-expenses-sl'!$E:$E,$C130)</f>
        <v/>
      </c>
      <c r="F130" s="5">
        <f>SUMIFS('g-expenses-sl'!$K:$K,'g-expenses-sl'!$A:$A,F$1,'g-expenses-sl'!$D:$D,"technology",'g-expenses-sl'!$E:$E,$C130)</f>
        <v/>
      </c>
      <c r="G130" s="5">
        <f>SUMIFS('g-expenses-sl'!$K:$K,'g-expenses-sl'!$A:$A,G$1,'g-expenses-sl'!$D:$D,"technology",'g-expenses-sl'!$E:$E,$C130)</f>
        <v/>
      </c>
      <c r="H130" s="5">
        <f>SUMIFS('g-expenses-sl'!$K:$K,'g-expenses-sl'!$A:$A,H$1,'g-expenses-sl'!$D:$D,"technology",'g-expenses-sl'!$E:$E,$C130)</f>
        <v/>
      </c>
      <c r="I130" s="5">
        <f>SUMIFS('g-expenses-sl'!$K:$K,'g-expenses-sl'!$A:$A,I$1,'g-expenses-sl'!$D:$D,"technology",'g-expenses-sl'!$E:$E,$C130)</f>
        <v/>
      </c>
      <c r="J130" s="5">
        <f>SUMIFS('g-expenses-sl'!$K:$K,'g-expenses-sl'!$A:$A,J$1,'g-expenses-sl'!$D:$D,"technology",'g-expenses-sl'!$E:$E,$C130)</f>
        <v/>
      </c>
      <c r="K130" s="5">
        <f>SUMIFS('g-expenses-sl'!$K:$K,'g-expenses-sl'!$A:$A,K$1,'g-expenses-sl'!$D:$D,"technology",'g-expenses-sl'!$E:$E,$C130)</f>
        <v/>
      </c>
      <c r="L130" s="5">
        <f>SUMIFS('g-expenses-sl'!$K:$K,'g-expenses-sl'!$A:$A,L$1,'g-expenses-sl'!$D:$D,"technology",'g-expenses-sl'!$E:$E,$C130)</f>
        <v/>
      </c>
      <c r="M130" s="5">
        <f>SUMIFS('g-expenses-sl'!$K:$K,'g-expenses-sl'!$A:$A,M$1,'g-expenses-sl'!$D:$D,"technology",'g-expenses-sl'!$E:$E,$C130)</f>
        <v/>
      </c>
      <c r="N130" s="5">
        <f>SUMIFS('g-expenses-sl'!$K:$K,'g-expenses-sl'!$A:$A,N$1,'g-expenses-sl'!$D:$D,"technology",'g-expenses-sl'!$E:$E,$C130)</f>
        <v/>
      </c>
      <c r="O130" s="5">
        <f>SUMIFS('g-expenses-sl'!$K:$K,'g-expenses-sl'!$A:$A,O$1,'g-expenses-sl'!$D:$D,"technology",'g-expenses-sl'!$E:$E,$C130)</f>
        <v/>
      </c>
      <c r="P130" s="24">
        <f>SUM(D130:O130)</f>
        <v/>
      </c>
      <c r="Q130" s="25" t="inlineStr">
        <is>
          <t>-&gt;</t>
        </is>
      </c>
    </row>
    <row r="131" hidden="1" outlineLevel="1" collapsed="1" ht="12" customHeight="1">
      <c r="A131" s="23" t="inlineStr">
        <is>
          <t xml:space="preserve">            YUMAAI</t>
        </is>
      </c>
      <c r="B131" s="4" t="n"/>
      <c r="C131" s="4" t="inlineStr">
        <is>
          <t>YUMAAI</t>
        </is>
      </c>
      <c r="D131" s="5">
        <f>SUMIFS('g-expenses-sl'!$K:$K,'g-expenses-sl'!$A:$A,D$1,'g-expenses-sl'!$D:$D,"technology",'g-expenses-sl'!$E:$E,$C131)</f>
        <v/>
      </c>
      <c r="E131" s="5">
        <f>SUMIFS('g-expenses-sl'!$K:$K,'g-expenses-sl'!$A:$A,E$1,'g-expenses-sl'!$D:$D,"technology",'g-expenses-sl'!$E:$E,$C131)</f>
        <v/>
      </c>
      <c r="F131" s="5">
        <f>SUMIFS('g-expenses-sl'!$K:$K,'g-expenses-sl'!$A:$A,F$1,'g-expenses-sl'!$D:$D,"technology",'g-expenses-sl'!$E:$E,$C131)</f>
        <v/>
      </c>
      <c r="G131" s="5">
        <f>SUMIFS('g-expenses-sl'!$K:$K,'g-expenses-sl'!$A:$A,G$1,'g-expenses-sl'!$D:$D,"technology",'g-expenses-sl'!$E:$E,$C131)</f>
        <v/>
      </c>
      <c r="H131" s="5">
        <f>SUMIFS('g-expenses-sl'!$K:$K,'g-expenses-sl'!$A:$A,H$1,'g-expenses-sl'!$D:$D,"technology",'g-expenses-sl'!$E:$E,$C131)</f>
        <v/>
      </c>
      <c r="I131" s="5">
        <f>SUMIFS('g-expenses-sl'!$K:$K,'g-expenses-sl'!$A:$A,I$1,'g-expenses-sl'!$D:$D,"technology",'g-expenses-sl'!$E:$E,$C131)</f>
        <v/>
      </c>
      <c r="J131" s="5">
        <f>SUMIFS('g-expenses-sl'!$K:$K,'g-expenses-sl'!$A:$A,J$1,'g-expenses-sl'!$D:$D,"technology",'g-expenses-sl'!$E:$E,$C131)</f>
        <v/>
      </c>
      <c r="K131" s="5">
        <f>SUMIFS('g-expenses-sl'!$K:$K,'g-expenses-sl'!$A:$A,K$1,'g-expenses-sl'!$D:$D,"technology",'g-expenses-sl'!$E:$E,$C131)</f>
        <v/>
      </c>
      <c r="L131" s="5">
        <f>SUMIFS('g-expenses-sl'!$K:$K,'g-expenses-sl'!$A:$A,L$1,'g-expenses-sl'!$D:$D,"technology",'g-expenses-sl'!$E:$E,$C131)</f>
        <v/>
      </c>
      <c r="M131" s="5">
        <f>SUMIFS('g-expenses-sl'!$K:$K,'g-expenses-sl'!$A:$A,M$1,'g-expenses-sl'!$D:$D,"technology",'g-expenses-sl'!$E:$E,$C131)</f>
        <v/>
      </c>
      <c r="N131" s="5">
        <f>SUMIFS('g-expenses-sl'!$K:$K,'g-expenses-sl'!$A:$A,N$1,'g-expenses-sl'!$D:$D,"technology",'g-expenses-sl'!$E:$E,$C131)</f>
        <v/>
      </c>
      <c r="O131" s="5">
        <f>SUMIFS('g-expenses-sl'!$K:$K,'g-expenses-sl'!$A:$A,O$1,'g-expenses-sl'!$D:$D,"technology",'g-expenses-sl'!$E:$E,$C131)</f>
        <v/>
      </c>
      <c r="P131" s="24">
        <f>SUM(D131:O131)</f>
        <v/>
      </c>
      <c r="Q131" s="25" t="inlineStr">
        <is>
          <t>-&gt;</t>
        </is>
      </c>
    </row>
    <row r="132" ht="12" customHeight="1">
      <c r="A132" s="17" t="inlineStr">
        <is>
          <t xml:space="preserve">        Uncategorized Expenses</t>
        </is>
      </c>
      <c r="B132" s="18" t="n"/>
      <c r="C132" s="19" t="inlineStr">
        <is>
          <t>Uncategorized Expenses</t>
        </is>
      </c>
      <c r="D132" s="20">
        <f>SUMIFS('g-expenses-sl'!$K:$K,'g-expenses-sl'!$A:$A,D$1,'g-expenses-sl'!$D:$D,"otros_gastos")</f>
        <v/>
      </c>
      <c r="E132" s="20">
        <f>SUMIFS('g-expenses-sl'!$K:$K,'g-expenses-sl'!$A:$A,E$1,'g-expenses-sl'!$D:$D,"otros_gastos")</f>
        <v/>
      </c>
      <c r="F132" s="20">
        <f>SUMIFS('g-expenses-sl'!$K:$K,'g-expenses-sl'!$A:$A,F$1,'g-expenses-sl'!$D:$D,"otros_gastos")</f>
        <v/>
      </c>
      <c r="G132" s="20">
        <f>SUMIFS('g-expenses-sl'!$K:$K,'g-expenses-sl'!$A:$A,G$1,'g-expenses-sl'!$D:$D,"otros_gastos")</f>
        <v/>
      </c>
      <c r="H132" s="20">
        <f>SUMIFS('g-expenses-sl'!$K:$K,'g-expenses-sl'!$A:$A,H$1,'g-expenses-sl'!$D:$D,"otros_gastos")</f>
        <v/>
      </c>
      <c r="I132" s="20">
        <f>SUMIFS('g-expenses-sl'!$K:$K,'g-expenses-sl'!$A:$A,I$1,'g-expenses-sl'!$D:$D,"otros_gastos")</f>
        <v/>
      </c>
      <c r="J132" s="20">
        <f>SUMIFS('g-expenses-sl'!$K:$K,'g-expenses-sl'!$A:$A,J$1,'g-expenses-sl'!$D:$D,"otros_gastos")</f>
        <v/>
      </c>
      <c r="K132" s="20">
        <f>SUMIFS('g-expenses-sl'!$K:$K,'g-expenses-sl'!$A:$A,K$1,'g-expenses-sl'!$D:$D,"otros_gastos")</f>
        <v/>
      </c>
      <c r="L132" s="20">
        <f>SUMIFS('g-expenses-sl'!$K:$K,'g-expenses-sl'!$A:$A,L$1,'g-expenses-sl'!$D:$D,"otros_gastos")</f>
        <v/>
      </c>
      <c r="M132" s="20">
        <f>SUMIFS('g-expenses-sl'!$K:$K,'g-expenses-sl'!$A:$A,M$1,'g-expenses-sl'!$D:$D,"otros_gastos")</f>
        <v/>
      </c>
      <c r="N132" s="20">
        <f>SUMIFS('g-expenses-sl'!$K:$K,'g-expenses-sl'!$A:$A,N$1,'g-expenses-sl'!$D:$D,"otros_gastos")</f>
        <v/>
      </c>
      <c r="O132" s="20">
        <f>SUMIFS('g-expenses-sl'!$K:$K,'g-expenses-sl'!$A:$A,O$1,'g-expenses-sl'!$D:$D,"otros_gastos")</f>
        <v/>
      </c>
      <c r="P132" s="21">
        <f>SUM(D132:O132)</f>
        <v/>
      </c>
      <c r="Q132" s="22" t="inlineStr">
        <is>
          <t>-&gt;</t>
        </is>
      </c>
    </row>
    <row r="133" ht="12" customHeight="1">
      <c r="A133" s="17" t="inlineStr">
        <is>
          <t xml:space="preserve">        Currency Adjustment</t>
        </is>
      </c>
      <c r="B133" s="19" t="inlineStr">
        <is>
          <t>Currency Adjustment</t>
        </is>
      </c>
      <c r="C133" s="18" t="n"/>
      <c r="D133" s="20" t="n">
        <v>-132.9</v>
      </c>
      <c r="E133" s="20" t="n">
        <v>-277.52</v>
      </c>
      <c r="F133" s="20" t="n"/>
      <c r="G133" s="20" t="n">
        <v>140.18</v>
      </c>
      <c r="H133" s="20" t="n"/>
      <c r="I133" s="20" t="n">
        <v>261.71</v>
      </c>
      <c r="J133" s="20" t="n"/>
      <c r="K133" s="20" t="n"/>
      <c r="L133" s="20" t="n"/>
      <c r="M133" s="20" t="n"/>
      <c r="N133" s="20" t="n"/>
      <c r="O133" s="20" t="n"/>
      <c r="P133" s="21">
        <f>SUM(D133:O133)</f>
        <v/>
      </c>
      <c r="Q133" s="30" t="n"/>
    </row>
    <row r="134" ht="12" customHeight="1">
      <c r="A134" s="4" t="n"/>
      <c r="B134" s="4" t="n"/>
      <c r="C134" s="4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24">
        <f>SUM(D134:O134)</f>
        <v/>
      </c>
      <c r="Q134" s="5" t="n"/>
    </row>
    <row r="135" ht="12" customHeight="1">
      <c r="A135" s="36" t="inlineStr">
        <is>
          <t>PROFIT</t>
        </is>
      </c>
      <c r="B135" s="37" t="n"/>
      <c r="C135" s="37" t="n"/>
      <c r="D135" s="38">
        <f>D4-D53-D84-D133</f>
        <v/>
      </c>
      <c r="E135" s="38">
        <f>E4-E53-E84-E133</f>
        <v/>
      </c>
      <c r="F135" s="38">
        <f>F4-F53-F84-F133</f>
        <v/>
      </c>
      <c r="G135" s="38">
        <f>G4-G53-G84-G133</f>
        <v/>
      </c>
      <c r="H135" s="38">
        <f>H4-H53-H84-H133</f>
        <v/>
      </c>
      <c r="I135" s="38">
        <f>I4-I53-I84-I133</f>
        <v/>
      </c>
      <c r="J135" s="38">
        <f>J4-J53-J84-J133</f>
        <v/>
      </c>
      <c r="K135" s="38">
        <f>K4-K53-K84-K133</f>
        <v/>
      </c>
      <c r="L135" s="38">
        <f>L4-L53-L84-L133</f>
        <v/>
      </c>
      <c r="M135" s="38">
        <f>M4-M53-M84-M133</f>
        <v/>
      </c>
      <c r="N135" s="38">
        <f>N4-N53-N84-N133</f>
        <v/>
      </c>
      <c r="O135" s="38">
        <f>O4-O53-O84-O133</f>
        <v/>
      </c>
      <c r="P135" s="9">
        <f>SUM(D135:O135)</f>
        <v/>
      </c>
      <c r="Q135" s="39" t="n"/>
    </row>
    <row r="136" ht="12" customHeight="1">
      <c r="A136" s="40" t="inlineStr">
        <is>
          <t xml:space="preserve">        % profit / product sales</t>
        </is>
      </c>
      <c r="B136" s="41" t="n"/>
      <c r="C136" s="41" t="n"/>
      <c r="D136" s="42">
        <f>IFERROR(D135/D5,0)</f>
        <v/>
      </c>
      <c r="E136" s="42">
        <f>IFERROR(E135/E5,0)</f>
        <v/>
      </c>
      <c r="F136" s="42">
        <f>IFERROR(F135/F5,0)</f>
        <v/>
      </c>
      <c r="G136" s="42">
        <f>IFERROR(G135/G5,0)</f>
        <v/>
      </c>
      <c r="H136" s="42">
        <f>IFERROR(H135/H5,0)</f>
        <v/>
      </c>
      <c r="I136" s="42">
        <f>IFERROR(I135/I5,0)</f>
        <v/>
      </c>
      <c r="J136" s="42">
        <f>IFERROR(J135/J5,0)</f>
        <v/>
      </c>
      <c r="K136" s="42">
        <f>IFERROR(K135/K5,0)</f>
        <v/>
      </c>
      <c r="L136" s="42">
        <f>IFERROR(L135/L5,0)</f>
        <v/>
      </c>
      <c r="M136" s="42">
        <f>IFERROR(M135/M5,0)</f>
        <v/>
      </c>
      <c r="N136" s="42">
        <f>IFERROR(N135/N5,0)</f>
        <v/>
      </c>
      <c r="O136" s="42">
        <f>IFERROR(O135/O5,0)</f>
        <v/>
      </c>
      <c r="P136" s="43">
        <f>IFERROR(P135/P5,0)</f>
        <v/>
      </c>
      <c r="Q136" s="34" t="n"/>
    </row>
  </sheetData>
  <mergeCells count="2">
    <mergeCell ref="A3:C3"/>
    <mergeCell ref="A2:C2"/>
  </mergeCells>
  <hyperlinks>
    <hyperlink ref="Q6" location="'i-shopify-sl'!A1" display="-&gt;"/>
    <hyperlink ref="Q7" location="'i-shopify-sl'!A1" display="-&gt;"/>
    <hyperlink ref="Q9" location="'i-shopify-sl'!A1" display="-&gt;"/>
    <hyperlink ref="Q11" location="'i-shopify-sl'!A1" display="-&gt;"/>
    <hyperlink ref="Q13" location="'i-shopify-sl'!A1" display="-&gt;"/>
    <hyperlink ref="Q15" location="'i-shopify-sl'!A1" display="-&gt;"/>
    <hyperlink ref="Q17" location="'i-shopify-sl'!A1" display="-&gt;"/>
    <hyperlink ref="Q19" location="'i-shopify-sl'!A1" display="-&gt;"/>
    <hyperlink ref="Q21" location="'i-shopify-sl'!A1" display="-&gt;"/>
    <hyperlink ref="Q23" location="'i-shopify-sl'!A1" display="-&gt;"/>
    <hyperlink ref="Q25" location="'i-shopify-sl'!A1" display="-&gt;"/>
    <hyperlink ref="Q27" location="'i-shopify-sl'!A1" display="-&gt;"/>
    <hyperlink ref="Q29" location="'i-shopify-sl'!A1" display="-&gt;"/>
    <hyperlink ref="Q31" location="'i-shopify-sl'!A1" display="-&gt;"/>
    <hyperlink ref="Q33" location="'i-shopify-sl'!A1" display="-&gt;"/>
    <hyperlink ref="Q35" location="'i-marketplaces-sl'!A1" display="-&gt;"/>
    <hyperlink ref="Q36" location="'i-marketplaces-sl'!A1" display="-&gt;"/>
    <hyperlink ref="Q37" location="'i-marketplaces-sl'!A1" display="-&gt;"/>
    <hyperlink ref="Q38" location="'i-marketplaces-sl'!A1" display="-&gt;"/>
    <hyperlink ref="Q39" location="'i-marketplaces-sl'!A1" display="-&gt;"/>
    <hyperlink ref="Q40" location="'i-rappels-sl'!A1" display="-&gt;"/>
    <hyperlink ref="Q41" location="'i-rappels-sl'!A1" display="-&gt;"/>
    <hyperlink ref="Q42" location="'i-supplies-sl'!A1" display="-&gt;"/>
    <hyperlink ref="Q43" location="'i-supplies-sl'!A1" display="-&gt;"/>
    <hyperlink ref="Q45" location="'i-services-sl'!A1" display="-&gt;"/>
    <hyperlink ref="Q46" location="'i-services-sl'!A1" display="-&gt;"/>
    <hyperlink ref="Q47" location="'i-services-sl'!A1" display="-&gt;"/>
    <hyperlink ref="Q48" location="'i-services-sl'!A1" display="-&gt;"/>
    <hyperlink ref="Q49" location="'i-services-sl'!A1" display="-&gt;"/>
    <hyperlink ref="Q54" location="'g-expenses-sl'!A1" display="-&gt;"/>
    <hyperlink ref="Q55" location="'g-expenses-sl'!A1" display="-&gt;"/>
    <hyperlink ref="Q56" location="'g-expenses-sl'!A1" display="-&gt;"/>
    <hyperlink ref="Q57" location="'g-expenses-sl'!A1" display="-&gt;"/>
    <hyperlink ref="Q58" location="'g-expenses-sl'!A1" display="-&gt;"/>
    <hyperlink ref="Q59" location="'g-expenses-sl'!A1" display="-&gt;"/>
    <hyperlink ref="Q61" location="'g-expenses-sl'!A1" display="-&gt;"/>
    <hyperlink ref="Q62" location="'g-expenses-sl'!A1" display="-&gt;"/>
    <hyperlink ref="Q63" location="'g-expenses-sl'!A1" display="-&gt;"/>
    <hyperlink ref="Q64" location="'g-expenses-sl'!A1" display="-&gt;"/>
    <hyperlink ref="Q65" location="'g-expenses-sl'!A1" display="-&gt;"/>
    <hyperlink ref="Q66" location="'g-expenses-sl'!A1" display="-&gt;"/>
    <hyperlink ref="Q68" location="'g-expenses-sl'!A1" display="-&gt;"/>
    <hyperlink ref="Q69" location="'g-expenses-sl'!A1" display="-&gt;"/>
    <hyperlink ref="Q74" location="'g-payment-fees-sl'!A1" display="-&gt;"/>
    <hyperlink ref="Q75" location="'g-payment-fees-sl'!A1" display="-&gt;"/>
    <hyperlink ref="Q76" location="'g-payment-fees-sl'!A1" display="-&gt;"/>
    <hyperlink ref="Q85" location="'g-expenses-sl'!A1" display="-&gt;"/>
    <hyperlink ref="Q86" location="'g-expenses-sl'!A1" display="-&gt;"/>
    <hyperlink ref="Q87" location="'g-expenses-sl'!A1" display="-&gt;"/>
    <hyperlink ref="Q88" location="'g-expenses-sl'!A1" display="-&gt;"/>
    <hyperlink ref="Q89" location="'g-expenses-sl'!A1" display="-&gt;"/>
    <hyperlink ref="Q90" location="'g-expenses-sl'!A1" display="-&gt;"/>
    <hyperlink ref="Q91" location="'g-expenses-sl'!A1" display="-&gt;"/>
    <hyperlink ref="Q92" location="'g-expenses-sl'!A1" display="-&gt;"/>
    <hyperlink ref="Q93" location="'g-expenses-sl'!A1" display="-&gt;"/>
    <hyperlink ref="Q95" location="'g-expenses-sl'!A1" display="-&gt;"/>
    <hyperlink ref="Q96" location="'g-expenses-sl'!A1" display="-&gt;"/>
    <hyperlink ref="Q97" location="'g-expenses-sl'!A1" display="-&gt;"/>
    <hyperlink ref="Q98" location="'g-expenses-sl'!A1" display="-&gt;"/>
    <hyperlink ref="Q99" location="'g-expenses-sl'!A1" display="-&gt;"/>
    <hyperlink ref="Q100" location="'g-expenses-sl'!A1" display="-&gt;"/>
    <hyperlink ref="Q101" location="'g-expenses-sl'!A1" display="-&gt;"/>
    <hyperlink ref="Q102" location="'g-expenses-sl'!A1" display="-&gt;"/>
    <hyperlink ref="Q103" location="'g-expenses-sl'!A1" display="-&gt;"/>
    <hyperlink ref="Q104" location="'g-expenses-sl'!A1" display="-&gt;"/>
    <hyperlink ref="Q105" location="'g-expenses-sl'!A1" display="-&gt;"/>
    <hyperlink ref="Q106" location="'g-expenses-sl'!A1" display="-&gt;"/>
    <hyperlink ref="Q107" location="'g-expenses-sl'!A1" display="-&gt;"/>
    <hyperlink ref="Q108" location="'g-expenses-sl'!A1" display="-&gt;"/>
    <hyperlink ref="Q109" location="'g-expenses-sl'!A1" display="-&gt;"/>
    <hyperlink ref="Q110" location="'g-expenses-sl'!A1" display="-&gt;"/>
    <hyperlink ref="Q111" location="'g-expenses-sl'!A1" display="-&gt;"/>
    <hyperlink ref="Q112" location="'g-expenses-sl'!A1" display="-&gt;"/>
    <hyperlink ref="Q113" location="'g-expenses-sl'!A1" display="-&gt;"/>
    <hyperlink ref="Q114" location="'g-expenses-sl'!A1" display="-&gt;"/>
    <hyperlink ref="Q115" location="'g-expenses-sl'!A1" display="-&gt;"/>
    <hyperlink ref="Q116" location="'g-expenses-sl'!A1" display="-&gt;"/>
    <hyperlink ref="Q117" location="'g-expenses-sl'!A1" display="-&gt;"/>
    <hyperlink ref="Q118" location="'g-expenses-sl'!A1" display="-&gt;"/>
    <hyperlink ref="Q119" location="'g-expenses-sl'!A1" display="-&gt;"/>
    <hyperlink ref="Q120" location="'g-expenses-sl'!A1" display="-&gt;"/>
    <hyperlink ref="Q121" location="'g-expenses-sl'!A1" display="-&gt;"/>
    <hyperlink ref="Q122" location="'g-expenses-sl'!A1" display="-&gt;"/>
    <hyperlink ref="Q123" location="'g-expenses-sl'!A1" display="-&gt;"/>
    <hyperlink ref="Q124" location="'g-expenses-sl'!A1" display="-&gt;"/>
    <hyperlink ref="Q125" location="'g-expenses-sl'!A1" display="-&gt;"/>
    <hyperlink ref="Q126" location="'g-expenses-sl'!A1" display="-&gt;"/>
    <hyperlink ref="Q127" location="'g-expenses-sl'!A1" display="-&gt;"/>
    <hyperlink ref="Q128" location="'g-expenses-sl'!A1" display="-&gt;"/>
    <hyperlink ref="Q129" location="'g-expenses-sl'!A1" display="-&gt;"/>
    <hyperlink ref="Q130" location="'g-expenses-sl'!A1" display="-&gt;"/>
    <hyperlink ref="Q131" location="'g-expenses-sl'!A1" display="-&gt;"/>
    <hyperlink ref="Q132" location="'g-expenses-sl'!A1" display="-&gt;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48" t="inlineStr">
        <is>
          <t>&lt;- Volver a P&amp;G-SL</t>
        </is>
      </c>
    </row>
    <row r="2" ht="12" customHeight="1">
      <c r="A2" s="49" t="inlineStr">
        <is>
          <t>key</t>
        </is>
      </c>
      <c r="B2" s="49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2026-07-31T10:25:14Z</t>
        </is>
      </c>
    </row>
    <row r="6" ht="12" customHeight="1">
      <c r="A6" t="inlineStr">
        <is>
          <t>pct_staff_uk</t>
        </is>
      </c>
      <c r="B6" t="n">
        <v>0.15</v>
      </c>
    </row>
    <row r="7" ht="12" customHeight="1">
      <c r="A7" t="inlineStr">
        <is>
          <t>pct_staff_us</t>
        </is>
      </c>
      <c r="B7" t="n">
        <v>0.1</v>
      </c>
    </row>
    <row r="8" ht="12" customHeight="1">
      <c r="A8" t="inlineStr">
        <is>
          <t>pct_admin_uk</t>
        </is>
      </c>
      <c r="B8" t="n">
        <v>0.15</v>
      </c>
    </row>
    <row r="9" ht="12" customHeight="1">
      <c r="A9" t="inlineStr">
        <is>
          <t>pct_admin_us</t>
        </is>
      </c>
      <c r="B9" t="n">
        <v>0.1</v>
      </c>
    </row>
  </sheetData>
  <hyperlinks>
    <hyperlink ref="A1" location="'P&amp;G-SL'!A1" display="&lt;- Volver a P&amp;G-SL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20" customWidth="1" min="7" max="7"/>
    <col width="14" customWidth="1" min="8" max="8"/>
    <col width="18" customWidth="1" min="9" max="9"/>
    <col width="14" customWidth="1" min="10" max="10"/>
    <col width="16" customWidth="1" min="11" max="11"/>
    <col hidden="1" width="14" customWidth="1" min="12" max="12"/>
  </cols>
  <sheetData>
    <row r="1" ht="12" customHeight="1">
      <c r="A1" s="48" t="inlineStr">
        <is>
          <t>&lt;- Volver a P&amp;G-SL</t>
        </is>
      </c>
    </row>
    <row r="2" ht="12" customHeight="1">
      <c r="A2" s="49" t="inlineStr">
        <is>
          <t>yyyymm</t>
        </is>
      </c>
      <c r="B2" s="49" t="inlineStr">
        <is>
          <t>entity</t>
        </is>
      </c>
      <c r="C2" s="49" t="inlineStr">
        <is>
          <t>line_item</t>
        </is>
      </c>
      <c r="D2" s="49" t="inlineStr">
        <is>
          <t>detail</t>
        </is>
      </c>
      <c r="E2" s="49" t="inlineStr">
        <is>
          <t>amount_original</t>
        </is>
      </c>
      <c r="F2" s="49" t="inlineStr">
        <is>
          <t>currency_original</t>
        </is>
      </c>
      <c r="G2" s="49" t="inlineStr">
        <is>
          <t>reporting_currency</t>
        </is>
      </c>
      <c r="H2" s="49" t="inlineStr">
        <is>
          <t>fx_rate</t>
        </is>
      </c>
      <c r="I2" s="49" t="inlineStr">
        <is>
          <t>amount_reporting</t>
        </is>
      </c>
      <c r="J2" s="49" t="inlineStr">
        <is>
          <t>source</t>
        </is>
      </c>
      <c r="K2" s="49" t="inlineStr">
        <is>
          <t>invoice_number</t>
        </is>
      </c>
      <c r="L2" s="49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s="50" t="n">
        <v>5472.24</v>
      </c>
      <c r="F3" t="inlineStr">
        <is>
          <t>EUR</t>
        </is>
      </c>
      <c r="G3" t="inlineStr">
        <is>
          <t>EUR</t>
        </is>
      </c>
      <c r="H3" s="51" t="n">
        <v>1</v>
      </c>
      <c r="I3" s="50" t="n">
        <v>5472.24</v>
      </c>
      <c r="J3" t="inlineStr">
        <is>
          <t>finance.informe_vat_gestorias_detalle</t>
        </is>
      </c>
      <c r="K3" t="inlineStr"/>
      <c r="L3" t="inlineStr"/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s="50" t="n">
        <v>422.71</v>
      </c>
      <c r="F4" t="inlineStr">
        <is>
          <t>EUR</t>
        </is>
      </c>
      <c r="G4" t="inlineStr">
        <is>
          <t>EUR</t>
        </is>
      </c>
      <c r="H4" s="51" t="n">
        <v>1</v>
      </c>
      <c r="I4" s="50" t="n">
        <v>422.71</v>
      </c>
      <c r="J4" t="inlineStr">
        <is>
          <t>finance.informe_vat_gestorias_detalle</t>
        </is>
      </c>
      <c r="K4" t="inlineStr"/>
      <c r="L4" t="inlineStr"/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CZ</t>
        </is>
      </c>
      <c r="D5" t="inlineStr">
        <is>
          <t>CZ</t>
        </is>
      </c>
      <c r="E5" s="50" t="n">
        <v>66.81999999999999</v>
      </c>
      <c r="F5" t="inlineStr">
        <is>
          <t>EUR</t>
        </is>
      </c>
      <c r="G5" t="inlineStr">
        <is>
          <t>EUR</t>
        </is>
      </c>
      <c r="H5" s="51" t="n">
        <v>1</v>
      </c>
      <c r="I5" s="50" t="n">
        <v>66.81999999999999</v>
      </c>
      <c r="J5" t="inlineStr">
        <is>
          <t>finance.informe_vat_gestorias_detalle</t>
        </is>
      </c>
      <c r="K5" t="inlineStr"/>
      <c r="L5" t="inlineStr"/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DE</t>
        </is>
      </c>
      <c r="D6" t="inlineStr">
        <is>
          <t>DE</t>
        </is>
      </c>
      <c r="E6" s="50" t="n">
        <v>20230.26</v>
      </c>
      <c r="F6" t="inlineStr">
        <is>
          <t>EUR</t>
        </is>
      </c>
      <c r="G6" t="inlineStr">
        <is>
          <t>EUR</t>
        </is>
      </c>
      <c r="H6" s="51" t="n">
        <v>1</v>
      </c>
      <c r="I6" s="50" t="n">
        <v>20230.26</v>
      </c>
      <c r="J6" t="inlineStr">
        <is>
          <t>finance.informe_vat_gestorias_detalle</t>
        </is>
      </c>
      <c r="K6" t="inlineStr"/>
      <c r="L6" t="inlineStr"/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ES</t>
        </is>
      </c>
      <c r="D7" t="inlineStr">
        <is>
          <t>ES</t>
        </is>
      </c>
      <c r="E7" s="50" t="n">
        <v>61194.44</v>
      </c>
      <c r="F7" t="inlineStr">
        <is>
          <t>EUR</t>
        </is>
      </c>
      <c r="G7" t="inlineStr">
        <is>
          <t>EUR</t>
        </is>
      </c>
      <c r="H7" s="51" t="n">
        <v>1</v>
      </c>
      <c r="I7" s="50" t="n">
        <v>61194.44</v>
      </c>
      <c r="J7" t="inlineStr">
        <is>
          <t>finance.informe_vat_gestorias_detalle</t>
        </is>
      </c>
      <c r="K7" t="inlineStr"/>
      <c r="L7" t="inlineStr"/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FR</t>
        </is>
      </c>
      <c r="D8" t="inlineStr">
        <is>
          <t>FR</t>
        </is>
      </c>
      <c r="E8" s="50" t="n">
        <v>25562.13</v>
      </c>
      <c r="F8" t="inlineStr">
        <is>
          <t>EUR</t>
        </is>
      </c>
      <c r="G8" t="inlineStr">
        <is>
          <t>EUR</t>
        </is>
      </c>
      <c r="H8" s="51" t="n">
        <v>1</v>
      </c>
      <c r="I8" s="50" t="n">
        <v>25562.13</v>
      </c>
      <c r="J8" t="inlineStr">
        <is>
          <t>finance.informe_vat_gestorias_detalle</t>
        </is>
      </c>
      <c r="K8" t="inlineStr"/>
      <c r="L8" t="inlineStr"/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IT</t>
        </is>
      </c>
      <c r="D9" t="inlineStr">
        <is>
          <t>IT</t>
        </is>
      </c>
      <c r="E9" s="50" t="n">
        <v>18488.36</v>
      </c>
      <c r="F9" t="inlineStr">
        <is>
          <t>EUR</t>
        </is>
      </c>
      <c r="G9" t="inlineStr">
        <is>
          <t>EUR</t>
        </is>
      </c>
      <c r="H9" s="51" t="n">
        <v>1</v>
      </c>
      <c r="I9" s="50" t="n">
        <v>18488.36</v>
      </c>
      <c r="J9" t="inlineStr">
        <is>
          <t>finance.informe_vat_gestorias_detalle</t>
        </is>
      </c>
      <c r="K9" t="inlineStr"/>
      <c r="L9" t="inlineStr"/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LU</t>
        </is>
      </c>
      <c r="D10" t="inlineStr">
        <is>
          <t>LU</t>
        </is>
      </c>
      <c r="E10" s="50" t="n">
        <v>361.91</v>
      </c>
      <c r="F10" t="inlineStr">
        <is>
          <t>EUR</t>
        </is>
      </c>
      <c r="G10" t="inlineStr">
        <is>
          <t>EUR</t>
        </is>
      </c>
      <c r="H10" s="51" t="n">
        <v>1</v>
      </c>
      <c r="I10" s="50" t="n">
        <v>361.91</v>
      </c>
      <c r="J10" t="inlineStr">
        <is>
          <t>finance.informe_vat_gestorias_detalle</t>
        </is>
      </c>
      <c r="K10" t="inlineStr"/>
      <c r="L10" t="inlineStr"/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NL</t>
        </is>
      </c>
      <c r="D11" t="inlineStr">
        <is>
          <t>NL</t>
        </is>
      </c>
      <c r="E11" s="50" t="n">
        <v>115.58</v>
      </c>
      <c r="F11" t="inlineStr">
        <is>
          <t>EUR</t>
        </is>
      </c>
      <c r="G11" t="inlineStr">
        <is>
          <t>EUR</t>
        </is>
      </c>
      <c r="H11" s="51" t="n">
        <v>1</v>
      </c>
      <c r="I11" s="50" t="n">
        <v>115.58</v>
      </c>
      <c r="J11" t="inlineStr">
        <is>
          <t>finance.informe_vat_gestorias_detalle</t>
        </is>
      </c>
      <c r="K11" t="inlineStr"/>
      <c r="L11" t="inlineStr"/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PT</t>
        </is>
      </c>
      <c r="D12" t="inlineStr">
        <is>
          <t>PT</t>
        </is>
      </c>
      <c r="E12" s="50" t="n">
        <v>729.3099999999999</v>
      </c>
      <c r="F12" t="inlineStr">
        <is>
          <t>EUR</t>
        </is>
      </c>
      <c r="G12" t="inlineStr">
        <is>
          <t>EUR</t>
        </is>
      </c>
      <c r="H12" s="51" t="n">
        <v>1</v>
      </c>
      <c r="I12" s="50" t="n">
        <v>729.3099999999999</v>
      </c>
      <c r="J12" t="inlineStr">
        <is>
          <t>finance.informe_vat_gestorias_detalle</t>
        </is>
      </c>
      <c r="K12" t="inlineStr"/>
      <c r="L12" t="inlineStr"/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SE</t>
        </is>
      </c>
      <c r="D13" t="inlineStr">
        <is>
          <t>SE</t>
        </is>
      </c>
      <c r="E13" s="50" t="n">
        <v>262.46</v>
      </c>
      <c r="F13" t="inlineStr">
        <is>
          <t>EUR</t>
        </is>
      </c>
      <c r="G13" t="inlineStr">
        <is>
          <t>EUR</t>
        </is>
      </c>
      <c r="H13" s="51" t="n">
        <v>1</v>
      </c>
      <c r="I13" s="50" t="n">
        <v>262.46</v>
      </c>
      <c r="J13" t="inlineStr">
        <is>
          <t>finance.informe_vat_gestorias_detalle</t>
        </is>
      </c>
      <c r="K13" t="inlineStr"/>
      <c r="L13" t="inlineStr"/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AT</t>
        </is>
      </c>
      <c r="D14" t="inlineStr">
        <is>
          <t>AT</t>
        </is>
      </c>
      <c r="E14" s="50" t="n">
        <v>6064.69</v>
      </c>
      <c r="F14" t="inlineStr">
        <is>
          <t>EUR</t>
        </is>
      </c>
      <c r="G14" t="inlineStr">
        <is>
          <t>EUR</t>
        </is>
      </c>
      <c r="H14" s="51" t="n">
        <v>1</v>
      </c>
      <c r="I14" s="50" t="n">
        <v>6064.69</v>
      </c>
      <c r="J14" t="inlineStr">
        <is>
          <t>finance.informe_vat_gestorias_detalle</t>
        </is>
      </c>
      <c r="K14" t="inlineStr"/>
      <c r="L14" t="inlineStr"/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BE</t>
        </is>
      </c>
      <c r="D15" t="inlineStr">
        <is>
          <t>BE</t>
        </is>
      </c>
      <c r="E15" s="50" t="n">
        <v>998.6799999999999</v>
      </c>
      <c r="F15" t="inlineStr">
        <is>
          <t>EUR</t>
        </is>
      </c>
      <c r="G15" t="inlineStr">
        <is>
          <t>EUR</t>
        </is>
      </c>
      <c r="H15" s="51" t="n">
        <v>1</v>
      </c>
      <c r="I15" s="50" t="n">
        <v>998.6799999999999</v>
      </c>
      <c r="J15" t="inlineStr">
        <is>
          <t>finance.informe_vat_gestorias_detalle</t>
        </is>
      </c>
      <c r="K15" t="inlineStr"/>
      <c r="L15" t="inlineStr"/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DE</t>
        </is>
      </c>
      <c r="D16" t="inlineStr">
        <is>
          <t>DE</t>
        </is>
      </c>
      <c r="E16" s="50" t="n">
        <v>19166.62</v>
      </c>
      <c r="F16" t="inlineStr">
        <is>
          <t>EUR</t>
        </is>
      </c>
      <c r="G16" t="inlineStr">
        <is>
          <t>EUR</t>
        </is>
      </c>
      <c r="H16" s="51" t="n">
        <v>1</v>
      </c>
      <c r="I16" s="50" t="n">
        <v>19166.62</v>
      </c>
      <c r="J16" t="inlineStr">
        <is>
          <t>finance.informe_vat_gestorias_detalle</t>
        </is>
      </c>
      <c r="K16" t="inlineStr"/>
      <c r="L16" t="inlineStr"/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DK</t>
        </is>
      </c>
      <c r="D17" t="inlineStr">
        <is>
          <t>DK</t>
        </is>
      </c>
      <c r="E17" s="50" t="n">
        <v>132.99</v>
      </c>
      <c r="F17" t="inlineStr">
        <is>
          <t>EUR</t>
        </is>
      </c>
      <c r="G17" t="inlineStr">
        <is>
          <t>EUR</t>
        </is>
      </c>
      <c r="H17" s="51" t="n">
        <v>1</v>
      </c>
      <c r="I17" s="50" t="n">
        <v>132.99</v>
      </c>
      <c r="J17" t="inlineStr">
        <is>
          <t>finance.informe_vat_gestorias_detalle</t>
        </is>
      </c>
      <c r="K17" t="inlineStr"/>
      <c r="L17" t="inlineStr"/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ES</t>
        </is>
      </c>
      <c r="D18" t="inlineStr">
        <is>
          <t>ES</t>
        </is>
      </c>
      <c r="E18" s="50" t="n">
        <v>73214.46000000001</v>
      </c>
      <c r="F18" t="inlineStr">
        <is>
          <t>EUR</t>
        </is>
      </c>
      <c r="G18" t="inlineStr">
        <is>
          <t>EUR</t>
        </is>
      </c>
      <c r="H18" s="51" t="n">
        <v>1</v>
      </c>
      <c r="I18" s="50" t="n">
        <v>73214.46000000001</v>
      </c>
      <c r="J18" t="inlineStr">
        <is>
          <t>finance.informe_vat_gestorias_detalle</t>
        </is>
      </c>
      <c r="K18" t="inlineStr"/>
      <c r="L18" t="inlineStr"/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FR</t>
        </is>
      </c>
      <c r="D19" t="inlineStr">
        <is>
          <t>FR</t>
        </is>
      </c>
      <c r="E19" s="50" t="n">
        <v>27467.98</v>
      </c>
      <c r="F19" t="inlineStr">
        <is>
          <t>EUR</t>
        </is>
      </c>
      <c r="G19" t="inlineStr">
        <is>
          <t>EUR</t>
        </is>
      </c>
      <c r="H19" s="51" t="n">
        <v>1</v>
      </c>
      <c r="I19" s="50" t="n">
        <v>27467.98</v>
      </c>
      <c r="J19" t="inlineStr">
        <is>
          <t>finance.informe_vat_gestorias_detalle</t>
        </is>
      </c>
      <c r="K19" t="inlineStr"/>
      <c r="L19" t="inlineStr"/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IE</t>
        </is>
      </c>
      <c r="D20" t="inlineStr">
        <is>
          <t>IE</t>
        </is>
      </c>
      <c r="E20" s="50" t="n">
        <v>81.22</v>
      </c>
      <c r="F20" t="inlineStr">
        <is>
          <t>EUR</t>
        </is>
      </c>
      <c r="G20" t="inlineStr">
        <is>
          <t>EUR</t>
        </is>
      </c>
      <c r="H20" s="51" t="n">
        <v>1</v>
      </c>
      <c r="I20" s="50" t="n">
        <v>81.22</v>
      </c>
      <c r="J20" t="inlineStr">
        <is>
          <t>finance.informe_vat_gestorias_detalle</t>
        </is>
      </c>
      <c r="K20" t="inlineStr"/>
      <c r="L20" t="inlineStr"/>
    </row>
    <row r="21" ht="12" customHeight="1">
      <c r="A21" t="inlineStr">
        <is>
          <t>202602</t>
        </is>
      </c>
      <c r="B21" t="inlineStr">
        <is>
          <t>SL</t>
        </is>
      </c>
      <c r="C21" t="inlineStr">
        <is>
          <t>IT</t>
        </is>
      </c>
      <c r="D21" t="inlineStr">
        <is>
          <t>IT</t>
        </is>
      </c>
      <c r="E21" s="50" t="n">
        <v>20013.28</v>
      </c>
      <c r="F21" t="inlineStr">
        <is>
          <t>EUR</t>
        </is>
      </c>
      <c r="G21" t="inlineStr">
        <is>
          <t>EUR</t>
        </is>
      </c>
      <c r="H21" s="51" t="n">
        <v>1</v>
      </c>
      <c r="I21" s="50" t="n">
        <v>20013.28</v>
      </c>
      <c r="J21" t="inlineStr">
        <is>
          <t>finance.informe_vat_gestorias_detalle</t>
        </is>
      </c>
      <c r="K21" t="inlineStr"/>
      <c r="L21" t="inlineStr"/>
    </row>
    <row r="22" ht="12" customHeight="1">
      <c r="A22" t="inlineStr">
        <is>
          <t>202602</t>
        </is>
      </c>
      <c r="B22" t="inlineStr">
        <is>
          <t>SL</t>
        </is>
      </c>
      <c r="C22" t="inlineStr">
        <is>
          <t>LU</t>
        </is>
      </c>
      <c r="D22" t="inlineStr">
        <is>
          <t>LU</t>
        </is>
      </c>
      <c r="E22" s="50" t="n">
        <v>50.27</v>
      </c>
      <c r="F22" t="inlineStr">
        <is>
          <t>EUR</t>
        </is>
      </c>
      <c r="G22" t="inlineStr">
        <is>
          <t>EUR</t>
        </is>
      </c>
      <c r="H22" s="51" t="n">
        <v>1</v>
      </c>
      <c r="I22" s="50" t="n">
        <v>50.27</v>
      </c>
      <c r="J22" t="inlineStr">
        <is>
          <t>finance.informe_vat_gestorias_detalle</t>
        </is>
      </c>
      <c r="K22" t="inlineStr"/>
      <c r="L22" t="inlineStr"/>
    </row>
    <row r="23" ht="12" customHeight="1">
      <c r="A23" t="inlineStr">
        <is>
          <t>202602</t>
        </is>
      </c>
      <c r="B23" t="inlineStr">
        <is>
          <t>SL</t>
        </is>
      </c>
      <c r="C23" t="inlineStr">
        <is>
          <t>NL</t>
        </is>
      </c>
      <c r="D23" t="inlineStr">
        <is>
          <t>NL</t>
        </is>
      </c>
      <c r="E23" s="50" t="n">
        <v>175.87</v>
      </c>
      <c r="F23" t="inlineStr">
        <is>
          <t>EUR</t>
        </is>
      </c>
      <c r="G23" t="inlineStr">
        <is>
          <t>EUR</t>
        </is>
      </c>
      <c r="H23" s="51" t="n">
        <v>1</v>
      </c>
      <c r="I23" s="50" t="n">
        <v>175.87</v>
      </c>
      <c r="J23" t="inlineStr">
        <is>
          <t>finance.informe_vat_gestorias_detalle</t>
        </is>
      </c>
      <c r="K23" t="inlineStr"/>
      <c r="L23" t="inlineStr"/>
    </row>
    <row r="24" ht="12" customHeight="1">
      <c r="A24" t="inlineStr">
        <is>
          <t>202602</t>
        </is>
      </c>
      <c r="B24" t="inlineStr">
        <is>
          <t>SL</t>
        </is>
      </c>
      <c r="C24" t="inlineStr">
        <is>
          <t>PT</t>
        </is>
      </c>
      <c r="D24" t="inlineStr">
        <is>
          <t>PT</t>
        </is>
      </c>
      <c r="E24" s="50" t="n">
        <v>1281.5</v>
      </c>
      <c r="F24" t="inlineStr">
        <is>
          <t>EUR</t>
        </is>
      </c>
      <c r="G24" t="inlineStr">
        <is>
          <t>EUR</t>
        </is>
      </c>
      <c r="H24" s="51" t="n">
        <v>1</v>
      </c>
      <c r="I24" s="50" t="n">
        <v>1281.5</v>
      </c>
      <c r="J24" t="inlineStr">
        <is>
          <t>finance.informe_vat_gestorias_detalle</t>
        </is>
      </c>
      <c r="K24" t="inlineStr"/>
      <c r="L24" t="inlineStr"/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AT</t>
        </is>
      </c>
      <c r="D25" t="inlineStr">
        <is>
          <t>AT</t>
        </is>
      </c>
      <c r="E25" s="50" t="n">
        <v>5410.61</v>
      </c>
      <c r="F25" t="inlineStr">
        <is>
          <t>EUR</t>
        </is>
      </c>
      <c r="G25" t="inlineStr">
        <is>
          <t>EUR</t>
        </is>
      </c>
      <c r="H25" s="51" t="n">
        <v>1</v>
      </c>
      <c r="I25" s="50" t="n">
        <v>5410.61</v>
      </c>
      <c r="J25" t="inlineStr">
        <is>
          <t>finance.informe_vat_gestorias_detalle</t>
        </is>
      </c>
      <c r="K25" t="inlineStr"/>
      <c r="L25" t="inlineStr"/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BE</t>
        </is>
      </c>
      <c r="D26" t="inlineStr">
        <is>
          <t>BE</t>
        </is>
      </c>
      <c r="E26" s="50" t="n">
        <v>26.36</v>
      </c>
      <c r="F26" t="inlineStr">
        <is>
          <t>EUR</t>
        </is>
      </c>
      <c r="G26" t="inlineStr">
        <is>
          <t>EUR</t>
        </is>
      </c>
      <c r="H26" s="51" t="n">
        <v>1</v>
      </c>
      <c r="I26" s="50" t="n">
        <v>26.36</v>
      </c>
      <c r="J26" t="inlineStr">
        <is>
          <t>finance.informe_vat_gestorias_detalle</t>
        </is>
      </c>
      <c r="K26" t="inlineStr"/>
      <c r="L26" t="inlineStr"/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DE</t>
        </is>
      </c>
      <c r="D27" t="inlineStr">
        <is>
          <t>DE</t>
        </is>
      </c>
      <c r="E27" s="50" t="n">
        <v>24820.62</v>
      </c>
      <c r="F27" t="inlineStr">
        <is>
          <t>EUR</t>
        </is>
      </c>
      <c r="G27" t="inlineStr">
        <is>
          <t>EUR</t>
        </is>
      </c>
      <c r="H27" s="51" t="n">
        <v>1</v>
      </c>
      <c r="I27" s="50" t="n">
        <v>24820.62</v>
      </c>
      <c r="J27" t="inlineStr">
        <is>
          <t>finance.informe_vat_gestorias_detalle</t>
        </is>
      </c>
      <c r="K27" t="inlineStr"/>
      <c r="L27" t="inlineStr"/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ES</t>
        </is>
      </c>
      <c r="D28" t="inlineStr">
        <is>
          <t>ES</t>
        </is>
      </c>
      <c r="E28" s="50" t="n">
        <v>70845.75</v>
      </c>
      <c r="F28" t="inlineStr">
        <is>
          <t>EUR</t>
        </is>
      </c>
      <c r="G28" t="inlineStr">
        <is>
          <t>EUR</t>
        </is>
      </c>
      <c r="H28" s="51" t="n">
        <v>1</v>
      </c>
      <c r="I28" s="50" t="n">
        <v>70845.75</v>
      </c>
      <c r="J28" t="inlineStr">
        <is>
          <t>finance.informe_vat_gestorias_detalle</t>
        </is>
      </c>
      <c r="K28" t="inlineStr"/>
      <c r="L28" t="inlineStr"/>
    </row>
    <row r="29" ht="12" customHeight="1">
      <c r="A29" t="inlineStr">
        <is>
          <t>202603</t>
        </is>
      </c>
      <c r="B29" t="inlineStr">
        <is>
          <t>SL</t>
        </is>
      </c>
      <c r="C29" t="inlineStr">
        <is>
          <t>FR</t>
        </is>
      </c>
      <c r="D29" t="inlineStr">
        <is>
          <t>FR</t>
        </is>
      </c>
      <c r="E29" s="50" t="n">
        <v>31210.51</v>
      </c>
      <c r="F29" t="inlineStr">
        <is>
          <t>EUR</t>
        </is>
      </c>
      <c r="G29" t="inlineStr">
        <is>
          <t>EUR</t>
        </is>
      </c>
      <c r="H29" s="51" t="n">
        <v>1</v>
      </c>
      <c r="I29" s="50" t="n">
        <v>31210.51</v>
      </c>
      <c r="J29" t="inlineStr">
        <is>
          <t>finance.informe_vat_gestorias_detalle</t>
        </is>
      </c>
      <c r="K29" t="inlineStr"/>
      <c r="L29" t="inlineStr"/>
    </row>
    <row r="30" ht="12" customHeight="1">
      <c r="A30" t="inlineStr">
        <is>
          <t>202603</t>
        </is>
      </c>
      <c r="B30" t="inlineStr">
        <is>
          <t>SL</t>
        </is>
      </c>
      <c r="C30" t="inlineStr">
        <is>
          <t>IE</t>
        </is>
      </c>
      <c r="D30" t="inlineStr">
        <is>
          <t>IE</t>
        </is>
      </c>
      <c r="E30" s="50" t="n">
        <v>95.84999999999999</v>
      </c>
      <c r="F30" t="inlineStr">
        <is>
          <t>EUR</t>
        </is>
      </c>
      <c r="G30" t="inlineStr">
        <is>
          <t>EUR</t>
        </is>
      </c>
      <c r="H30" s="51" t="n">
        <v>1</v>
      </c>
      <c r="I30" s="50" t="n">
        <v>95.84999999999999</v>
      </c>
      <c r="J30" t="inlineStr">
        <is>
          <t>finance.informe_vat_gestorias_detalle</t>
        </is>
      </c>
      <c r="K30" t="inlineStr"/>
      <c r="L30" t="inlineStr"/>
    </row>
    <row r="31" ht="12" customHeight="1">
      <c r="A31" t="inlineStr">
        <is>
          <t>202603</t>
        </is>
      </c>
      <c r="B31" t="inlineStr">
        <is>
          <t>SL</t>
        </is>
      </c>
      <c r="C31" t="inlineStr">
        <is>
          <t>IT</t>
        </is>
      </c>
      <c r="D31" t="inlineStr">
        <is>
          <t>IT</t>
        </is>
      </c>
      <c r="E31" s="50" t="n">
        <v>20244.06</v>
      </c>
      <c r="F31" t="inlineStr">
        <is>
          <t>EUR</t>
        </is>
      </c>
      <c r="G31" t="inlineStr">
        <is>
          <t>EUR</t>
        </is>
      </c>
      <c r="H31" s="51" t="n">
        <v>1</v>
      </c>
      <c r="I31" s="50" t="n">
        <v>20244.06</v>
      </c>
      <c r="J31" t="inlineStr">
        <is>
          <t>finance.informe_vat_gestorias_detalle</t>
        </is>
      </c>
      <c r="K31" t="inlineStr"/>
      <c r="L31" t="inlineStr"/>
    </row>
    <row r="32" ht="12" customHeight="1">
      <c r="A32" t="inlineStr">
        <is>
          <t>202603</t>
        </is>
      </c>
      <c r="B32" t="inlineStr">
        <is>
          <t>SL</t>
        </is>
      </c>
      <c r="C32" t="inlineStr">
        <is>
          <t>LU</t>
        </is>
      </c>
      <c r="D32" t="inlineStr">
        <is>
          <t>LU</t>
        </is>
      </c>
      <c r="E32" s="50" t="n">
        <v>227.22</v>
      </c>
      <c r="F32" t="inlineStr">
        <is>
          <t>EUR</t>
        </is>
      </c>
      <c r="G32" t="inlineStr">
        <is>
          <t>EUR</t>
        </is>
      </c>
      <c r="H32" s="51" t="n">
        <v>1</v>
      </c>
      <c r="I32" s="50" t="n">
        <v>227.22</v>
      </c>
      <c r="J32" t="inlineStr">
        <is>
          <t>finance.informe_vat_gestorias_detalle</t>
        </is>
      </c>
      <c r="K32" t="inlineStr"/>
      <c r="L32" t="inlineStr"/>
    </row>
    <row r="33" ht="12" customHeight="1">
      <c r="A33" t="inlineStr">
        <is>
          <t>202603</t>
        </is>
      </c>
      <c r="B33" t="inlineStr">
        <is>
          <t>SL</t>
        </is>
      </c>
      <c r="C33" t="inlineStr">
        <is>
          <t>NL</t>
        </is>
      </c>
      <c r="D33" t="inlineStr">
        <is>
          <t>NL</t>
        </is>
      </c>
      <c r="E33" s="50" t="n">
        <v>132.86</v>
      </c>
      <c r="F33" t="inlineStr">
        <is>
          <t>EUR</t>
        </is>
      </c>
      <c r="G33" t="inlineStr">
        <is>
          <t>EUR</t>
        </is>
      </c>
      <c r="H33" s="51" t="n">
        <v>1</v>
      </c>
      <c r="I33" s="50" t="n">
        <v>132.86</v>
      </c>
      <c r="J33" t="inlineStr">
        <is>
          <t>finance.informe_vat_gestorias_detalle</t>
        </is>
      </c>
      <c r="K33" t="inlineStr"/>
      <c r="L33" t="inlineStr"/>
    </row>
    <row r="34" ht="12" customHeight="1">
      <c r="A34" t="inlineStr">
        <is>
          <t>202604</t>
        </is>
      </c>
      <c r="B34" t="inlineStr">
        <is>
          <t>SL</t>
        </is>
      </c>
      <c r="C34" t="inlineStr">
        <is>
          <t>AT</t>
        </is>
      </c>
      <c r="D34" t="inlineStr">
        <is>
          <t>AT</t>
        </is>
      </c>
      <c r="E34" s="50" t="n">
        <v>4085.09</v>
      </c>
      <c r="F34" t="inlineStr">
        <is>
          <t>EUR</t>
        </is>
      </c>
      <c r="G34" t="inlineStr">
        <is>
          <t>EUR</t>
        </is>
      </c>
      <c r="H34" s="51" t="n">
        <v>1</v>
      </c>
      <c r="I34" s="50" t="n">
        <v>4085.09</v>
      </c>
      <c r="J34" t="inlineStr">
        <is>
          <t>finance.informe_vat_gestorias_detalle</t>
        </is>
      </c>
      <c r="K34" t="inlineStr"/>
      <c r="L34" t="inlineStr"/>
    </row>
    <row r="35" ht="12" customHeight="1">
      <c r="A35" t="inlineStr">
        <is>
          <t>202604</t>
        </is>
      </c>
      <c r="B35" t="inlineStr">
        <is>
          <t>SL</t>
        </is>
      </c>
      <c r="C35" t="inlineStr">
        <is>
          <t>BE</t>
        </is>
      </c>
      <c r="D35" t="inlineStr">
        <is>
          <t>BE</t>
        </is>
      </c>
      <c r="E35" s="50" t="n">
        <v>151.72</v>
      </c>
      <c r="F35" t="inlineStr">
        <is>
          <t>EUR</t>
        </is>
      </c>
      <c r="G35" t="inlineStr">
        <is>
          <t>EUR</t>
        </is>
      </c>
      <c r="H35" s="51" t="n">
        <v>1</v>
      </c>
      <c r="I35" s="50" t="n">
        <v>151.72</v>
      </c>
      <c r="J35" t="inlineStr">
        <is>
          <t>finance.informe_vat_gestorias_detalle</t>
        </is>
      </c>
      <c r="K35" t="inlineStr"/>
      <c r="L35" t="inlineStr"/>
    </row>
    <row r="36" ht="12" customHeight="1">
      <c r="A36" t="inlineStr">
        <is>
          <t>202604</t>
        </is>
      </c>
      <c r="B36" t="inlineStr">
        <is>
          <t>SL</t>
        </is>
      </c>
      <c r="C36" t="inlineStr">
        <is>
          <t>DE</t>
        </is>
      </c>
      <c r="D36" t="inlineStr">
        <is>
          <t>DE</t>
        </is>
      </c>
      <c r="E36" s="50" t="n">
        <v>19303.41</v>
      </c>
      <c r="F36" t="inlineStr">
        <is>
          <t>EUR</t>
        </is>
      </c>
      <c r="G36" t="inlineStr">
        <is>
          <t>EUR</t>
        </is>
      </c>
      <c r="H36" s="51" t="n">
        <v>1</v>
      </c>
      <c r="I36" s="50" t="n">
        <v>19303.41</v>
      </c>
      <c r="J36" t="inlineStr">
        <is>
          <t>finance.informe_vat_gestorias_detalle</t>
        </is>
      </c>
      <c r="K36" t="inlineStr"/>
      <c r="L36" t="inlineStr"/>
    </row>
    <row r="37" ht="12" customHeight="1">
      <c r="A37" t="inlineStr">
        <is>
          <t>202604</t>
        </is>
      </c>
      <c r="B37" t="inlineStr">
        <is>
          <t>SL</t>
        </is>
      </c>
      <c r="C37" t="inlineStr">
        <is>
          <t>DK</t>
        </is>
      </c>
      <c r="D37" t="inlineStr">
        <is>
          <t>DK</t>
        </is>
      </c>
      <c r="E37" s="50" t="n">
        <v>39.92</v>
      </c>
      <c r="F37" t="inlineStr">
        <is>
          <t>EUR</t>
        </is>
      </c>
      <c r="G37" t="inlineStr">
        <is>
          <t>EUR</t>
        </is>
      </c>
      <c r="H37" s="51" t="n">
        <v>1</v>
      </c>
      <c r="I37" s="50" t="n">
        <v>39.92</v>
      </c>
      <c r="J37" t="inlineStr">
        <is>
          <t>finance.informe_vat_gestorias_detalle</t>
        </is>
      </c>
      <c r="K37" t="inlineStr"/>
      <c r="L37" t="inlineStr"/>
    </row>
    <row r="38" ht="12" customHeight="1">
      <c r="A38" t="inlineStr">
        <is>
          <t>202604</t>
        </is>
      </c>
      <c r="B38" t="inlineStr">
        <is>
          <t>SL</t>
        </is>
      </c>
      <c r="C38" t="inlineStr">
        <is>
          <t>ES</t>
        </is>
      </c>
      <c r="D38" t="inlineStr">
        <is>
          <t>ES</t>
        </is>
      </c>
      <c r="E38" s="50" t="n">
        <v>73553.91</v>
      </c>
      <c r="F38" t="inlineStr">
        <is>
          <t>EUR</t>
        </is>
      </c>
      <c r="G38" t="inlineStr">
        <is>
          <t>EUR</t>
        </is>
      </c>
      <c r="H38" s="51" t="n">
        <v>1</v>
      </c>
      <c r="I38" s="50" t="n">
        <v>73553.91</v>
      </c>
      <c r="J38" t="inlineStr">
        <is>
          <t>finance.informe_vat_gestorias_detalle</t>
        </is>
      </c>
      <c r="K38" t="inlineStr"/>
      <c r="L38" t="inlineStr"/>
    </row>
    <row r="39" ht="12" customHeight="1">
      <c r="A39" t="inlineStr">
        <is>
          <t>202604</t>
        </is>
      </c>
      <c r="B39" t="inlineStr">
        <is>
          <t>SL</t>
        </is>
      </c>
      <c r="C39" t="inlineStr">
        <is>
          <t>FR</t>
        </is>
      </c>
      <c r="D39" t="inlineStr">
        <is>
          <t>FR</t>
        </is>
      </c>
      <c r="E39" s="50" t="n">
        <v>27169.89</v>
      </c>
      <c r="F39" t="inlineStr">
        <is>
          <t>EUR</t>
        </is>
      </c>
      <c r="G39" t="inlineStr">
        <is>
          <t>EUR</t>
        </is>
      </c>
      <c r="H39" s="51" t="n">
        <v>1</v>
      </c>
      <c r="I39" s="50" t="n">
        <v>27169.89</v>
      </c>
      <c r="J39" t="inlineStr">
        <is>
          <t>finance.informe_vat_gestorias_detalle</t>
        </is>
      </c>
      <c r="K39" t="inlineStr"/>
      <c r="L39" t="inlineStr"/>
    </row>
    <row r="40" ht="12" customHeight="1">
      <c r="A40" t="inlineStr">
        <is>
          <t>202604</t>
        </is>
      </c>
      <c r="B40" t="inlineStr">
        <is>
          <t>SL</t>
        </is>
      </c>
      <c r="C40" t="inlineStr">
        <is>
          <t>IE</t>
        </is>
      </c>
      <c r="D40" t="inlineStr">
        <is>
          <t>IE</t>
        </is>
      </c>
      <c r="E40" s="50" t="n">
        <v>192.52</v>
      </c>
      <c r="F40" t="inlineStr">
        <is>
          <t>EUR</t>
        </is>
      </c>
      <c r="G40" t="inlineStr">
        <is>
          <t>EUR</t>
        </is>
      </c>
      <c r="H40" s="51" t="n">
        <v>1</v>
      </c>
      <c r="I40" s="50" t="n">
        <v>192.52</v>
      </c>
      <c r="J40" t="inlineStr">
        <is>
          <t>finance.informe_vat_gestorias_detalle</t>
        </is>
      </c>
      <c r="K40" t="inlineStr"/>
      <c r="L40" t="inlineStr"/>
    </row>
    <row r="41" ht="12" customHeight="1">
      <c r="A41" t="inlineStr">
        <is>
          <t>202604</t>
        </is>
      </c>
      <c r="B41" t="inlineStr">
        <is>
          <t>SL</t>
        </is>
      </c>
      <c r="C41" t="inlineStr">
        <is>
          <t>IT</t>
        </is>
      </c>
      <c r="D41" t="inlineStr">
        <is>
          <t>IT</t>
        </is>
      </c>
      <c r="E41" s="50" t="n">
        <v>18345.04</v>
      </c>
      <c r="F41" t="inlineStr">
        <is>
          <t>EUR</t>
        </is>
      </c>
      <c r="G41" t="inlineStr">
        <is>
          <t>EUR</t>
        </is>
      </c>
      <c r="H41" s="51" t="n">
        <v>1</v>
      </c>
      <c r="I41" s="50" t="n">
        <v>18345.04</v>
      </c>
      <c r="J41" t="inlineStr">
        <is>
          <t>finance.informe_vat_gestorias_detalle</t>
        </is>
      </c>
      <c r="K41" t="inlineStr"/>
      <c r="L41" t="inlineStr"/>
    </row>
    <row r="42" ht="12" customHeight="1">
      <c r="A42" t="inlineStr">
        <is>
          <t>202604</t>
        </is>
      </c>
      <c r="B42" t="inlineStr">
        <is>
          <t>SL</t>
        </is>
      </c>
      <c r="C42" t="inlineStr">
        <is>
          <t>LU</t>
        </is>
      </c>
      <c r="D42" t="inlineStr">
        <is>
          <t>LU</t>
        </is>
      </c>
      <c r="E42" s="50" t="n">
        <v>404.7</v>
      </c>
      <c r="F42" t="inlineStr">
        <is>
          <t>EUR</t>
        </is>
      </c>
      <c r="G42" t="inlineStr">
        <is>
          <t>EUR</t>
        </is>
      </c>
      <c r="H42" s="51" t="n">
        <v>1</v>
      </c>
      <c r="I42" s="50" t="n">
        <v>404.7</v>
      </c>
      <c r="J42" t="inlineStr">
        <is>
          <t>finance.informe_vat_gestorias_detalle</t>
        </is>
      </c>
      <c r="K42" t="inlineStr"/>
      <c r="L42" t="inlineStr"/>
    </row>
    <row r="43" ht="12" customHeight="1">
      <c r="A43" t="inlineStr">
        <is>
          <t>202604</t>
        </is>
      </c>
      <c r="B43" t="inlineStr">
        <is>
          <t>SL</t>
        </is>
      </c>
      <c r="C43" t="inlineStr">
        <is>
          <t>PT</t>
        </is>
      </c>
      <c r="D43" t="inlineStr">
        <is>
          <t>PT</t>
        </is>
      </c>
      <c r="E43" s="50" t="n">
        <v>69.06999999999999</v>
      </c>
      <c r="F43" t="inlineStr">
        <is>
          <t>EUR</t>
        </is>
      </c>
      <c r="G43" t="inlineStr">
        <is>
          <t>EUR</t>
        </is>
      </c>
      <c r="H43" s="51" t="n">
        <v>1</v>
      </c>
      <c r="I43" s="50" t="n">
        <v>69.06999999999999</v>
      </c>
      <c r="J43" t="inlineStr">
        <is>
          <t>finance.informe_vat_gestorias_detalle</t>
        </is>
      </c>
      <c r="K43" t="inlineStr"/>
      <c r="L43" t="inlineStr"/>
    </row>
    <row r="44" ht="12" customHeight="1">
      <c r="A44" t="inlineStr">
        <is>
          <t>202605</t>
        </is>
      </c>
      <c r="B44" t="inlineStr">
        <is>
          <t>SL</t>
        </is>
      </c>
      <c r="C44" t="inlineStr">
        <is>
          <t>AT</t>
        </is>
      </c>
      <c r="D44" t="inlineStr">
        <is>
          <t>AT</t>
        </is>
      </c>
      <c r="E44" s="50" t="n">
        <v>5461.52</v>
      </c>
      <c r="F44" t="inlineStr">
        <is>
          <t>EUR</t>
        </is>
      </c>
      <c r="G44" t="inlineStr">
        <is>
          <t>EUR</t>
        </is>
      </c>
      <c r="H44" s="51" t="n">
        <v>1</v>
      </c>
      <c r="I44" s="50" t="n">
        <v>5461.52</v>
      </c>
      <c r="J44" t="inlineStr">
        <is>
          <t>finance.informe_vat_gestorias_detalle</t>
        </is>
      </c>
      <c r="K44" t="inlineStr"/>
      <c r="L44" t="inlineStr"/>
    </row>
    <row r="45" ht="12" customHeight="1">
      <c r="A45" t="inlineStr">
        <is>
          <t>202605</t>
        </is>
      </c>
      <c r="B45" t="inlineStr">
        <is>
          <t>SL</t>
        </is>
      </c>
      <c r="C45" t="inlineStr">
        <is>
          <t>BE</t>
        </is>
      </c>
      <c r="D45" t="inlineStr">
        <is>
          <t>BE</t>
        </is>
      </c>
      <c r="E45" s="50" t="n">
        <v>170.59</v>
      </c>
      <c r="F45" t="inlineStr">
        <is>
          <t>EUR</t>
        </is>
      </c>
      <c r="G45" t="inlineStr">
        <is>
          <t>EUR</t>
        </is>
      </c>
      <c r="H45" s="51" t="n">
        <v>1</v>
      </c>
      <c r="I45" s="50" t="n">
        <v>170.59</v>
      </c>
      <c r="J45" t="inlineStr">
        <is>
          <t>finance.informe_vat_gestorias_detalle</t>
        </is>
      </c>
      <c r="K45" t="inlineStr"/>
      <c r="L45" t="inlineStr"/>
    </row>
    <row r="46" ht="12" customHeight="1">
      <c r="A46" t="inlineStr">
        <is>
          <t>202605</t>
        </is>
      </c>
      <c r="B46" t="inlineStr">
        <is>
          <t>SL</t>
        </is>
      </c>
      <c r="C46" t="inlineStr">
        <is>
          <t>DE</t>
        </is>
      </c>
      <c r="D46" t="inlineStr">
        <is>
          <t>DE</t>
        </is>
      </c>
      <c r="E46" s="50" t="n">
        <v>16757.78</v>
      </c>
      <c r="F46" t="inlineStr">
        <is>
          <t>EUR</t>
        </is>
      </c>
      <c r="G46" t="inlineStr">
        <is>
          <t>EUR</t>
        </is>
      </c>
      <c r="H46" s="51" t="n">
        <v>1</v>
      </c>
      <c r="I46" s="50" t="n">
        <v>16757.78</v>
      </c>
      <c r="J46" t="inlineStr">
        <is>
          <t>finance.informe_vat_gestorias_detalle</t>
        </is>
      </c>
      <c r="K46" t="inlineStr"/>
      <c r="L46" t="inlineStr"/>
    </row>
    <row r="47" ht="12" customHeight="1">
      <c r="A47" t="inlineStr">
        <is>
          <t>202605</t>
        </is>
      </c>
      <c r="B47" t="inlineStr">
        <is>
          <t>SL</t>
        </is>
      </c>
      <c r="C47" t="inlineStr">
        <is>
          <t>DK</t>
        </is>
      </c>
      <c r="D47" t="inlineStr">
        <is>
          <t>DK</t>
        </is>
      </c>
      <c r="E47" s="50" t="n">
        <v>86.3</v>
      </c>
      <c r="F47" t="inlineStr">
        <is>
          <t>EUR</t>
        </is>
      </c>
      <c r="G47" t="inlineStr">
        <is>
          <t>EUR</t>
        </is>
      </c>
      <c r="H47" s="51" t="n">
        <v>1</v>
      </c>
      <c r="I47" s="50" t="n">
        <v>86.3</v>
      </c>
      <c r="J47" t="inlineStr">
        <is>
          <t>finance.informe_vat_gestorias_detalle</t>
        </is>
      </c>
      <c r="K47" t="inlineStr"/>
      <c r="L47" t="inlineStr"/>
    </row>
    <row r="48" ht="12" customHeight="1">
      <c r="A48" t="inlineStr">
        <is>
          <t>202605</t>
        </is>
      </c>
      <c r="B48" t="inlineStr">
        <is>
          <t>SL</t>
        </is>
      </c>
      <c r="C48" t="inlineStr">
        <is>
          <t>ES</t>
        </is>
      </c>
      <c r="D48" t="inlineStr">
        <is>
          <t>ES</t>
        </is>
      </c>
      <c r="E48" s="50" t="n">
        <v>71605.44</v>
      </c>
      <c r="F48" t="inlineStr">
        <is>
          <t>EUR</t>
        </is>
      </c>
      <c r="G48" t="inlineStr">
        <is>
          <t>EUR</t>
        </is>
      </c>
      <c r="H48" s="51" t="n">
        <v>1</v>
      </c>
      <c r="I48" s="50" t="n">
        <v>71605.44</v>
      </c>
      <c r="J48" t="inlineStr">
        <is>
          <t>finance.informe_vat_gestorias_detalle</t>
        </is>
      </c>
      <c r="K48" t="inlineStr"/>
      <c r="L48" t="inlineStr"/>
    </row>
    <row r="49" ht="12" customHeight="1">
      <c r="A49" t="inlineStr">
        <is>
          <t>202605</t>
        </is>
      </c>
      <c r="B49" t="inlineStr">
        <is>
          <t>SL</t>
        </is>
      </c>
      <c r="C49" t="inlineStr">
        <is>
          <t>FR</t>
        </is>
      </c>
      <c r="D49" t="inlineStr">
        <is>
          <t>FR</t>
        </is>
      </c>
      <c r="E49" s="50" t="n">
        <v>26658.58</v>
      </c>
      <c r="F49" t="inlineStr">
        <is>
          <t>EUR</t>
        </is>
      </c>
      <c r="G49" t="inlineStr">
        <is>
          <t>EUR</t>
        </is>
      </c>
      <c r="H49" s="51" t="n">
        <v>1</v>
      </c>
      <c r="I49" s="50" t="n">
        <v>26658.58</v>
      </c>
      <c r="J49" t="inlineStr">
        <is>
          <t>finance.informe_vat_gestorias_detalle</t>
        </is>
      </c>
      <c r="K49" t="inlineStr"/>
      <c r="L49" t="inlineStr"/>
    </row>
    <row r="50" ht="12" customHeight="1">
      <c r="A50" t="inlineStr">
        <is>
          <t>202605</t>
        </is>
      </c>
      <c r="B50" t="inlineStr">
        <is>
          <t>SL</t>
        </is>
      </c>
      <c r="C50" t="inlineStr">
        <is>
          <t>IE</t>
        </is>
      </c>
      <c r="D50" t="inlineStr">
        <is>
          <t>IE</t>
        </is>
      </c>
      <c r="E50" s="50" t="n">
        <v>124.32</v>
      </c>
      <c r="F50" t="inlineStr">
        <is>
          <t>EUR</t>
        </is>
      </c>
      <c r="G50" t="inlineStr">
        <is>
          <t>EUR</t>
        </is>
      </c>
      <c r="H50" s="51" t="n">
        <v>1</v>
      </c>
      <c r="I50" s="50" t="n">
        <v>124.32</v>
      </c>
      <c r="J50" t="inlineStr">
        <is>
          <t>finance.informe_vat_gestorias_detalle</t>
        </is>
      </c>
      <c r="K50" t="inlineStr"/>
      <c r="L50" t="inlineStr"/>
    </row>
    <row r="51" ht="12" customHeight="1">
      <c r="A51" t="inlineStr">
        <is>
          <t>202605</t>
        </is>
      </c>
      <c r="B51" t="inlineStr">
        <is>
          <t>SL</t>
        </is>
      </c>
      <c r="C51" t="inlineStr">
        <is>
          <t>IT</t>
        </is>
      </c>
      <c r="D51" t="inlineStr">
        <is>
          <t>IT</t>
        </is>
      </c>
      <c r="E51" s="50" t="n">
        <v>17195.67</v>
      </c>
      <c r="F51" t="inlineStr">
        <is>
          <t>EUR</t>
        </is>
      </c>
      <c r="G51" t="inlineStr">
        <is>
          <t>EUR</t>
        </is>
      </c>
      <c r="H51" s="51" t="n">
        <v>1</v>
      </c>
      <c r="I51" s="50" t="n">
        <v>17195.67</v>
      </c>
      <c r="J51" t="inlineStr">
        <is>
          <t>finance.informe_vat_gestorias_detalle</t>
        </is>
      </c>
      <c r="K51" t="inlineStr"/>
      <c r="L51" t="inlineStr"/>
    </row>
    <row r="52" ht="12" customHeight="1">
      <c r="A52" t="inlineStr">
        <is>
          <t>202605</t>
        </is>
      </c>
      <c r="B52" t="inlineStr">
        <is>
          <t>SL</t>
        </is>
      </c>
      <c r="C52" t="inlineStr">
        <is>
          <t>NL</t>
        </is>
      </c>
      <c r="D52" t="inlineStr">
        <is>
          <t>NL</t>
        </is>
      </c>
      <c r="E52" s="50" t="n">
        <v>345</v>
      </c>
      <c r="F52" t="inlineStr">
        <is>
          <t>EUR</t>
        </is>
      </c>
      <c r="G52" t="inlineStr">
        <is>
          <t>EUR</t>
        </is>
      </c>
      <c r="H52" s="51" t="n">
        <v>1</v>
      </c>
      <c r="I52" s="50" t="n">
        <v>345</v>
      </c>
      <c r="J52" t="inlineStr">
        <is>
          <t>finance.informe_vat_gestorias_detalle</t>
        </is>
      </c>
      <c r="K52" t="inlineStr"/>
      <c r="L52" t="inlineStr"/>
    </row>
    <row r="53" ht="12" customHeight="1">
      <c r="A53" t="inlineStr">
        <is>
          <t>202605</t>
        </is>
      </c>
      <c r="B53" t="inlineStr">
        <is>
          <t>SL</t>
        </is>
      </c>
      <c r="C53" t="inlineStr">
        <is>
          <t>PT</t>
        </is>
      </c>
      <c r="D53" t="inlineStr">
        <is>
          <t>PT</t>
        </is>
      </c>
      <c r="E53" s="50" t="n">
        <v>77.26000000000001</v>
      </c>
      <c r="F53" t="inlineStr">
        <is>
          <t>EUR</t>
        </is>
      </c>
      <c r="G53" t="inlineStr">
        <is>
          <t>EUR</t>
        </is>
      </c>
      <c r="H53" s="51" t="n">
        <v>1</v>
      </c>
      <c r="I53" s="50" t="n">
        <v>77.26000000000001</v>
      </c>
      <c r="J53" t="inlineStr">
        <is>
          <t>finance.informe_vat_gestorias_detalle</t>
        </is>
      </c>
      <c r="K53" t="inlineStr"/>
      <c r="L53" t="inlineStr"/>
    </row>
    <row r="54" ht="12" customHeight="1">
      <c r="A54" t="inlineStr">
        <is>
          <t>202605</t>
        </is>
      </c>
      <c r="B54" t="inlineStr">
        <is>
          <t>SL</t>
        </is>
      </c>
      <c r="C54" t="inlineStr">
        <is>
          <t>SE</t>
        </is>
      </c>
      <c r="D54" t="inlineStr">
        <is>
          <t>SE</t>
        </is>
      </c>
      <c r="E54" s="50" t="n">
        <v>364.32</v>
      </c>
      <c r="F54" t="inlineStr">
        <is>
          <t>EUR</t>
        </is>
      </c>
      <c r="G54" t="inlineStr">
        <is>
          <t>EUR</t>
        </is>
      </c>
      <c r="H54" s="51" t="n">
        <v>1</v>
      </c>
      <c r="I54" s="50" t="n">
        <v>364.32</v>
      </c>
      <c r="J54" t="inlineStr">
        <is>
          <t>finance.informe_vat_gestorias_detalle</t>
        </is>
      </c>
      <c r="K54" t="inlineStr"/>
      <c r="L54" t="inlineStr"/>
    </row>
    <row r="55" ht="12" customHeight="1">
      <c r="A55" t="inlineStr">
        <is>
          <t>202606</t>
        </is>
      </c>
      <c r="B55" t="inlineStr">
        <is>
          <t>SL</t>
        </is>
      </c>
      <c r="C55" t="inlineStr">
        <is>
          <t>AT</t>
        </is>
      </c>
      <c r="D55" t="inlineStr">
        <is>
          <t>AT</t>
        </is>
      </c>
      <c r="E55" s="50" t="n">
        <v>3590.9</v>
      </c>
      <c r="F55" t="inlineStr">
        <is>
          <t>EUR</t>
        </is>
      </c>
      <c r="G55" t="inlineStr">
        <is>
          <t>EUR</t>
        </is>
      </c>
      <c r="H55" s="51" t="n">
        <v>1</v>
      </c>
      <c r="I55" s="50" t="n">
        <v>3590.9</v>
      </c>
      <c r="J55" t="inlineStr">
        <is>
          <t>finance.informe_vat_gestorias_detalle</t>
        </is>
      </c>
      <c r="K55" t="inlineStr"/>
      <c r="L55" t="inlineStr"/>
    </row>
    <row r="56" ht="12" customHeight="1">
      <c r="A56" t="inlineStr">
        <is>
          <t>202606</t>
        </is>
      </c>
      <c r="B56" t="inlineStr">
        <is>
          <t>SL</t>
        </is>
      </c>
      <c r="C56" t="inlineStr">
        <is>
          <t>BE</t>
        </is>
      </c>
      <c r="D56" t="inlineStr">
        <is>
          <t>BE</t>
        </is>
      </c>
      <c r="E56" s="50" t="n">
        <v>262.56</v>
      </c>
      <c r="F56" t="inlineStr">
        <is>
          <t>EUR</t>
        </is>
      </c>
      <c r="G56" t="inlineStr">
        <is>
          <t>EUR</t>
        </is>
      </c>
      <c r="H56" s="51" t="n">
        <v>1</v>
      </c>
      <c r="I56" s="50" t="n">
        <v>262.56</v>
      </c>
      <c r="J56" t="inlineStr">
        <is>
          <t>finance.informe_vat_gestorias_detalle</t>
        </is>
      </c>
      <c r="K56" t="inlineStr"/>
      <c r="L56" t="inlineStr"/>
    </row>
    <row r="57" ht="12" customHeight="1">
      <c r="A57" t="inlineStr">
        <is>
          <t>202606</t>
        </is>
      </c>
      <c r="B57" t="inlineStr">
        <is>
          <t>SL</t>
        </is>
      </c>
      <c r="C57" t="inlineStr">
        <is>
          <t>CZ</t>
        </is>
      </c>
      <c r="D57" t="inlineStr">
        <is>
          <t>CZ</t>
        </is>
      </c>
      <c r="E57" s="50" t="n">
        <v>21.52</v>
      </c>
      <c r="F57" t="inlineStr">
        <is>
          <t>EUR</t>
        </is>
      </c>
      <c r="G57" t="inlineStr">
        <is>
          <t>EUR</t>
        </is>
      </c>
      <c r="H57" s="51" t="n">
        <v>1</v>
      </c>
      <c r="I57" s="50" t="n">
        <v>21.52</v>
      </c>
      <c r="J57" t="inlineStr">
        <is>
          <t>finance.informe_vat_gestorias_detalle</t>
        </is>
      </c>
      <c r="K57" t="inlineStr"/>
      <c r="L57" t="inlineStr"/>
    </row>
    <row r="58" ht="12" customHeight="1">
      <c r="A58" t="inlineStr">
        <is>
          <t>202606</t>
        </is>
      </c>
      <c r="B58" t="inlineStr">
        <is>
          <t>SL</t>
        </is>
      </c>
      <c r="C58" t="inlineStr">
        <is>
          <t>DE</t>
        </is>
      </c>
      <c r="D58" t="inlineStr">
        <is>
          <t>DE</t>
        </is>
      </c>
      <c r="E58" s="50" t="n">
        <v>15261.22</v>
      </c>
      <c r="F58" t="inlineStr">
        <is>
          <t>EUR</t>
        </is>
      </c>
      <c r="G58" t="inlineStr">
        <is>
          <t>EUR</t>
        </is>
      </c>
      <c r="H58" s="51" t="n">
        <v>1</v>
      </c>
      <c r="I58" s="50" t="n">
        <v>15261.22</v>
      </c>
      <c r="J58" t="inlineStr">
        <is>
          <t>finance.informe_vat_gestorias_detalle</t>
        </is>
      </c>
      <c r="K58" t="inlineStr"/>
      <c r="L58" t="inlineStr"/>
    </row>
    <row r="59" ht="12" customHeight="1">
      <c r="A59" t="inlineStr">
        <is>
          <t>202606</t>
        </is>
      </c>
      <c r="B59" t="inlineStr">
        <is>
          <t>SL</t>
        </is>
      </c>
      <c r="C59" t="inlineStr">
        <is>
          <t>ES</t>
        </is>
      </c>
      <c r="D59" t="inlineStr">
        <is>
          <t>ES</t>
        </is>
      </c>
      <c r="E59" s="50" t="n">
        <v>66012.48</v>
      </c>
      <c r="F59" t="inlineStr">
        <is>
          <t>EUR</t>
        </is>
      </c>
      <c r="G59" t="inlineStr">
        <is>
          <t>EUR</t>
        </is>
      </c>
      <c r="H59" s="51" t="n">
        <v>1</v>
      </c>
      <c r="I59" s="50" t="n">
        <v>66012.48</v>
      </c>
      <c r="J59" t="inlineStr">
        <is>
          <t>finance.informe_vat_gestorias_detalle</t>
        </is>
      </c>
      <c r="K59" t="inlineStr"/>
      <c r="L59" t="inlineStr"/>
    </row>
    <row r="60" ht="12" customHeight="1">
      <c r="A60" t="inlineStr">
        <is>
          <t>202606</t>
        </is>
      </c>
      <c r="B60" t="inlineStr">
        <is>
          <t>SL</t>
        </is>
      </c>
      <c r="C60" t="inlineStr">
        <is>
          <t>FR</t>
        </is>
      </c>
      <c r="D60" t="inlineStr">
        <is>
          <t>FR</t>
        </is>
      </c>
      <c r="E60" s="50" t="n">
        <v>24986.31</v>
      </c>
      <c r="F60" t="inlineStr">
        <is>
          <t>EUR</t>
        </is>
      </c>
      <c r="G60" t="inlineStr">
        <is>
          <t>EUR</t>
        </is>
      </c>
      <c r="H60" s="51" t="n">
        <v>1</v>
      </c>
      <c r="I60" s="50" t="n">
        <v>24986.31</v>
      </c>
      <c r="J60" t="inlineStr">
        <is>
          <t>finance.informe_vat_gestorias_detalle</t>
        </is>
      </c>
      <c r="K60" t="inlineStr"/>
      <c r="L60" t="inlineStr"/>
    </row>
    <row r="61" ht="12" customHeight="1">
      <c r="A61" t="inlineStr">
        <is>
          <t>202606</t>
        </is>
      </c>
      <c r="B61" t="inlineStr">
        <is>
          <t>SL</t>
        </is>
      </c>
      <c r="C61" t="inlineStr">
        <is>
          <t>IE</t>
        </is>
      </c>
      <c r="D61" t="inlineStr">
        <is>
          <t>IE</t>
        </is>
      </c>
      <c r="E61" s="50" t="n">
        <v>56.74</v>
      </c>
      <c r="F61" t="inlineStr">
        <is>
          <t>EUR</t>
        </is>
      </c>
      <c r="G61" t="inlineStr">
        <is>
          <t>EUR</t>
        </is>
      </c>
      <c r="H61" s="51" t="n">
        <v>1</v>
      </c>
      <c r="I61" s="50" t="n">
        <v>56.74</v>
      </c>
      <c r="J61" t="inlineStr">
        <is>
          <t>finance.informe_vat_gestorias_detalle</t>
        </is>
      </c>
      <c r="K61" t="inlineStr"/>
      <c r="L61" t="inlineStr"/>
    </row>
    <row r="62" ht="12" customHeight="1">
      <c r="A62" t="inlineStr">
        <is>
          <t>202606</t>
        </is>
      </c>
      <c r="B62" t="inlineStr">
        <is>
          <t>SL</t>
        </is>
      </c>
      <c r="C62" t="inlineStr">
        <is>
          <t>IT</t>
        </is>
      </c>
      <c r="D62" t="inlineStr">
        <is>
          <t>IT</t>
        </is>
      </c>
      <c r="E62" s="50" t="n">
        <v>12418.57</v>
      </c>
      <c r="F62" t="inlineStr">
        <is>
          <t>EUR</t>
        </is>
      </c>
      <c r="G62" t="inlineStr">
        <is>
          <t>EUR</t>
        </is>
      </c>
      <c r="H62" s="51" t="n">
        <v>1</v>
      </c>
      <c r="I62" s="50" t="n">
        <v>12418.57</v>
      </c>
      <c r="J62" t="inlineStr">
        <is>
          <t>finance.informe_vat_gestorias_detalle</t>
        </is>
      </c>
      <c r="K62" t="inlineStr"/>
      <c r="L62" t="inlineStr"/>
    </row>
    <row r="63" ht="12" customHeight="1">
      <c r="A63" t="inlineStr">
        <is>
          <t>202606</t>
        </is>
      </c>
      <c r="B63" t="inlineStr">
        <is>
          <t>SL</t>
        </is>
      </c>
      <c r="C63" t="inlineStr">
        <is>
          <t>NL</t>
        </is>
      </c>
      <c r="D63" t="inlineStr">
        <is>
          <t>NL</t>
        </is>
      </c>
      <c r="E63" s="50" t="n">
        <v>286.94</v>
      </c>
      <c r="F63" t="inlineStr">
        <is>
          <t>EUR</t>
        </is>
      </c>
      <c r="G63" t="inlineStr">
        <is>
          <t>EUR</t>
        </is>
      </c>
      <c r="H63" s="51" t="n">
        <v>1</v>
      </c>
      <c r="I63" s="50" t="n">
        <v>286.94</v>
      </c>
      <c r="J63" t="inlineStr">
        <is>
          <t>finance.informe_vat_gestorias_detalle</t>
        </is>
      </c>
      <c r="K63" t="inlineStr"/>
      <c r="L63" t="inlineStr"/>
    </row>
    <row r="64" ht="12" customHeight="1">
      <c r="A64" t="inlineStr">
        <is>
          <t>202606</t>
        </is>
      </c>
      <c r="B64" t="inlineStr">
        <is>
          <t>SL</t>
        </is>
      </c>
      <c r="C64" t="inlineStr">
        <is>
          <t>PT</t>
        </is>
      </c>
      <c r="D64" t="inlineStr">
        <is>
          <t>PT</t>
        </is>
      </c>
      <c r="E64" s="50" t="n">
        <v>48.92</v>
      </c>
      <c r="F64" t="inlineStr">
        <is>
          <t>EUR</t>
        </is>
      </c>
      <c r="G64" t="inlineStr">
        <is>
          <t>EUR</t>
        </is>
      </c>
      <c r="H64" s="51" t="n">
        <v>1</v>
      </c>
      <c r="I64" s="50" t="n">
        <v>48.92</v>
      </c>
      <c r="J64" t="inlineStr">
        <is>
          <t>finance.informe_vat_gestorias_detalle</t>
        </is>
      </c>
      <c r="K64" t="inlineStr"/>
      <c r="L64" t="inlineStr"/>
    </row>
    <row r="65" ht="12" customHeight="1">
      <c r="A65" t="inlineStr">
        <is>
          <t>202606</t>
        </is>
      </c>
      <c r="B65" t="inlineStr">
        <is>
          <t>SL</t>
        </is>
      </c>
      <c r="C65" t="inlineStr">
        <is>
          <t>SE</t>
        </is>
      </c>
      <c r="D65" t="inlineStr">
        <is>
          <t>SE</t>
        </is>
      </c>
      <c r="E65" s="50" t="n">
        <v>516.37</v>
      </c>
      <c r="F65" t="inlineStr">
        <is>
          <t>EUR</t>
        </is>
      </c>
      <c r="G65" t="inlineStr">
        <is>
          <t>EUR</t>
        </is>
      </c>
      <c r="H65" s="51" t="n">
        <v>1</v>
      </c>
      <c r="I65" s="50" t="n">
        <v>516.37</v>
      </c>
      <c r="J65" t="inlineStr">
        <is>
          <t>finance.informe_vat_gestorias_detalle</t>
        </is>
      </c>
      <c r="K65" t="inlineStr"/>
      <c r="L65" t="inlineStr"/>
    </row>
    <row r="66" ht="12" customHeight="1">
      <c r="A66" t="inlineStr">
        <is>
          <t>202607</t>
        </is>
      </c>
      <c r="B66" t="inlineStr">
        <is>
          <t>SL</t>
        </is>
      </c>
      <c r="C66" t="inlineStr">
        <is>
          <t>AT</t>
        </is>
      </c>
      <c r="D66" t="inlineStr">
        <is>
          <t>AT</t>
        </is>
      </c>
      <c r="E66" s="50" t="n">
        <v>4831.74</v>
      </c>
      <c r="F66" t="inlineStr">
        <is>
          <t>EUR</t>
        </is>
      </c>
      <c r="G66" t="inlineStr">
        <is>
          <t>EUR</t>
        </is>
      </c>
      <c r="H66" s="51" t="n">
        <v>1</v>
      </c>
      <c r="I66" s="50" t="n">
        <v>4831.74</v>
      </c>
      <c r="J66" t="inlineStr">
        <is>
          <t>finance.informe_vat_gestorias_detalle</t>
        </is>
      </c>
      <c r="K66" t="inlineStr"/>
      <c r="L66" t="inlineStr"/>
    </row>
    <row r="67" ht="12" customHeight="1">
      <c r="A67" t="inlineStr">
        <is>
          <t>202607</t>
        </is>
      </c>
      <c r="B67" t="inlineStr">
        <is>
          <t>SL</t>
        </is>
      </c>
      <c r="C67" t="inlineStr">
        <is>
          <t>BE</t>
        </is>
      </c>
      <c r="D67" t="inlineStr">
        <is>
          <t>BE</t>
        </is>
      </c>
      <c r="E67" s="50" t="n">
        <v>4128.32</v>
      </c>
      <c r="F67" t="inlineStr">
        <is>
          <t>EUR</t>
        </is>
      </c>
      <c r="G67" t="inlineStr">
        <is>
          <t>EUR</t>
        </is>
      </c>
      <c r="H67" s="51" t="n">
        <v>1</v>
      </c>
      <c r="I67" s="50" t="n">
        <v>4128.32</v>
      </c>
      <c r="J67" t="inlineStr">
        <is>
          <t>finance.informe_vat_gestorias_detalle</t>
        </is>
      </c>
      <c r="K67" t="inlineStr"/>
      <c r="L67" t="inlineStr"/>
    </row>
    <row r="68" ht="12" customHeight="1">
      <c r="A68" t="inlineStr">
        <is>
          <t>202607</t>
        </is>
      </c>
      <c r="B68" t="inlineStr">
        <is>
          <t>SL</t>
        </is>
      </c>
      <c r="C68" t="inlineStr">
        <is>
          <t>CZ</t>
        </is>
      </c>
      <c r="D68" t="inlineStr">
        <is>
          <t>CZ</t>
        </is>
      </c>
      <c r="E68" s="50" t="n">
        <v>975.79</v>
      </c>
      <c r="F68" t="inlineStr">
        <is>
          <t>EUR</t>
        </is>
      </c>
      <c r="G68" t="inlineStr">
        <is>
          <t>EUR</t>
        </is>
      </c>
      <c r="H68" s="51" t="n">
        <v>1</v>
      </c>
      <c r="I68" s="50" t="n">
        <v>975.79</v>
      </c>
      <c r="J68" t="inlineStr">
        <is>
          <t>finance.informe_vat_gestorias_detalle</t>
        </is>
      </c>
      <c r="K68" t="inlineStr"/>
      <c r="L68" t="inlineStr"/>
    </row>
    <row r="69" ht="12" customHeight="1">
      <c r="A69" t="inlineStr">
        <is>
          <t>202607</t>
        </is>
      </c>
      <c r="B69" t="inlineStr">
        <is>
          <t>SL</t>
        </is>
      </c>
      <c r="C69" t="inlineStr">
        <is>
          <t>DE</t>
        </is>
      </c>
      <c r="D69" t="inlineStr">
        <is>
          <t>DE</t>
        </is>
      </c>
      <c r="E69" s="50" t="n">
        <v>17211.56</v>
      </c>
      <c r="F69" t="inlineStr">
        <is>
          <t>EUR</t>
        </is>
      </c>
      <c r="G69" t="inlineStr">
        <is>
          <t>EUR</t>
        </is>
      </c>
      <c r="H69" s="51" t="n">
        <v>1</v>
      </c>
      <c r="I69" s="50" t="n">
        <v>17211.56</v>
      </c>
      <c r="J69" t="inlineStr">
        <is>
          <t>finance.informe_vat_gestorias_detalle</t>
        </is>
      </c>
      <c r="K69" t="inlineStr"/>
      <c r="L69" t="inlineStr"/>
    </row>
    <row r="70" ht="12" customHeight="1">
      <c r="A70" t="inlineStr">
        <is>
          <t>202607</t>
        </is>
      </c>
      <c r="B70" t="inlineStr">
        <is>
          <t>SL</t>
        </is>
      </c>
      <c r="C70" t="inlineStr">
        <is>
          <t>DK</t>
        </is>
      </c>
      <c r="D70" t="inlineStr">
        <is>
          <t>DK</t>
        </is>
      </c>
      <c r="E70" s="50" t="n">
        <v>1650.84</v>
      </c>
      <c r="F70" t="inlineStr">
        <is>
          <t>EUR</t>
        </is>
      </c>
      <c r="G70" t="inlineStr">
        <is>
          <t>EUR</t>
        </is>
      </c>
      <c r="H70" s="51" t="n">
        <v>1</v>
      </c>
      <c r="I70" s="50" t="n">
        <v>1650.84</v>
      </c>
      <c r="J70" t="inlineStr">
        <is>
          <t>finance.informe_vat_gestorias_detalle</t>
        </is>
      </c>
      <c r="K70" t="inlineStr"/>
      <c r="L70" t="inlineStr"/>
    </row>
    <row r="71" ht="12" customHeight="1">
      <c r="A71" t="inlineStr">
        <is>
          <t>202607</t>
        </is>
      </c>
      <c r="B71" t="inlineStr">
        <is>
          <t>SL</t>
        </is>
      </c>
      <c r="C71" t="inlineStr">
        <is>
          <t>ES</t>
        </is>
      </c>
      <c r="D71" t="inlineStr">
        <is>
          <t>ES</t>
        </is>
      </c>
      <c r="E71" s="50" t="n">
        <v>64027.01</v>
      </c>
      <c r="F71" t="inlineStr">
        <is>
          <t>EUR</t>
        </is>
      </c>
      <c r="G71" t="inlineStr">
        <is>
          <t>EUR</t>
        </is>
      </c>
      <c r="H71" s="51" t="n">
        <v>1</v>
      </c>
      <c r="I71" s="50" t="n">
        <v>64027.01</v>
      </c>
      <c r="J71" t="inlineStr">
        <is>
          <t>finance.informe_vat_gestorias_detalle</t>
        </is>
      </c>
      <c r="K71" t="inlineStr"/>
      <c r="L71" t="inlineStr"/>
    </row>
    <row r="72" ht="12" customHeight="1">
      <c r="A72" t="inlineStr">
        <is>
          <t>202607</t>
        </is>
      </c>
      <c r="B72" t="inlineStr">
        <is>
          <t>SL</t>
        </is>
      </c>
      <c r="C72" t="inlineStr">
        <is>
          <t>FR</t>
        </is>
      </c>
      <c r="D72" t="inlineStr">
        <is>
          <t>FR</t>
        </is>
      </c>
      <c r="E72" s="50" t="n">
        <v>29481.73</v>
      </c>
      <c r="F72" t="inlineStr">
        <is>
          <t>EUR</t>
        </is>
      </c>
      <c r="G72" t="inlineStr">
        <is>
          <t>EUR</t>
        </is>
      </c>
      <c r="H72" s="51" t="n">
        <v>1</v>
      </c>
      <c r="I72" s="50" t="n">
        <v>29481.73</v>
      </c>
      <c r="J72" t="inlineStr">
        <is>
          <t>finance.informe_vat_gestorias_detalle</t>
        </is>
      </c>
      <c r="K72" t="inlineStr"/>
      <c r="L72" t="inlineStr"/>
    </row>
    <row r="73" ht="12" customHeight="1">
      <c r="A73" t="inlineStr">
        <is>
          <t>202607</t>
        </is>
      </c>
      <c r="B73" t="inlineStr">
        <is>
          <t>SL</t>
        </is>
      </c>
      <c r="C73" t="inlineStr">
        <is>
          <t>IE</t>
        </is>
      </c>
      <c r="D73" t="inlineStr">
        <is>
          <t>IE</t>
        </is>
      </c>
      <c r="E73" s="50" t="n">
        <v>142.11</v>
      </c>
      <c r="F73" t="inlineStr">
        <is>
          <t>EUR</t>
        </is>
      </c>
      <c r="G73" t="inlineStr">
        <is>
          <t>EUR</t>
        </is>
      </c>
      <c r="H73" s="51" t="n">
        <v>1</v>
      </c>
      <c r="I73" s="50" t="n">
        <v>142.11</v>
      </c>
      <c r="J73" t="inlineStr">
        <is>
          <t>finance.informe_vat_gestorias_detalle</t>
        </is>
      </c>
      <c r="K73" t="inlineStr"/>
      <c r="L73" t="inlineStr"/>
    </row>
    <row r="74" ht="12" customHeight="1">
      <c r="A74" t="inlineStr">
        <is>
          <t>202607</t>
        </is>
      </c>
      <c r="B74" t="inlineStr">
        <is>
          <t>SL</t>
        </is>
      </c>
      <c r="C74" t="inlineStr">
        <is>
          <t>IT</t>
        </is>
      </c>
      <c r="D74" t="inlineStr">
        <is>
          <t>IT</t>
        </is>
      </c>
      <c r="E74" s="50" t="n">
        <v>16704.91</v>
      </c>
      <c r="F74" t="inlineStr">
        <is>
          <t>EUR</t>
        </is>
      </c>
      <c r="G74" t="inlineStr">
        <is>
          <t>EUR</t>
        </is>
      </c>
      <c r="H74" s="51" t="n">
        <v>1</v>
      </c>
      <c r="I74" s="50" t="n">
        <v>16704.91</v>
      </c>
      <c r="J74" t="inlineStr">
        <is>
          <t>finance.informe_vat_gestorias_detalle</t>
        </is>
      </c>
      <c r="K74" t="inlineStr"/>
      <c r="L74" t="inlineStr"/>
    </row>
    <row r="75" ht="12" customHeight="1">
      <c r="A75" t="inlineStr">
        <is>
          <t>202607</t>
        </is>
      </c>
      <c r="B75" t="inlineStr">
        <is>
          <t>SL</t>
        </is>
      </c>
      <c r="C75" t="inlineStr">
        <is>
          <t>LU</t>
        </is>
      </c>
      <c r="D75" t="inlineStr">
        <is>
          <t>LU</t>
        </is>
      </c>
      <c r="E75" s="50" t="n">
        <v>59.79</v>
      </c>
      <c r="F75" t="inlineStr">
        <is>
          <t>EUR</t>
        </is>
      </c>
      <c r="G75" t="inlineStr">
        <is>
          <t>EUR</t>
        </is>
      </c>
      <c r="H75" s="51" t="n">
        <v>1</v>
      </c>
      <c r="I75" s="50" t="n">
        <v>59.79</v>
      </c>
      <c r="J75" t="inlineStr">
        <is>
          <t>finance.informe_vat_gestorias_detalle</t>
        </is>
      </c>
      <c r="K75" t="inlineStr"/>
      <c r="L75" t="inlineStr"/>
    </row>
    <row r="76" ht="12" customHeight="1">
      <c r="A76" t="inlineStr">
        <is>
          <t>202607</t>
        </is>
      </c>
      <c r="B76" t="inlineStr">
        <is>
          <t>SL</t>
        </is>
      </c>
      <c r="C76" t="inlineStr">
        <is>
          <t>NL</t>
        </is>
      </c>
      <c r="D76" t="inlineStr">
        <is>
          <t>NL</t>
        </is>
      </c>
      <c r="E76" s="50" t="n">
        <v>2989.75</v>
      </c>
      <c r="F76" t="inlineStr">
        <is>
          <t>EUR</t>
        </is>
      </c>
      <c r="G76" t="inlineStr">
        <is>
          <t>EUR</t>
        </is>
      </c>
      <c r="H76" s="51" t="n">
        <v>1</v>
      </c>
      <c r="I76" s="50" t="n">
        <v>2989.75</v>
      </c>
      <c r="J76" t="inlineStr">
        <is>
          <t>finance.informe_vat_gestorias_detalle</t>
        </is>
      </c>
      <c r="K76" t="inlineStr"/>
      <c r="L76" t="inlineStr"/>
    </row>
    <row r="77" ht="12" customHeight="1">
      <c r="A77" t="inlineStr">
        <is>
          <t>202607</t>
        </is>
      </c>
      <c r="B77" t="inlineStr">
        <is>
          <t>SL</t>
        </is>
      </c>
      <c r="C77" t="inlineStr">
        <is>
          <t>PL</t>
        </is>
      </c>
      <c r="D77" t="inlineStr">
        <is>
          <t>PL</t>
        </is>
      </c>
      <c r="E77" s="50" t="n">
        <v>4806.7</v>
      </c>
      <c r="F77" t="inlineStr">
        <is>
          <t>EUR</t>
        </is>
      </c>
      <c r="G77" t="inlineStr">
        <is>
          <t>EUR</t>
        </is>
      </c>
      <c r="H77" s="51" t="n">
        <v>1</v>
      </c>
      <c r="I77" s="50" t="n">
        <v>4806.7</v>
      </c>
      <c r="J77" t="inlineStr">
        <is>
          <t>finance.informe_vat_gestorias_detalle</t>
        </is>
      </c>
      <c r="K77" t="inlineStr"/>
      <c r="L77" t="inlineStr"/>
    </row>
    <row r="78" ht="12" customHeight="1">
      <c r="A78" t="inlineStr">
        <is>
          <t>202607</t>
        </is>
      </c>
      <c r="B78" t="inlineStr">
        <is>
          <t>SL</t>
        </is>
      </c>
      <c r="C78" t="inlineStr">
        <is>
          <t>PT</t>
        </is>
      </c>
      <c r="D78" t="inlineStr">
        <is>
          <t>PT</t>
        </is>
      </c>
      <c r="E78" s="50" t="n">
        <v>2889.06</v>
      </c>
      <c r="F78" t="inlineStr">
        <is>
          <t>EUR</t>
        </is>
      </c>
      <c r="G78" t="inlineStr">
        <is>
          <t>EUR</t>
        </is>
      </c>
      <c r="H78" s="51" t="n">
        <v>1</v>
      </c>
      <c r="I78" s="50" t="n">
        <v>2889.06</v>
      </c>
      <c r="J78" t="inlineStr">
        <is>
          <t>finance.informe_vat_gestorias_detalle</t>
        </is>
      </c>
      <c r="K78" t="inlineStr"/>
      <c r="L78" t="inlineStr"/>
    </row>
    <row r="79" ht="12" customHeight="1">
      <c r="A79" t="inlineStr">
        <is>
          <t>202607</t>
        </is>
      </c>
      <c r="B79" t="inlineStr">
        <is>
          <t>SL</t>
        </is>
      </c>
      <c r="C79" t="inlineStr">
        <is>
          <t>SE</t>
        </is>
      </c>
      <c r="D79" t="inlineStr">
        <is>
          <t>SE</t>
        </is>
      </c>
      <c r="E79" s="50" t="n">
        <v>2401.98</v>
      </c>
      <c r="F79" t="inlineStr">
        <is>
          <t>EUR</t>
        </is>
      </c>
      <c r="G79" t="inlineStr">
        <is>
          <t>EUR</t>
        </is>
      </c>
      <c r="H79" s="51" t="n">
        <v>1</v>
      </c>
      <c r="I79" s="50" t="n">
        <v>2401.98</v>
      </c>
      <c r="J79" t="inlineStr">
        <is>
          <t>finance.informe_vat_gestorias_detalle</t>
        </is>
      </c>
      <c r="K79" t="inlineStr"/>
      <c r="L79" t="inlineStr"/>
    </row>
  </sheetData>
  <hyperlinks>
    <hyperlink ref="A1" location="'P&amp;G-SL'!A1" display="&lt;- Volver a P&amp;G-SL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20" customWidth="1" min="7" max="7"/>
    <col width="14" customWidth="1" min="8" max="8"/>
    <col width="18" customWidth="1" min="9" max="9"/>
    <col width="14" customWidth="1" min="10" max="10"/>
    <col width="16" customWidth="1" min="11" max="11"/>
    <col hidden="1" width="14" customWidth="1" min="12" max="12"/>
  </cols>
  <sheetData>
    <row r="1" ht="12" customHeight="1">
      <c r="A1" s="48" t="inlineStr">
        <is>
          <t>&lt;- Volver a P&amp;G-SL</t>
        </is>
      </c>
    </row>
    <row r="2" ht="12" customHeight="1">
      <c r="A2" s="49" t="inlineStr">
        <is>
          <t>yyyymm</t>
        </is>
      </c>
      <c r="B2" s="49" t="inlineStr">
        <is>
          <t>entity</t>
        </is>
      </c>
      <c r="C2" s="49" t="inlineStr">
        <is>
          <t>line_item</t>
        </is>
      </c>
      <c r="D2" s="49" t="inlineStr">
        <is>
          <t>detail</t>
        </is>
      </c>
      <c r="E2" s="49" t="inlineStr">
        <is>
          <t>amount_original</t>
        </is>
      </c>
      <c r="F2" s="49" t="inlineStr">
        <is>
          <t>currency_original</t>
        </is>
      </c>
      <c r="G2" s="49" t="inlineStr">
        <is>
          <t>reporting_currency</t>
        </is>
      </c>
      <c r="H2" s="49" t="inlineStr">
        <is>
          <t>fx_rate</t>
        </is>
      </c>
      <c r="I2" s="49" t="inlineStr">
        <is>
          <t>amount_reporting</t>
        </is>
      </c>
      <c r="J2" s="49" t="inlineStr">
        <is>
          <t>source</t>
        </is>
      </c>
      <c r="K2" s="49" t="inlineStr">
        <is>
          <t>invoice_number</t>
        </is>
      </c>
      <c r="L2" s="49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s="50" t="n">
        <v>1419.7</v>
      </c>
      <c r="F3" t="inlineStr">
        <is>
          <t>EUR</t>
        </is>
      </c>
      <c r="G3" t="inlineStr">
        <is>
          <t>EUR</t>
        </is>
      </c>
      <c r="H3" s="51" t="n">
        <v>1</v>
      </c>
      <c r="I3" s="50" t="n">
        <v>1419.7</v>
      </c>
      <c r="J3" t="inlineStr">
        <is>
          <t>documents</t>
        </is>
      </c>
      <c r="K3" s="52" t="inlineStr">
        <is>
          <t>2026-0008</t>
        </is>
      </c>
      <c r="L3" t="inlineStr">
        <is>
          <t>https://drive.google.com/file/d/1SRHb07OiC_DmTMCjAnZJpaif5amIl7Fl/view?usp=drivesdk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s="50" t="n">
        <v>1128.42</v>
      </c>
      <c r="F4" t="inlineStr">
        <is>
          <t>EUR</t>
        </is>
      </c>
      <c r="G4" t="inlineStr">
        <is>
          <t>EUR</t>
        </is>
      </c>
      <c r="H4" s="51" t="n">
        <v>1</v>
      </c>
      <c r="I4" s="50" t="n">
        <v>1128.42</v>
      </c>
      <c r="J4" t="inlineStr">
        <is>
          <t>documents</t>
        </is>
      </c>
      <c r="K4" s="52" t="inlineStr">
        <is>
          <t>2026-0013</t>
        </is>
      </c>
      <c r="L4" t="inlineStr">
        <is>
          <t>https://drive.google.com/file/d/1CmAISLBvUVe78NnGfNvevigmLiHzSEsg/view?usp=drivesdk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s="50" t="n">
        <v>1746.6</v>
      </c>
      <c r="F5" t="inlineStr">
        <is>
          <t>EUR</t>
        </is>
      </c>
      <c r="G5" t="inlineStr">
        <is>
          <t>EUR</t>
        </is>
      </c>
      <c r="H5" s="51" t="n">
        <v>1</v>
      </c>
      <c r="I5" s="50" t="n">
        <v>1746.6</v>
      </c>
      <c r="J5" t="inlineStr">
        <is>
          <t>documents</t>
        </is>
      </c>
      <c r="K5" s="52" t="inlineStr">
        <is>
          <t>AS-99158</t>
        </is>
      </c>
      <c r="L5" t="inlineStr">
        <is>
          <t>https://drive.google.com/file/d/1Caf6SbLhjNsliYTmwyaOj9tn_dQke6Ff/view?usp=drivesdk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s="50" t="n">
        <v>15609.96</v>
      </c>
      <c r="F6" t="inlineStr">
        <is>
          <t>EUR</t>
        </is>
      </c>
      <c r="G6" t="inlineStr">
        <is>
          <t>EUR</t>
        </is>
      </c>
      <c r="H6" s="51" t="n">
        <v>1</v>
      </c>
      <c r="I6" s="50" t="n">
        <v>15609.96</v>
      </c>
      <c r="J6" t="inlineStr">
        <is>
          <t>documents</t>
        </is>
      </c>
      <c r="K6" s="52" t="inlineStr">
        <is>
          <t>AS-101940</t>
        </is>
      </c>
      <c r="L6" t="inlineStr">
        <is>
          <t>https://drive.google.com/file/d/18nd9g2717srK8fdaeAjNuV-HtW9zUU3A/view?usp=drivesdk</t>
        </is>
      </c>
    </row>
    <row r="7" ht="12" customHeight="1">
      <c r="A7" t="inlineStr">
        <is>
          <t>202603</t>
        </is>
      </c>
      <c r="B7" t="inlineStr">
        <is>
          <t>SL</t>
        </is>
      </c>
      <c r="C7" t="inlineStr">
        <is>
          <t>HANNUN</t>
        </is>
      </c>
      <c r="D7" t="inlineStr">
        <is>
          <t>orders</t>
        </is>
      </c>
      <c r="E7" s="50" t="n">
        <v>1277.93</v>
      </c>
      <c r="F7" t="inlineStr">
        <is>
          <t>EUR</t>
        </is>
      </c>
      <c r="G7" t="inlineStr">
        <is>
          <t>EUR</t>
        </is>
      </c>
      <c r="H7" s="51" t="n">
        <v>1</v>
      </c>
      <c r="I7" s="50" t="n">
        <v>1277.93</v>
      </c>
      <c r="J7" t="inlineStr">
        <is>
          <t>documents</t>
        </is>
      </c>
      <c r="K7" s="52" t="inlineStr">
        <is>
          <t>2026-0018</t>
        </is>
      </c>
      <c r="L7" t="inlineStr">
        <is>
          <t>https://drive.google.com/file/d/1sizgdxMBUT_B7ZP3pPW8o5AjPDT-reZn/view?usp=drivesdk</t>
        </is>
      </c>
    </row>
    <row r="8" ht="12" customHeight="1">
      <c r="A8" t="inlineStr">
        <is>
          <t>202604</t>
        </is>
      </c>
      <c r="B8" t="inlineStr">
        <is>
          <t>SL</t>
        </is>
      </c>
      <c r="C8" t="inlineStr">
        <is>
          <t>HANNUN</t>
        </is>
      </c>
      <c r="D8" t="inlineStr">
        <is>
          <t>orders</t>
        </is>
      </c>
      <c r="E8" s="50" t="n">
        <v>1683.63</v>
      </c>
      <c r="F8" t="inlineStr">
        <is>
          <t>EUR</t>
        </is>
      </c>
      <c r="G8" t="inlineStr">
        <is>
          <t>EUR</t>
        </is>
      </c>
      <c r="H8" s="51" t="n">
        <v>1</v>
      </c>
      <c r="I8" s="50" t="n">
        <v>1683.63</v>
      </c>
      <c r="J8" t="inlineStr">
        <is>
          <t>documents</t>
        </is>
      </c>
      <c r="K8" s="52" t="inlineStr">
        <is>
          <t>2026-0022</t>
        </is>
      </c>
      <c r="L8" t="inlineStr">
        <is>
          <t>https://drive.google.com/file/d/1OOCVQ9WtdMm6CCyphgf3SSGTF_CcdoPR/view?usp=drivesdk</t>
        </is>
      </c>
    </row>
    <row r="9" ht="12" customHeight="1">
      <c r="A9" t="inlineStr">
        <is>
          <t>202605</t>
        </is>
      </c>
      <c r="B9" t="inlineStr">
        <is>
          <t>SL</t>
        </is>
      </c>
      <c r="C9" t="inlineStr">
        <is>
          <t>HANNUN</t>
        </is>
      </c>
      <c r="D9" t="inlineStr">
        <is>
          <t>orders</t>
        </is>
      </c>
      <c r="E9" s="50" t="n">
        <v>537.25</v>
      </c>
      <c r="F9" t="inlineStr">
        <is>
          <t>EUR</t>
        </is>
      </c>
      <c r="G9" t="inlineStr">
        <is>
          <t>EUR</t>
        </is>
      </c>
      <c r="H9" s="51" t="n">
        <v>1</v>
      </c>
      <c r="I9" s="50" t="n">
        <v>537.25</v>
      </c>
      <c r="J9" t="inlineStr">
        <is>
          <t>documents</t>
        </is>
      </c>
      <c r="K9" s="52" t="inlineStr">
        <is>
          <t>2026-0026</t>
        </is>
      </c>
      <c r="L9" t="inlineStr">
        <is>
          <t>https://drive.google.com/file/d/1EnDjHW6oQDDuhBGcQU4zAyLzl-V3lLpl/view?usp=drivesdk</t>
        </is>
      </c>
    </row>
    <row r="10" ht="12" customHeight="1">
      <c r="A10" t="inlineStr">
        <is>
          <t>202605</t>
        </is>
      </c>
      <c r="B10" t="inlineStr">
        <is>
          <t>SL</t>
        </is>
      </c>
      <c r="C10" t="inlineStr">
        <is>
          <t>MAISONS</t>
        </is>
      </c>
      <c r="D10" t="inlineStr">
        <is>
          <t>marketplace</t>
        </is>
      </c>
      <c r="E10" s="50" t="n">
        <v>-579.74</v>
      </c>
      <c r="F10" t="inlineStr">
        <is>
          <t>EUR</t>
        </is>
      </c>
      <c r="G10" t="inlineStr">
        <is>
          <t>EUR</t>
        </is>
      </c>
      <c r="H10" s="51" t="n">
        <v>1</v>
      </c>
      <c r="I10" s="50" t="n">
        <v>-579.74</v>
      </c>
      <c r="J10" t="inlineStr">
        <is>
          <t>documents</t>
        </is>
      </c>
      <c r="K10" s="52" t="inlineStr">
        <is>
          <t>000000323475</t>
        </is>
      </c>
      <c r="L10" t="inlineStr">
        <is>
          <t>https://drive.google.com/file/d/1Nw1dW-Ij9HiS9A5ea4qV5llrtmiOADvG/view?usp=drivesdk</t>
        </is>
      </c>
    </row>
    <row r="11" ht="12" customHeight="1">
      <c r="A11" t="inlineStr">
        <is>
          <t>202606</t>
        </is>
      </c>
      <c r="B11" t="inlineStr">
        <is>
          <t>SL</t>
        </is>
      </c>
      <c r="C11" t="inlineStr">
        <is>
          <t>CHOOSE</t>
        </is>
      </c>
      <c r="D11" t="inlineStr">
        <is>
          <t>campaign</t>
        </is>
      </c>
      <c r="E11" s="50" t="n">
        <v>6777.88</v>
      </c>
      <c r="F11" t="inlineStr">
        <is>
          <t>EUR</t>
        </is>
      </c>
      <c r="G11" t="inlineStr">
        <is>
          <t>EUR</t>
        </is>
      </c>
      <c r="H11" s="51" t="n">
        <v>1</v>
      </c>
      <c r="I11" s="50" t="n">
        <v>6777.88</v>
      </c>
      <c r="J11" t="inlineStr">
        <is>
          <t>documents</t>
        </is>
      </c>
      <c r="K11" s="52" t="inlineStr">
        <is>
          <t>AS-110388</t>
        </is>
      </c>
      <c r="L11" t="inlineStr">
        <is>
          <t>https://drive.google.com/file/d/1oigOHZTknCPf32pVarZVN5E6ByEE0fen/view?usp=drivesdk</t>
        </is>
      </c>
    </row>
    <row r="12" ht="12" customHeight="1">
      <c r="A12" t="inlineStr">
        <is>
          <t>202606</t>
        </is>
      </c>
      <c r="B12" t="inlineStr">
        <is>
          <t>SL</t>
        </is>
      </c>
      <c r="C12" t="inlineStr">
        <is>
          <t>HANNUN</t>
        </is>
      </c>
      <c r="D12" t="inlineStr">
        <is>
          <t>orders</t>
        </is>
      </c>
      <c r="E12" s="50" t="n">
        <v>1056</v>
      </c>
      <c r="F12" t="inlineStr">
        <is>
          <t>EUR</t>
        </is>
      </c>
      <c r="G12" t="inlineStr">
        <is>
          <t>EUR</t>
        </is>
      </c>
      <c r="H12" s="51" t="n">
        <v>1</v>
      </c>
      <c r="I12" s="50" t="n">
        <v>1056</v>
      </c>
      <c r="J12" t="inlineStr">
        <is>
          <t>documents</t>
        </is>
      </c>
      <c r="K12" s="52" t="inlineStr">
        <is>
          <t>2026-0033</t>
        </is>
      </c>
      <c r="L12" t="inlineStr">
        <is>
          <t>https://drive.google.com/file/d/191qw_M7Gw5UX6cagHrAxI52mcUiATx1H/view?usp=drivesdk</t>
        </is>
      </c>
    </row>
    <row r="13" ht="12" customHeight="1">
      <c r="A13" t="inlineStr">
        <is>
          <t>202606</t>
        </is>
      </c>
      <c r="B13" t="inlineStr">
        <is>
          <t>SL</t>
        </is>
      </c>
      <c r="C13" t="inlineStr">
        <is>
          <t>TOASTY</t>
        </is>
      </c>
      <c r="D13" t="inlineStr">
        <is>
          <t>b2b_partner</t>
        </is>
      </c>
      <c r="E13" s="50" t="n">
        <v>856.76</v>
      </c>
      <c r="F13" t="inlineStr">
        <is>
          <t>EUR</t>
        </is>
      </c>
      <c r="G13" t="inlineStr">
        <is>
          <t>EUR</t>
        </is>
      </c>
      <c r="H13" s="51" t="n">
        <v>1</v>
      </c>
      <c r="I13" s="50" t="n">
        <v>856.76</v>
      </c>
      <c r="J13" t="inlineStr">
        <is>
          <t>documents</t>
        </is>
      </c>
      <c r="K13" s="52" t="inlineStr">
        <is>
          <t>AS-108593</t>
        </is>
      </c>
      <c r="L13" t="inlineStr">
        <is>
          <t>https://drive.google.com/file/d/15hAZDxJMyLbK0z7-VgO0jT8Y0YTuQsmI/view?usp=drivesdk</t>
        </is>
      </c>
    </row>
  </sheetData>
  <hyperlinks>
    <hyperlink ref="A1" location="'P&amp;G-SL'!A1" display="&lt;- Volver a P&amp;G-SL"/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20" customWidth="1" min="7" max="7"/>
    <col width="14" customWidth="1" min="8" max="8"/>
    <col width="18" customWidth="1" min="9" max="9"/>
    <col width="14" customWidth="1" min="10" max="10"/>
    <col width="16" customWidth="1" min="11" max="11"/>
    <col hidden="1" width="14" customWidth="1" min="12" max="12"/>
  </cols>
  <sheetData>
    <row r="1" ht="12" customHeight="1">
      <c r="A1" s="48" t="inlineStr">
        <is>
          <t>&lt;- Volver a P&amp;G-SL</t>
        </is>
      </c>
    </row>
    <row r="2" ht="12" customHeight="1">
      <c r="A2" s="49" t="inlineStr">
        <is>
          <t>yyyymm</t>
        </is>
      </c>
      <c r="B2" s="49" t="inlineStr">
        <is>
          <t>entity</t>
        </is>
      </c>
      <c r="C2" s="49" t="inlineStr">
        <is>
          <t>line_item</t>
        </is>
      </c>
      <c r="D2" s="49" t="inlineStr">
        <is>
          <t>detail</t>
        </is>
      </c>
      <c r="E2" s="49" t="inlineStr">
        <is>
          <t>amount_original</t>
        </is>
      </c>
      <c r="F2" s="49" t="inlineStr">
        <is>
          <t>currency_original</t>
        </is>
      </c>
      <c r="G2" s="49" t="inlineStr">
        <is>
          <t>reporting_currency</t>
        </is>
      </c>
      <c r="H2" s="49" t="inlineStr">
        <is>
          <t>fx_rate</t>
        </is>
      </c>
      <c r="I2" s="49" t="inlineStr">
        <is>
          <t>amount_reporting</t>
        </is>
      </c>
      <c r="J2" s="49" t="inlineStr">
        <is>
          <t>source</t>
        </is>
      </c>
      <c r="K2" s="49" t="inlineStr">
        <is>
          <t>invoice_number</t>
        </is>
      </c>
      <c r="L2" s="49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s="50" t="n">
        <v>-1118.95</v>
      </c>
      <c r="F3" t="inlineStr">
        <is>
          <t>EUR</t>
        </is>
      </c>
      <c r="G3" t="inlineStr">
        <is>
          <t>EUR</t>
        </is>
      </c>
      <c r="H3" s="51" t="n">
        <v>1</v>
      </c>
      <c r="I3" s="50" t="n">
        <v>-1118.95</v>
      </c>
      <c r="J3" t="inlineStr">
        <is>
          <t>documents</t>
        </is>
      </c>
      <c r="K3" s="52" t="inlineStr">
        <is>
          <t>A_2026-0006</t>
        </is>
      </c>
      <c r="L3" t="inlineStr">
        <is>
          <t>https://drive.google.com/file/d/1TatcT909r9lQss48nnCsBt5kjo76SoJK/view?usp=drivesdk</t>
        </is>
      </c>
    </row>
  </sheetData>
  <hyperlinks>
    <hyperlink ref="A1" location="'P&amp;G-SL'!A1" display="&lt;- Volver a P&amp;G-SL"/>
    <hyperlink xmlns:r="http://schemas.openxmlformats.org/officeDocument/2006/relationships" ref="K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20" customWidth="1" min="7" max="7"/>
    <col width="14" customWidth="1" min="8" max="8"/>
    <col width="18" customWidth="1" min="9" max="9"/>
    <col width="14" customWidth="1" min="10" max="10"/>
    <col width="16" customWidth="1" min="11" max="11"/>
    <col hidden="1" width="14" customWidth="1" min="12" max="12"/>
  </cols>
  <sheetData>
    <row r="1" ht="12" customHeight="1">
      <c r="A1" s="48" t="inlineStr">
        <is>
          <t>&lt;- Volver a P&amp;G-SL</t>
        </is>
      </c>
    </row>
    <row r="2" ht="12" customHeight="1">
      <c r="A2" s="49" t="inlineStr">
        <is>
          <t>yyyymm</t>
        </is>
      </c>
      <c r="B2" s="49" t="inlineStr">
        <is>
          <t>entity</t>
        </is>
      </c>
      <c r="C2" s="49" t="inlineStr">
        <is>
          <t>line_item</t>
        </is>
      </c>
      <c r="D2" s="49" t="inlineStr">
        <is>
          <t>detail</t>
        </is>
      </c>
      <c r="E2" s="49" t="inlineStr">
        <is>
          <t>amount_original</t>
        </is>
      </c>
      <c r="F2" s="49" t="inlineStr">
        <is>
          <t>currency_original</t>
        </is>
      </c>
      <c r="G2" s="49" t="inlineStr">
        <is>
          <t>reporting_currency</t>
        </is>
      </c>
      <c r="H2" s="49" t="inlineStr">
        <is>
          <t>fx_rate</t>
        </is>
      </c>
      <c r="I2" s="49" t="inlineStr">
        <is>
          <t>amount_reporting</t>
        </is>
      </c>
      <c r="J2" s="49" t="inlineStr">
        <is>
          <t>source</t>
        </is>
      </c>
      <c r="K2" s="49" t="inlineStr">
        <is>
          <t>invoice_number</t>
        </is>
      </c>
      <c r="L2" s="49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suplidos</t>
        </is>
      </c>
      <c r="E3" s="50" t="n">
        <v>-1753.49</v>
      </c>
      <c r="F3" t="inlineStr">
        <is>
          <t>EUR</t>
        </is>
      </c>
      <c r="G3" t="inlineStr">
        <is>
          <t>EUR</t>
        </is>
      </c>
      <c r="H3" s="51" t="n">
        <v>1</v>
      </c>
      <c r="I3" s="50" t="n">
        <v>-1753.49</v>
      </c>
      <c r="J3" t="inlineStr">
        <is>
          <t>documents</t>
        </is>
      </c>
      <c r="K3" s="52" t="inlineStr">
        <is>
          <t>SUPPLIED-202512</t>
        </is>
      </c>
      <c r="L3" t="inlineStr">
        <is>
          <t>https://drive.google.com/file/d/1fcDMocaa4cpTPjITHzeqYj2_zqO3NWYG/view?usp=drivesdk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REVER</t>
        </is>
      </c>
      <c r="D4" t="inlineStr">
        <is>
          <t>suplidos</t>
        </is>
      </c>
      <c r="E4" s="50" t="n">
        <v>-422.97</v>
      </c>
      <c r="F4" t="inlineStr">
        <is>
          <t>EUR</t>
        </is>
      </c>
      <c r="G4" t="inlineStr">
        <is>
          <t>EUR</t>
        </is>
      </c>
      <c r="H4" s="51" t="n">
        <v>1</v>
      </c>
      <c r="I4" s="50" t="n">
        <v>-422.97</v>
      </c>
      <c r="J4" t="inlineStr">
        <is>
          <t>documents</t>
        </is>
      </c>
      <c r="K4" s="52" t="inlineStr">
        <is>
          <t>SUPPLIED-202601</t>
        </is>
      </c>
      <c r="L4" t="inlineStr">
        <is>
          <t>https://drive.google.com/file/d/1JrhdQBAxThJrJre0y6m_O_546LXVrueL/view?usp=drivesdk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REVER</t>
        </is>
      </c>
      <c r="D5" t="inlineStr">
        <is>
          <t>suplidos</t>
        </is>
      </c>
      <c r="E5" s="50" t="n">
        <v>-522.54</v>
      </c>
      <c r="F5" t="inlineStr">
        <is>
          <t>EUR</t>
        </is>
      </c>
      <c r="G5" t="inlineStr">
        <is>
          <t>EUR</t>
        </is>
      </c>
      <c r="H5" s="51" t="n">
        <v>1</v>
      </c>
      <c r="I5" s="50" t="n">
        <v>-522.54</v>
      </c>
      <c r="J5" t="inlineStr">
        <is>
          <t>documents</t>
        </is>
      </c>
      <c r="K5" s="52" t="inlineStr">
        <is>
          <t>SUPPLIED-202602</t>
        </is>
      </c>
      <c r="L5" t="inlineStr">
        <is>
          <t>https://drive.google.com/file/d/1P7U8R2vW7HJBpC4dFcTfQ6Fl5v7lZf-T/view?usp=drivesdk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REVER</t>
        </is>
      </c>
      <c r="D6" t="inlineStr">
        <is>
          <t>suplidos</t>
        </is>
      </c>
      <c r="E6" s="50" t="n">
        <v>-585.21</v>
      </c>
      <c r="F6" t="inlineStr">
        <is>
          <t>EUR</t>
        </is>
      </c>
      <c r="G6" t="inlineStr">
        <is>
          <t>EUR</t>
        </is>
      </c>
      <c r="H6" s="51" t="n">
        <v>1</v>
      </c>
      <c r="I6" s="50" t="n">
        <v>-585.21</v>
      </c>
      <c r="J6" t="inlineStr">
        <is>
          <t>documents</t>
        </is>
      </c>
      <c r="K6" s="52" t="inlineStr">
        <is>
          <t>RVR-19100</t>
        </is>
      </c>
      <c r="L6" t="inlineStr">
        <is>
          <t>https://drive.google.com/file/d/1baSEebJ4fJMCcK7mR48Bv7AvqlKFFcLB/view?usp=drivesdk</t>
        </is>
      </c>
    </row>
    <row r="7" ht="12" customHeight="1">
      <c r="A7" t="inlineStr">
        <is>
          <t>202604</t>
        </is>
      </c>
      <c r="B7" t="inlineStr">
        <is>
          <t>SL</t>
        </is>
      </c>
      <c r="C7" t="inlineStr">
        <is>
          <t>REVER</t>
        </is>
      </c>
      <c r="D7" t="inlineStr">
        <is>
          <t>suplidos</t>
        </is>
      </c>
      <c r="E7" s="50" t="n">
        <v>-540.8099999999999</v>
      </c>
      <c r="F7" t="inlineStr">
        <is>
          <t>EUR</t>
        </is>
      </c>
      <c r="G7" t="inlineStr">
        <is>
          <t>EUR</t>
        </is>
      </c>
      <c r="H7" s="51" t="n">
        <v>1</v>
      </c>
      <c r="I7" s="50" t="n">
        <v>-540.8099999999999</v>
      </c>
      <c r="J7" t="inlineStr">
        <is>
          <t>documents</t>
        </is>
      </c>
      <c r="K7" s="52" t="inlineStr">
        <is>
          <t>SUPPLIED-202604</t>
        </is>
      </c>
      <c r="L7" t="inlineStr">
        <is>
          <t>https://drive.google.com/file/d/10xgyYXbSD9m2Lrut8Cs1i9h4d85XaV--/view?usp=drivesdk</t>
        </is>
      </c>
    </row>
    <row r="8" ht="12" customHeight="1">
      <c r="A8" t="inlineStr">
        <is>
          <t>202606</t>
        </is>
      </c>
      <c r="B8" t="inlineStr">
        <is>
          <t>SL</t>
        </is>
      </c>
      <c r="C8" t="inlineStr">
        <is>
          <t>REVER</t>
        </is>
      </c>
      <c r="D8" t="inlineStr">
        <is>
          <t>suplidos</t>
        </is>
      </c>
      <c r="E8" s="50" t="n">
        <v>-801.46</v>
      </c>
      <c r="F8" t="inlineStr">
        <is>
          <t>EUR</t>
        </is>
      </c>
      <c r="G8" t="inlineStr">
        <is>
          <t>EUR</t>
        </is>
      </c>
      <c r="H8" s="51" t="n">
        <v>1</v>
      </c>
      <c r="I8" s="50" t="n">
        <v>-801.46</v>
      </c>
      <c r="J8" t="inlineStr">
        <is>
          <t>documents</t>
        </is>
      </c>
      <c r="K8" s="52" t="inlineStr">
        <is>
          <t>SUPPLIED-202606</t>
        </is>
      </c>
      <c r="L8" t="inlineStr">
        <is>
          <t>https://drive.google.com/file/d/12bNvnpTWHdXv_buIxf7ian_Nji5hfgM2/view?usp=drivesdk</t>
        </is>
      </c>
    </row>
  </sheetData>
  <hyperlinks>
    <hyperlink ref="A1" location="'P&amp;G-SL'!A1" display="&lt;- Volver a P&amp;G-SL"/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20" customWidth="1" min="7" max="7"/>
    <col width="14" customWidth="1" min="8" max="8"/>
    <col width="18" customWidth="1" min="9" max="9"/>
    <col width="14" customWidth="1" min="10" max="10"/>
    <col width="16" customWidth="1" min="11" max="11"/>
    <col hidden="1" width="14" customWidth="1" min="12" max="12"/>
  </cols>
  <sheetData>
    <row r="1" ht="12" customHeight="1">
      <c r="A1" s="48" t="inlineStr">
        <is>
          <t>&lt;- Volver a P&amp;G-SL</t>
        </is>
      </c>
    </row>
    <row r="2" ht="12" customHeight="1">
      <c r="A2" s="49" t="inlineStr">
        <is>
          <t>yyyymm</t>
        </is>
      </c>
      <c r="B2" s="49" t="inlineStr">
        <is>
          <t>entity</t>
        </is>
      </c>
      <c r="C2" s="49" t="inlineStr">
        <is>
          <t>line_item</t>
        </is>
      </c>
      <c r="D2" s="49" t="inlineStr">
        <is>
          <t>detail</t>
        </is>
      </c>
      <c r="E2" s="49" t="inlineStr">
        <is>
          <t>amount_original</t>
        </is>
      </c>
      <c r="F2" s="49" t="inlineStr">
        <is>
          <t>currency_original</t>
        </is>
      </c>
      <c r="G2" s="49" t="inlineStr">
        <is>
          <t>reporting_currency</t>
        </is>
      </c>
      <c r="H2" s="49" t="inlineStr">
        <is>
          <t>fx_rate</t>
        </is>
      </c>
      <c r="I2" s="49" t="inlineStr">
        <is>
          <t>amount_reporting</t>
        </is>
      </c>
      <c r="J2" s="49" t="inlineStr">
        <is>
          <t>source</t>
        </is>
      </c>
      <c r="K2" s="49" t="inlineStr">
        <is>
          <t>invoice_number</t>
        </is>
      </c>
      <c r="L2" s="49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staff</t>
        </is>
      </c>
      <c r="E3" s="50" t="n">
        <v>1191.18</v>
      </c>
      <c r="F3" t="inlineStr">
        <is>
          <t>EUR</t>
        </is>
      </c>
      <c r="G3" t="inlineStr">
        <is>
          <t>EUR</t>
        </is>
      </c>
      <c r="H3" s="51" t="n">
        <v>1</v>
      </c>
      <c r="I3" s="50" t="n">
        <v>1191.18</v>
      </c>
      <c r="J3" t="inlineStr">
        <is>
          <t>documents</t>
        </is>
      </c>
      <c r="K3" s="52" t="inlineStr">
        <is>
          <t>2026-0007</t>
        </is>
      </c>
      <c r="L3" t="inlineStr">
        <is>
          <t>https://drive.google.com/file/d/1NSgOhocDqu_GBFUbkAHX1ly92CIuLykN/view?usp=drivesdk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Inc</t>
        </is>
      </c>
      <c r="D4" t="inlineStr">
        <is>
          <t>shared_services</t>
        </is>
      </c>
      <c r="E4" s="50" t="n">
        <v>7334.44</v>
      </c>
      <c r="F4" t="inlineStr">
        <is>
          <t>EUR</t>
        </is>
      </c>
      <c r="G4" t="inlineStr">
        <is>
          <t>EUR</t>
        </is>
      </c>
      <c r="H4" s="51" t="n">
        <v>1</v>
      </c>
      <c r="I4" s="50" t="n">
        <v>7334.44</v>
      </c>
      <c r="J4" t="inlineStr">
        <is>
          <t>documents:shared_services</t>
        </is>
      </c>
      <c r="K4" s="52" t="inlineStr">
        <is>
          <t>2026-0009</t>
        </is>
      </c>
      <c r="L4" t="inlineStr">
        <is>
          <t>https://drive.google.com/file/d/1f0y-ak8qjEua6xrzfcweFpWZqOtA8h9C/view?usp=drivesdk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Ltd</t>
        </is>
      </c>
      <c r="D5" t="inlineStr">
        <is>
          <t>shared_services</t>
        </is>
      </c>
      <c r="E5" s="50" t="n">
        <v>10732.87</v>
      </c>
      <c r="F5" t="inlineStr">
        <is>
          <t>EUR</t>
        </is>
      </c>
      <c r="G5" t="inlineStr">
        <is>
          <t>EUR</t>
        </is>
      </c>
      <c r="H5" s="51" t="n">
        <v>1</v>
      </c>
      <c r="I5" s="50" t="n">
        <v>10732.87</v>
      </c>
      <c r="J5" t="inlineStr">
        <is>
          <t>documents:shared_services</t>
        </is>
      </c>
      <c r="K5" s="52" t="inlineStr">
        <is>
          <t>2026-0010</t>
        </is>
      </c>
      <c r="L5" t="inlineStr">
        <is>
          <t>https://drive.google.com/file/d/1DVbcrKI34TY_XRmPCWYxFfktOzy1Bqmr/view?usp=drivesdk</t>
        </is>
      </c>
    </row>
    <row r="6" ht="12" customHeight="1">
      <c r="A6" t="inlineStr">
        <is>
          <t>202602</t>
        </is>
      </c>
      <c r="B6" t="inlineStr">
        <is>
          <t>SL</t>
        </is>
      </c>
      <c r="C6" t="inlineStr">
        <is>
          <t>HANNUN</t>
        </is>
      </c>
      <c r="D6" t="inlineStr">
        <is>
          <t>staff</t>
        </is>
      </c>
      <c r="E6" s="50" t="n">
        <v>1191.18</v>
      </c>
      <c r="F6" t="inlineStr">
        <is>
          <t>EUR</t>
        </is>
      </c>
      <c r="G6" t="inlineStr">
        <is>
          <t>EUR</t>
        </is>
      </c>
      <c r="H6" s="51" t="n">
        <v>1</v>
      </c>
      <c r="I6" s="50" t="n">
        <v>1191.18</v>
      </c>
      <c r="J6" t="inlineStr">
        <is>
          <t>documents</t>
        </is>
      </c>
      <c r="K6" s="52" t="inlineStr">
        <is>
          <t>2026-0011</t>
        </is>
      </c>
      <c r="L6" t="inlineStr">
        <is>
          <t>https://drive.google.com/file/d/1il-dTsdyMbUZFKcN_lnqoNWLpAFjKN7A/view?usp=drivesdk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Inc</t>
        </is>
      </c>
      <c r="D7" t="inlineStr">
        <is>
          <t>shared_services</t>
        </is>
      </c>
      <c r="E7" s="50" t="n">
        <v>8462.360000000001</v>
      </c>
      <c r="F7" t="inlineStr">
        <is>
          <t>EUR</t>
        </is>
      </c>
      <c r="G7" t="inlineStr">
        <is>
          <t>EUR</t>
        </is>
      </c>
      <c r="H7" s="51" t="n">
        <v>1</v>
      </c>
      <c r="I7" s="50" t="n">
        <v>8462.360000000001</v>
      </c>
      <c r="J7" t="inlineStr">
        <is>
          <t>documents:shared_services</t>
        </is>
      </c>
      <c r="K7" s="52" t="inlineStr">
        <is>
          <t>2026-0014</t>
        </is>
      </c>
      <c r="L7" t="inlineStr">
        <is>
          <t>https://drive.google.com/file/d/1rlqcAuJUaWxt0Udjbpq3E6fP_lfRq58_/view?usp=drivesdk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Ltd</t>
        </is>
      </c>
      <c r="D8" t="inlineStr">
        <is>
          <t>shared_services</t>
        </is>
      </c>
      <c r="E8" s="50" t="n">
        <v>13068.98</v>
      </c>
      <c r="F8" t="inlineStr">
        <is>
          <t>EUR</t>
        </is>
      </c>
      <c r="G8" t="inlineStr">
        <is>
          <t>EUR</t>
        </is>
      </c>
      <c r="H8" s="51" t="n">
        <v>1</v>
      </c>
      <c r="I8" s="50" t="n">
        <v>13068.98</v>
      </c>
      <c r="J8" t="inlineStr">
        <is>
          <t>documents:shared_services</t>
        </is>
      </c>
      <c r="K8" s="52" t="inlineStr">
        <is>
          <t>2026-0015</t>
        </is>
      </c>
      <c r="L8" t="inlineStr">
        <is>
          <t>https://drive.google.com/file/d/1pNRISEZAlDdg2kXsh98mNhDndQFk42mV/view?usp=drivesdk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QHANDS</t>
        </is>
      </c>
      <c r="D9" t="inlineStr">
        <is>
          <t>renting_cnc</t>
        </is>
      </c>
      <c r="E9" s="50" t="n">
        <v>1661.16</v>
      </c>
      <c r="F9" t="inlineStr">
        <is>
          <t>EUR</t>
        </is>
      </c>
      <c r="G9" t="inlineStr">
        <is>
          <t>EUR</t>
        </is>
      </c>
      <c r="H9" s="51" t="n">
        <v>1</v>
      </c>
      <c r="I9" s="50" t="n">
        <v>1661.16</v>
      </c>
      <c r="J9" t="inlineStr">
        <is>
          <t>documents</t>
        </is>
      </c>
      <c r="K9" s="52" t="inlineStr">
        <is>
          <t>2026-0006</t>
        </is>
      </c>
      <c r="L9" t="inlineStr">
        <is>
          <t>https://drive.google.com/file/d/1ZNEswgq6fNRQmQBRT6GcjgdY_sepQuvN/view?usp=drivesdk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s="50" t="n">
        <v>1661.16</v>
      </c>
      <c r="F10" t="inlineStr">
        <is>
          <t>EUR</t>
        </is>
      </c>
      <c r="G10" t="inlineStr">
        <is>
          <t>EUR</t>
        </is>
      </c>
      <c r="H10" s="51" t="n">
        <v>1</v>
      </c>
      <c r="I10" s="50" t="n">
        <v>1661.16</v>
      </c>
      <c r="J10" t="inlineStr">
        <is>
          <t>documents</t>
        </is>
      </c>
      <c r="K10" s="52" t="inlineStr">
        <is>
          <t>2026-0012</t>
        </is>
      </c>
      <c r="L10" t="inlineStr">
        <is>
          <t>https://drive.google.com/file/d/1m_ONfUFq-mhxCI2SVs0iWw4Ss3ohvEPU/view?usp=drivesdk</t>
        </is>
      </c>
    </row>
    <row r="11" ht="12" customHeight="1">
      <c r="A11" t="inlineStr">
        <is>
          <t>202603</t>
        </is>
      </c>
      <c r="B11" t="inlineStr">
        <is>
          <t>SL</t>
        </is>
      </c>
      <c r="C11" t="inlineStr">
        <is>
          <t>HANNUN</t>
        </is>
      </c>
      <c r="D11" t="inlineStr">
        <is>
          <t>staff</t>
        </is>
      </c>
      <c r="E11" s="50" t="n">
        <v>595.59</v>
      </c>
      <c r="F11" t="inlineStr">
        <is>
          <t>EUR</t>
        </is>
      </c>
      <c r="G11" t="inlineStr">
        <is>
          <t>EUR</t>
        </is>
      </c>
      <c r="H11" s="51" t="n">
        <v>1</v>
      </c>
      <c r="I11" s="50" t="n">
        <v>595.59</v>
      </c>
      <c r="J11" t="inlineStr">
        <is>
          <t>documents</t>
        </is>
      </c>
      <c r="K11" s="52" t="inlineStr">
        <is>
          <t>2026-0019</t>
        </is>
      </c>
      <c r="L11" t="inlineStr">
        <is>
          <t>https://drive.google.com/file/d/1HxjVp-Wv6lXooijCdy9-Z79LhGmFJwc2/view?usp=drivesdk</t>
        </is>
      </c>
    </row>
    <row r="12" ht="12" customHeight="1">
      <c r="A12" t="inlineStr">
        <is>
          <t>202603</t>
        </is>
      </c>
      <c r="B12" t="inlineStr">
        <is>
          <t>SL</t>
        </is>
      </c>
      <c r="C12" t="inlineStr">
        <is>
          <t>Inc</t>
        </is>
      </c>
      <c r="D12" t="inlineStr">
        <is>
          <t>shared_services</t>
        </is>
      </c>
      <c r="E12" s="50" t="n">
        <v>7586.05</v>
      </c>
      <c r="F12" t="inlineStr">
        <is>
          <t>EUR</t>
        </is>
      </c>
      <c r="G12" t="inlineStr">
        <is>
          <t>EUR</t>
        </is>
      </c>
      <c r="H12" s="51" t="n">
        <v>1</v>
      </c>
      <c r="I12" s="50" t="n">
        <v>7586.05</v>
      </c>
      <c r="J12" t="inlineStr">
        <is>
          <t>documents:shared_services</t>
        </is>
      </c>
      <c r="K12" s="52" t="inlineStr">
        <is>
          <t>2026-0017</t>
        </is>
      </c>
      <c r="L12" t="inlineStr">
        <is>
          <t>https://drive.google.com/file/d/1ixVdpnGpB3KUF2QQIt94W1I4J6yD6ybZ/view?usp=drivesdk</t>
        </is>
      </c>
    </row>
    <row r="13" ht="12" customHeight="1">
      <c r="A13" t="inlineStr">
        <is>
          <t>202603</t>
        </is>
      </c>
      <c r="B13" t="inlineStr">
        <is>
          <t>SL</t>
        </is>
      </c>
      <c r="C13" t="inlineStr">
        <is>
          <t>Ltd</t>
        </is>
      </c>
      <c r="D13" t="inlineStr">
        <is>
          <t>shared_services</t>
        </is>
      </c>
      <c r="E13" s="50" t="n">
        <v>14144.1</v>
      </c>
      <c r="F13" t="inlineStr">
        <is>
          <t>EUR</t>
        </is>
      </c>
      <c r="G13" t="inlineStr">
        <is>
          <t>EUR</t>
        </is>
      </c>
      <c r="H13" s="51" t="n">
        <v>1</v>
      </c>
      <c r="I13" s="50" t="n">
        <v>14144.1</v>
      </c>
      <c r="J13" t="inlineStr">
        <is>
          <t>documents:shared_services</t>
        </is>
      </c>
      <c r="K13" s="52" t="inlineStr">
        <is>
          <t>2026-0016</t>
        </is>
      </c>
      <c r="L13" t="inlineStr">
        <is>
          <t>https://drive.google.com/file/d/1KdK-Ik0l5-TAvrDmyV47ighudMtGRrKE/view?usp=drivesdk</t>
        </is>
      </c>
    </row>
    <row r="14" ht="12" customHeight="1">
      <c r="A14" t="inlineStr">
        <is>
          <t>202603</t>
        </is>
      </c>
      <c r="B14" t="inlineStr">
        <is>
          <t>SL</t>
        </is>
      </c>
      <c r="C14" t="inlineStr">
        <is>
          <t>QHANDS</t>
        </is>
      </c>
      <c r="D14" t="inlineStr">
        <is>
          <t>renting_cnc</t>
        </is>
      </c>
      <c r="E14" s="50" t="n">
        <v>1800</v>
      </c>
      <c r="F14" t="inlineStr">
        <is>
          <t>EUR</t>
        </is>
      </c>
      <c r="G14" t="inlineStr">
        <is>
          <t>EUR</t>
        </is>
      </c>
      <c r="H14" s="51" t="n">
        <v>1</v>
      </c>
      <c r="I14" s="50" t="n">
        <v>1800</v>
      </c>
      <c r="J14" t="inlineStr">
        <is>
          <t>documents</t>
        </is>
      </c>
      <c r="K14" s="52" t="inlineStr">
        <is>
          <t>2026-0020</t>
        </is>
      </c>
      <c r="L14" t="inlineStr">
        <is>
          <t>https://drive.google.com/file/d/1cecAxU56GNtGgMfgA6Ftf1gfGiXJDd3S/view?usp=drivesdk</t>
        </is>
      </c>
    </row>
    <row r="15" ht="12" customHeight="1">
      <c r="A15" t="inlineStr">
        <is>
          <t>202604</t>
        </is>
      </c>
      <c r="B15" t="inlineStr">
        <is>
          <t>SL</t>
        </is>
      </c>
      <c r="C15" t="inlineStr">
        <is>
          <t>Inc</t>
        </is>
      </c>
      <c r="D15" t="inlineStr">
        <is>
          <t>shared_services</t>
        </is>
      </c>
      <c r="E15" s="50" t="n">
        <v>6102.34</v>
      </c>
      <c r="F15" t="inlineStr">
        <is>
          <t>EUR</t>
        </is>
      </c>
      <c r="G15" t="inlineStr">
        <is>
          <t>EUR</t>
        </is>
      </c>
      <c r="H15" s="51" t="n">
        <v>1</v>
      </c>
      <c r="I15" s="50" t="n">
        <v>6102.34</v>
      </c>
      <c r="J15" t="inlineStr">
        <is>
          <t>documents:shared_services</t>
        </is>
      </c>
      <c r="K15" s="52" t="inlineStr">
        <is>
          <t>2026-0024</t>
        </is>
      </c>
      <c r="L15" t="inlineStr">
        <is>
          <t>https://drive.google.com/file/d/1nA8pTTvpT0O76zFAg7QOq9o2784L7_T5/view?usp=drivesdk</t>
        </is>
      </c>
    </row>
    <row r="16" ht="12" customHeight="1">
      <c r="A16" t="inlineStr">
        <is>
          <t>202604</t>
        </is>
      </c>
      <c r="B16" t="inlineStr">
        <is>
          <t>SL</t>
        </is>
      </c>
      <c r="C16" t="inlineStr">
        <is>
          <t>Ltd</t>
        </is>
      </c>
      <c r="D16" t="inlineStr">
        <is>
          <t>shared_services</t>
        </is>
      </c>
      <c r="E16" s="50" t="n">
        <v>12924.89</v>
      </c>
      <c r="F16" t="inlineStr">
        <is>
          <t>EUR</t>
        </is>
      </c>
      <c r="G16" t="inlineStr">
        <is>
          <t>EUR</t>
        </is>
      </c>
      <c r="H16" s="51" t="n">
        <v>1</v>
      </c>
      <c r="I16" s="50" t="n">
        <v>12924.89</v>
      </c>
      <c r="J16" t="inlineStr">
        <is>
          <t>documents:shared_services</t>
        </is>
      </c>
      <c r="K16" s="52" t="inlineStr">
        <is>
          <t>2026-0023</t>
        </is>
      </c>
      <c r="L16" t="inlineStr">
        <is>
          <t>https://drive.google.com/file/d/1kG4iTL7rVDpQrcSDFJA0JzVE0hNuiLKc/view?usp=drivesdk</t>
        </is>
      </c>
    </row>
    <row r="17" ht="12" customHeight="1">
      <c r="A17" t="inlineStr">
        <is>
          <t>202604</t>
        </is>
      </c>
      <c r="B17" t="inlineStr">
        <is>
          <t>SL</t>
        </is>
      </c>
      <c r="C17" t="inlineStr">
        <is>
          <t>QHANDS</t>
        </is>
      </c>
      <c r="D17" t="inlineStr">
        <is>
          <t>renting_cnc</t>
        </is>
      </c>
      <c r="E17" s="50" t="n">
        <v>1800</v>
      </c>
      <c r="F17" t="inlineStr">
        <is>
          <t>EUR</t>
        </is>
      </c>
      <c r="G17" t="inlineStr">
        <is>
          <t>EUR</t>
        </is>
      </c>
      <c r="H17" s="51" t="n">
        <v>1</v>
      </c>
      <c r="I17" s="50" t="n">
        <v>1800</v>
      </c>
      <c r="J17" t="inlineStr">
        <is>
          <t>documents</t>
        </is>
      </c>
      <c r="K17" s="52" t="inlineStr">
        <is>
          <t>2026-0021</t>
        </is>
      </c>
      <c r="L17" t="inlineStr">
        <is>
          <t>https://drive.google.com/file/d/1RnFjAq9AJuCNhFD9gOhfvnUoacBT0EFh/view?usp=drivesdk</t>
        </is>
      </c>
    </row>
    <row r="18" ht="12" customHeight="1">
      <c r="A18" t="inlineStr">
        <is>
          <t>202605</t>
        </is>
      </c>
      <c r="B18" t="inlineStr">
        <is>
          <t>SL</t>
        </is>
      </c>
      <c r="C18" t="inlineStr">
        <is>
          <t>Inc</t>
        </is>
      </c>
      <c r="D18" t="inlineStr">
        <is>
          <t>shared_services</t>
        </is>
      </c>
      <c r="E18" s="50" t="n">
        <v>5381.74</v>
      </c>
      <c r="F18" t="inlineStr">
        <is>
          <t>EUR</t>
        </is>
      </c>
      <c r="G18" t="inlineStr">
        <is>
          <t>EUR</t>
        </is>
      </c>
      <c r="H18" s="51" t="n">
        <v>1</v>
      </c>
      <c r="I18" s="50" t="n">
        <v>5381.74</v>
      </c>
      <c r="J18" t="inlineStr">
        <is>
          <t>documents:shared_services</t>
        </is>
      </c>
      <c r="K18" s="52" t="inlineStr">
        <is>
          <t>2026-0028</t>
        </is>
      </c>
      <c r="L18" t="inlineStr">
        <is>
          <t>https://drive.google.com/file/d/1ndoIxnRCHpafl83Lsyq-PVVCI1_lzXKu/view?usp=drivesdk</t>
        </is>
      </c>
    </row>
    <row r="19" ht="12" customHeight="1">
      <c r="A19" t="inlineStr">
        <is>
          <t>202605</t>
        </is>
      </c>
      <c r="B19" t="inlineStr">
        <is>
          <t>SL</t>
        </is>
      </c>
      <c r="C19" t="inlineStr">
        <is>
          <t>Ltd</t>
        </is>
      </c>
      <c r="D19" t="inlineStr">
        <is>
          <t>shared_services</t>
        </is>
      </c>
      <c r="E19" s="50" t="n">
        <v>12909.18</v>
      </c>
      <c r="F19" t="inlineStr">
        <is>
          <t>EUR</t>
        </is>
      </c>
      <c r="G19" t="inlineStr">
        <is>
          <t>EUR</t>
        </is>
      </c>
      <c r="H19" s="51" t="n">
        <v>1</v>
      </c>
      <c r="I19" s="50" t="n">
        <v>12909.18</v>
      </c>
      <c r="J19" t="inlineStr">
        <is>
          <t>documents:shared_services</t>
        </is>
      </c>
      <c r="K19" s="52" t="inlineStr">
        <is>
          <t>2026-0027</t>
        </is>
      </c>
      <c r="L19" t="inlineStr">
        <is>
          <t>https://drive.google.com/file/d/13vcEBkqDKaSJerk401zu6MdDFpeCSKic/view?usp=drivesdk</t>
        </is>
      </c>
    </row>
    <row r="20" ht="12" customHeight="1">
      <c r="A20" t="inlineStr">
        <is>
          <t>202605</t>
        </is>
      </c>
      <c r="B20" t="inlineStr">
        <is>
          <t>SL</t>
        </is>
      </c>
      <c r="C20" t="inlineStr">
        <is>
          <t>QHANDS</t>
        </is>
      </c>
      <c r="D20" t="inlineStr">
        <is>
          <t>renting_cnc</t>
        </is>
      </c>
      <c r="E20" s="50" t="n">
        <v>1800</v>
      </c>
      <c r="F20" t="inlineStr">
        <is>
          <t>EUR</t>
        </is>
      </c>
      <c r="G20" t="inlineStr">
        <is>
          <t>EUR</t>
        </is>
      </c>
      <c r="H20" s="51" t="n">
        <v>1</v>
      </c>
      <c r="I20" s="50" t="n">
        <v>1800</v>
      </c>
      <c r="J20" t="inlineStr">
        <is>
          <t>documents</t>
        </is>
      </c>
      <c r="K20" s="52" t="inlineStr">
        <is>
          <t>2026-0025</t>
        </is>
      </c>
      <c r="L20" t="inlineStr">
        <is>
          <t>https://drive.google.com/file/d/1hcUDzCCF5c5McNzLThpb7syxQfm9o0tr/view?usp=drivesdk</t>
        </is>
      </c>
    </row>
    <row r="21" ht="12" customHeight="1">
      <c r="A21" t="inlineStr">
        <is>
          <t>202606</t>
        </is>
      </c>
      <c r="B21" t="inlineStr">
        <is>
          <t>SL</t>
        </is>
      </c>
      <c r="C21" t="inlineStr">
        <is>
          <t>HANNUN</t>
        </is>
      </c>
      <c r="D21" t="inlineStr">
        <is>
          <t>renting_coche</t>
        </is>
      </c>
      <c r="E21" s="50" t="n">
        <v>237.16</v>
      </c>
      <c r="F21" t="inlineStr">
        <is>
          <t>EUR</t>
        </is>
      </c>
      <c r="G21" t="inlineStr">
        <is>
          <t>EUR</t>
        </is>
      </c>
      <c r="H21" s="51" t="n">
        <v>1</v>
      </c>
      <c r="I21" s="50" t="n">
        <v>237.16</v>
      </c>
      <c r="J21" t="inlineStr">
        <is>
          <t>documents</t>
        </is>
      </c>
      <c r="K21" s="52" t="inlineStr">
        <is>
          <t>2026-0032</t>
        </is>
      </c>
      <c r="L21" t="inlineStr">
        <is>
          <t>https://drive.google.com/file/d/1bPWdWAtM-_lJN283yYjiuAkSWn4jpPNu/view?usp=drivesdk</t>
        </is>
      </c>
    </row>
    <row r="22" ht="12" customHeight="1">
      <c r="A22" t="inlineStr">
        <is>
          <t>202606</t>
        </is>
      </c>
      <c r="B22" t="inlineStr">
        <is>
          <t>SL</t>
        </is>
      </c>
      <c r="C22" t="inlineStr">
        <is>
          <t>Inc</t>
        </is>
      </c>
      <c r="D22" t="inlineStr">
        <is>
          <t>shared_services</t>
        </is>
      </c>
      <c r="E22" s="50" t="n">
        <v>4876.31</v>
      </c>
      <c r="F22" t="inlineStr">
        <is>
          <t>EUR</t>
        </is>
      </c>
      <c r="G22" t="inlineStr">
        <is>
          <t>EUR</t>
        </is>
      </c>
      <c r="H22" s="51" t="n">
        <v>1</v>
      </c>
      <c r="I22" s="50" t="n">
        <v>4876.31</v>
      </c>
      <c r="J22" t="inlineStr">
        <is>
          <t>documents:shared_services</t>
        </is>
      </c>
      <c r="K22" s="52" t="inlineStr">
        <is>
          <t>2026-0030</t>
        </is>
      </c>
      <c r="L22" t="inlineStr">
        <is>
          <t>https://drive.google.com/file/d/12EthxatXwUiNej1AC0mO-nrxJnB0sWHC/view?usp=drivesdk</t>
        </is>
      </c>
    </row>
    <row r="23" ht="12" customHeight="1">
      <c r="A23" t="inlineStr">
        <is>
          <t>202606</t>
        </is>
      </c>
      <c r="B23" t="inlineStr">
        <is>
          <t>SL</t>
        </is>
      </c>
      <c r="C23" t="inlineStr">
        <is>
          <t>Ltd</t>
        </is>
      </c>
      <c r="D23" t="inlineStr">
        <is>
          <t>shared_services</t>
        </is>
      </c>
      <c r="E23" s="50" t="n">
        <v>12520.32</v>
      </c>
      <c r="F23" t="inlineStr">
        <is>
          <t>EUR</t>
        </is>
      </c>
      <c r="G23" t="inlineStr">
        <is>
          <t>EUR</t>
        </is>
      </c>
      <c r="H23" s="51" t="n">
        <v>1</v>
      </c>
      <c r="I23" s="50" t="n">
        <v>12520.32</v>
      </c>
      <c r="J23" t="inlineStr">
        <is>
          <t>documents:shared_services</t>
        </is>
      </c>
      <c r="K23" s="52" t="inlineStr">
        <is>
          <t>2026-0029</t>
        </is>
      </c>
      <c r="L23" t="inlineStr">
        <is>
          <t>https://drive.google.com/file/d/1NTTQ0GfYXGRLMjb9JzaVQUreuF5aARGp/view?usp=drivesdk</t>
        </is>
      </c>
    </row>
    <row r="24" ht="12" customHeight="1">
      <c r="A24" t="inlineStr">
        <is>
          <t>202606</t>
        </is>
      </c>
      <c r="B24" t="inlineStr">
        <is>
          <t>SL</t>
        </is>
      </c>
      <c r="C24" t="inlineStr">
        <is>
          <t>QHANDS</t>
        </is>
      </c>
      <c r="D24" t="inlineStr">
        <is>
          <t>renting_cnc</t>
        </is>
      </c>
      <c r="E24" s="50" t="n">
        <v>2089.49</v>
      </c>
      <c r="F24" t="inlineStr">
        <is>
          <t>EUR</t>
        </is>
      </c>
      <c r="G24" t="inlineStr">
        <is>
          <t>EUR</t>
        </is>
      </c>
      <c r="H24" s="51" t="n">
        <v>1</v>
      </c>
      <c r="I24" s="50" t="n">
        <v>2089.49</v>
      </c>
      <c r="J24" t="inlineStr">
        <is>
          <t>documents</t>
        </is>
      </c>
      <c r="K24" s="52" t="inlineStr">
        <is>
          <t>2026-0031</t>
        </is>
      </c>
      <c r="L24" t="inlineStr">
        <is>
          <t>https://drive.google.com/file/d/1GTB7C_m8wqI5ZcLtddZ9CbMD79Quoac-/view?usp=drivesdk</t>
        </is>
      </c>
    </row>
  </sheetData>
  <hyperlinks>
    <hyperlink ref="A1" location="'P&amp;G-SL'!A1" display="&lt;- Volver a P&amp;G-SL"/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20" customWidth="1" min="7" max="7"/>
    <col width="14" customWidth="1" min="8" max="8"/>
    <col width="18" customWidth="1" min="9" max="9"/>
    <col width="14" customWidth="1" min="10" max="10"/>
    <col width="16" customWidth="1" min="11" max="11"/>
    <col hidden="1" width="14" customWidth="1" min="12" max="12"/>
  </cols>
  <sheetData>
    <row r="1" ht="12" customHeight="1">
      <c r="A1" s="48" t="inlineStr">
        <is>
          <t>&lt;- Volver a P&amp;G-SL</t>
        </is>
      </c>
    </row>
    <row r="2" ht="12" customHeight="1">
      <c r="A2" s="49" t="inlineStr">
        <is>
          <t>yyyymm</t>
        </is>
      </c>
      <c r="B2" s="49" t="inlineStr">
        <is>
          <t>entity</t>
        </is>
      </c>
      <c r="C2" s="49" t="inlineStr">
        <is>
          <t>line_item</t>
        </is>
      </c>
      <c r="D2" s="49" t="inlineStr">
        <is>
          <t>detail</t>
        </is>
      </c>
      <c r="E2" s="49" t="inlineStr">
        <is>
          <t>amount_original</t>
        </is>
      </c>
      <c r="F2" s="49" t="inlineStr">
        <is>
          <t>currency_original</t>
        </is>
      </c>
      <c r="G2" s="49" t="inlineStr">
        <is>
          <t>reporting_currency</t>
        </is>
      </c>
      <c r="H2" s="49" t="inlineStr">
        <is>
          <t>fx_rate</t>
        </is>
      </c>
      <c r="I2" s="49" t="inlineStr">
        <is>
          <t>amount_reporting</t>
        </is>
      </c>
      <c r="J2" s="49" t="inlineStr">
        <is>
          <t>source</t>
        </is>
      </c>
      <c r="K2" s="49" t="inlineStr">
        <is>
          <t>invoice_number</t>
        </is>
      </c>
      <c r="L2" s="49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Inc</t>
        </is>
      </c>
      <c r="D3" t="inlineStr">
        <is>
          <t>shared_services</t>
        </is>
      </c>
      <c r="E3" s="50" t="n">
        <v>7334.44</v>
      </c>
      <c r="F3" t="inlineStr">
        <is>
          <t>EUR</t>
        </is>
      </c>
      <c r="G3" t="inlineStr">
        <is>
          <t>EUR</t>
        </is>
      </c>
      <c r="H3" s="51" t="n">
        <v>1</v>
      </c>
      <c r="I3" s="50" t="n">
        <v>7334.44</v>
      </c>
      <c r="J3" t="inlineStr">
        <is>
          <t>documents:shared_services</t>
        </is>
      </c>
      <c r="K3" s="52" t="inlineStr">
        <is>
          <t>2026-0009</t>
        </is>
      </c>
      <c r="L3" t="inlineStr">
        <is>
          <t>https://drive.google.com/file/d/1f0y-ak8qjEua6xrzfcweFpWZqOtA8h9C/view?usp=drivesdk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Ltd</t>
        </is>
      </c>
      <c r="D4" t="inlineStr">
        <is>
          <t>shared_services</t>
        </is>
      </c>
      <c r="E4" s="50" t="n">
        <v>10732.87</v>
      </c>
      <c r="F4" t="inlineStr">
        <is>
          <t>EUR</t>
        </is>
      </c>
      <c r="G4" t="inlineStr">
        <is>
          <t>EUR</t>
        </is>
      </c>
      <c r="H4" s="51" t="n">
        <v>1</v>
      </c>
      <c r="I4" s="50" t="n">
        <v>10732.87</v>
      </c>
      <c r="J4" t="inlineStr">
        <is>
          <t>documents:shared_services</t>
        </is>
      </c>
      <c r="K4" s="52" t="inlineStr">
        <is>
          <t>2026-0010</t>
        </is>
      </c>
      <c r="L4" t="inlineStr">
        <is>
          <t>https://drive.google.com/file/d/1DVbcrKI34TY_XRmPCWYxFfktOzy1Bqmr/view?usp=drivesdk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s="50" t="n">
        <v>8462.360000000001</v>
      </c>
      <c r="F5" t="inlineStr">
        <is>
          <t>EUR</t>
        </is>
      </c>
      <c r="G5" t="inlineStr">
        <is>
          <t>EUR</t>
        </is>
      </c>
      <c r="H5" s="51" t="n">
        <v>1</v>
      </c>
      <c r="I5" s="50" t="n">
        <v>8462.360000000001</v>
      </c>
      <c r="J5" t="inlineStr">
        <is>
          <t>documents:shared_services</t>
        </is>
      </c>
      <c r="K5" s="52" t="inlineStr">
        <is>
          <t>2026-0014</t>
        </is>
      </c>
      <c r="L5" t="inlineStr">
        <is>
          <t>https://drive.google.com/file/d/1rlqcAuJUaWxt0Udjbpq3E6fP_lfRq58_/view?usp=drivesdk</t>
        </is>
      </c>
    </row>
    <row r="6" ht="12" customHeight="1">
      <c r="A6" t="inlineStr">
        <is>
          <t>202602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s="50" t="n">
        <v>13068.98</v>
      </c>
      <c r="F6" t="inlineStr">
        <is>
          <t>EUR</t>
        </is>
      </c>
      <c r="G6" t="inlineStr">
        <is>
          <t>EUR</t>
        </is>
      </c>
      <c r="H6" s="51" t="n">
        <v>1</v>
      </c>
      <c r="I6" s="50" t="n">
        <v>13068.98</v>
      </c>
      <c r="J6" t="inlineStr">
        <is>
          <t>documents:shared_services</t>
        </is>
      </c>
      <c r="K6" s="52" t="inlineStr">
        <is>
          <t>2026-0015</t>
        </is>
      </c>
      <c r="L6" t="inlineStr">
        <is>
          <t>https://drive.google.com/file/d/1pNRISEZAlDdg2kXsh98mNhDndQFk42mV/view?usp=drivesdk</t>
        </is>
      </c>
    </row>
    <row r="7" ht="12" customHeight="1">
      <c r="A7" t="inlineStr">
        <is>
          <t>202603</t>
        </is>
      </c>
      <c r="B7" t="inlineStr">
        <is>
          <t>SL</t>
        </is>
      </c>
      <c r="C7" t="inlineStr">
        <is>
          <t>Inc</t>
        </is>
      </c>
      <c r="D7" t="inlineStr">
        <is>
          <t>shared_services</t>
        </is>
      </c>
      <c r="E7" s="50" t="n">
        <v>7586.05</v>
      </c>
      <c r="F7" t="inlineStr">
        <is>
          <t>EUR</t>
        </is>
      </c>
      <c r="G7" t="inlineStr">
        <is>
          <t>EUR</t>
        </is>
      </c>
      <c r="H7" s="51" t="n">
        <v>1</v>
      </c>
      <c r="I7" s="50" t="n">
        <v>7586.05</v>
      </c>
      <c r="J7" t="inlineStr">
        <is>
          <t>documents:shared_services</t>
        </is>
      </c>
      <c r="K7" s="52" t="inlineStr">
        <is>
          <t>2026-0017</t>
        </is>
      </c>
      <c r="L7" t="inlineStr">
        <is>
          <t>https://drive.google.com/file/d/1ixVdpnGpB3KUF2QQIt94W1I4J6yD6ybZ/view?usp=drivesdk</t>
        </is>
      </c>
    </row>
    <row r="8" ht="12" customHeight="1">
      <c r="A8" t="inlineStr">
        <is>
          <t>202603</t>
        </is>
      </c>
      <c r="B8" t="inlineStr">
        <is>
          <t>SL</t>
        </is>
      </c>
      <c r="C8" t="inlineStr">
        <is>
          <t>Ltd</t>
        </is>
      </c>
      <c r="D8" t="inlineStr">
        <is>
          <t>shared_services</t>
        </is>
      </c>
      <c r="E8" s="50" t="n">
        <v>14144.1</v>
      </c>
      <c r="F8" t="inlineStr">
        <is>
          <t>EUR</t>
        </is>
      </c>
      <c r="G8" t="inlineStr">
        <is>
          <t>EUR</t>
        </is>
      </c>
      <c r="H8" s="51" t="n">
        <v>1</v>
      </c>
      <c r="I8" s="50" t="n">
        <v>14144.1</v>
      </c>
      <c r="J8" t="inlineStr">
        <is>
          <t>documents:shared_services</t>
        </is>
      </c>
      <c r="K8" s="52" t="inlineStr">
        <is>
          <t>2026-0016</t>
        </is>
      </c>
      <c r="L8" t="inlineStr">
        <is>
          <t>https://drive.google.com/file/d/1KdK-Ik0l5-TAvrDmyV47ighudMtGRrKE/view?usp=drivesdk</t>
        </is>
      </c>
    </row>
    <row r="9" ht="12" customHeight="1">
      <c r="A9" t="inlineStr">
        <is>
          <t>202604</t>
        </is>
      </c>
      <c r="B9" t="inlineStr">
        <is>
          <t>SL</t>
        </is>
      </c>
      <c r="C9" t="inlineStr">
        <is>
          <t>Inc</t>
        </is>
      </c>
      <c r="D9" t="inlineStr">
        <is>
          <t>shared_services</t>
        </is>
      </c>
      <c r="E9" s="50" t="n">
        <v>6102.34</v>
      </c>
      <c r="F9" t="inlineStr">
        <is>
          <t>EUR</t>
        </is>
      </c>
      <c r="G9" t="inlineStr">
        <is>
          <t>EUR</t>
        </is>
      </c>
      <c r="H9" s="51" t="n">
        <v>1</v>
      </c>
      <c r="I9" s="50" t="n">
        <v>6102.34</v>
      </c>
      <c r="J9" t="inlineStr">
        <is>
          <t>documents:shared_services</t>
        </is>
      </c>
      <c r="K9" s="52" t="inlineStr">
        <is>
          <t>2026-0024</t>
        </is>
      </c>
      <c r="L9" t="inlineStr">
        <is>
          <t>https://drive.google.com/file/d/1nA8pTTvpT0O76zFAg7QOq9o2784L7_T5/view?usp=drivesdk</t>
        </is>
      </c>
    </row>
    <row r="10" ht="12" customHeight="1">
      <c r="A10" t="inlineStr">
        <is>
          <t>202604</t>
        </is>
      </c>
      <c r="B10" t="inlineStr">
        <is>
          <t>SL</t>
        </is>
      </c>
      <c r="C10" t="inlineStr">
        <is>
          <t>Ltd</t>
        </is>
      </c>
      <c r="D10" t="inlineStr">
        <is>
          <t>shared_services</t>
        </is>
      </c>
      <c r="E10" s="50" t="n">
        <v>12924.89</v>
      </c>
      <c r="F10" t="inlineStr">
        <is>
          <t>EUR</t>
        </is>
      </c>
      <c r="G10" t="inlineStr">
        <is>
          <t>EUR</t>
        </is>
      </c>
      <c r="H10" s="51" t="n">
        <v>1</v>
      </c>
      <c r="I10" s="50" t="n">
        <v>12924.89</v>
      </c>
      <c r="J10" t="inlineStr">
        <is>
          <t>documents:shared_services</t>
        </is>
      </c>
      <c r="K10" s="52" t="inlineStr">
        <is>
          <t>2026-0023</t>
        </is>
      </c>
      <c r="L10" t="inlineStr">
        <is>
          <t>https://drive.google.com/file/d/1kG4iTL7rVDpQrcSDFJA0JzVE0hNuiLKc/view?usp=drivesdk</t>
        </is>
      </c>
    </row>
    <row r="11" ht="12" customHeight="1">
      <c r="A11" t="inlineStr">
        <is>
          <t>202605</t>
        </is>
      </c>
      <c r="B11" t="inlineStr">
        <is>
          <t>SL</t>
        </is>
      </c>
      <c r="C11" t="inlineStr">
        <is>
          <t>Inc</t>
        </is>
      </c>
      <c r="D11" t="inlineStr">
        <is>
          <t>shared_services</t>
        </is>
      </c>
      <c r="E11" s="50" t="n">
        <v>5381.74</v>
      </c>
      <c r="F11" t="inlineStr">
        <is>
          <t>EUR</t>
        </is>
      </c>
      <c r="G11" t="inlineStr">
        <is>
          <t>EUR</t>
        </is>
      </c>
      <c r="H11" s="51" t="n">
        <v>1</v>
      </c>
      <c r="I11" s="50" t="n">
        <v>5381.74</v>
      </c>
      <c r="J11" t="inlineStr">
        <is>
          <t>documents:shared_services</t>
        </is>
      </c>
      <c r="K11" s="52" t="inlineStr">
        <is>
          <t>2026-0028</t>
        </is>
      </c>
      <c r="L11" t="inlineStr">
        <is>
          <t>https://drive.google.com/file/d/1ndoIxnRCHpafl83Lsyq-PVVCI1_lzXKu/view?usp=drivesdk</t>
        </is>
      </c>
    </row>
    <row r="12" ht="12" customHeight="1">
      <c r="A12" t="inlineStr">
        <is>
          <t>202605</t>
        </is>
      </c>
      <c r="B12" t="inlineStr">
        <is>
          <t>SL</t>
        </is>
      </c>
      <c r="C12" t="inlineStr">
        <is>
          <t>Ltd</t>
        </is>
      </c>
      <c r="D12" t="inlineStr">
        <is>
          <t>shared_services</t>
        </is>
      </c>
      <c r="E12" s="50" t="n">
        <v>12909.18</v>
      </c>
      <c r="F12" t="inlineStr">
        <is>
          <t>EUR</t>
        </is>
      </c>
      <c r="G12" t="inlineStr">
        <is>
          <t>EUR</t>
        </is>
      </c>
      <c r="H12" s="51" t="n">
        <v>1</v>
      </c>
      <c r="I12" s="50" t="n">
        <v>12909.18</v>
      </c>
      <c r="J12" t="inlineStr">
        <is>
          <t>documents:shared_services</t>
        </is>
      </c>
      <c r="K12" s="52" t="inlineStr">
        <is>
          <t>2026-0027</t>
        </is>
      </c>
      <c r="L12" t="inlineStr">
        <is>
          <t>https://drive.google.com/file/d/13vcEBkqDKaSJerk401zu6MdDFpeCSKic/view?usp=drivesdk</t>
        </is>
      </c>
    </row>
    <row r="13" ht="12" customHeight="1">
      <c r="A13" t="inlineStr">
        <is>
          <t>202606</t>
        </is>
      </c>
      <c r="B13" t="inlineStr">
        <is>
          <t>SL</t>
        </is>
      </c>
      <c r="C13" t="inlineStr">
        <is>
          <t>Inc</t>
        </is>
      </c>
      <c r="D13" t="inlineStr">
        <is>
          <t>shared_services</t>
        </is>
      </c>
      <c r="E13" s="50" t="n">
        <v>4876.31</v>
      </c>
      <c r="F13" t="inlineStr">
        <is>
          <t>EUR</t>
        </is>
      </c>
      <c r="G13" t="inlineStr">
        <is>
          <t>EUR</t>
        </is>
      </c>
      <c r="H13" s="51" t="n">
        <v>1</v>
      </c>
      <c r="I13" s="50" t="n">
        <v>4876.31</v>
      </c>
      <c r="J13" t="inlineStr">
        <is>
          <t>documents:shared_services</t>
        </is>
      </c>
      <c r="K13" s="52" t="inlineStr">
        <is>
          <t>2026-0030</t>
        </is>
      </c>
      <c r="L13" t="inlineStr">
        <is>
          <t>https://drive.google.com/file/d/12EthxatXwUiNej1AC0mO-nrxJnB0sWHC/view?usp=drivesdk</t>
        </is>
      </c>
    </row>
    <row r="14" ht="12" customHeight="1">
      <c r="A14" t="inlineStr">
        <is>
          <t>202606</t>
        </is>
      </c>
      <c r="B14" t="inlineStr">
        <is>
          <t>SL</t>
        </is>
      </c>
      <c r="C14" t="inlineStr">
        <is>
          <t>Ltd</t>
        </is>
      </c>
      <c r="D14" t="inlineStr">
        <is>
          <t>shared_services</t>
        </is>
      </c>
      <c r="E14" s="50" t="n">
        <v>12520.32</v>
      </c>
      <c r="F14" t="inlineStr">
        <is>
          <t>EUR</t>
        </is>
      </c>
      <c r="G14" t="inlineStr">
        <is>
          <t>EUR</t>
        </is>
      </c>
      <c r="H14" s="51" t="n">
        <v>1</v>
      </c>
      <c r="I14" s="50" t="n">
        <v>12520.32</v>
      </c>
      <c r="J14" t="inlineStr">
        <is>
          <t>documents:shared_services</t>
        </is>
      </c>
      <c r="K14" s="52" t="inlineStr">
        <is>
          <t>2026-0029</t>
        </is>
      </c>
      <c r="L14" t="inlineStr">
        <is>
          <t>https://drive.google.com/file/d/1NTTQ0GfYXGRLMjb9JzaVQUreuF5aARGp/view?usp=drivesdk</t>
        </is>
      </c>
    </row>
  </sheetData>
  <hyperlinks>
    <hyperlink ref="A1" location="'P&amp;G-SL'!A1" display="&lt;- Volver a P&amp;G-SL"/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7" customWidth="1" min="7" max="7"/>
    <col width="19" customWidth="1" min="8" max="8"/>
    <col width="20" customWidth="1" min="9" max="9"/>
    <col width="14" customWidth="1" min="10" max="10"/>
    <col width="18" customWidth="1" min="11" max="11"/>
    <col width="14" customWidth="1" min="12" max="12"/>
    <col width="16" customWidth="1" min="13" max="13"/>
    <col hidden="1" width="14" customWidth="1" min="14" max="14"/>
  </cols>
  <sheetData>
    <row r="1" ht="12" customHeight="1">
      <c r="A1" s="48" t="inlineStr">
        <is>
          <t>&lt;- Volver a P&amp;G-SL</t>
        </is>
      </c>
    </row>
    <row r="2" ht="12" customHeight="1">
      <c r="A2" s="49" t="inlineStr">
        <is>
          <t>yyyymm</t>
        </is>
      </c>
      <c r="B2" s="49" t="inlineStr">
        <is>
          <t>entity</t>
        </is>
      </c>
      <c r="C2" s="49" t="inlineStr">
        <is>
          <t>category</t>
        </is>
      </c>
      <c r="D2" s="49" t="inlineStr">
        <is>
          <t>subcategory</t>
        </is>
      </c>
      <c r="E2" s="49" t="inlineStr">
        <is>
          <t>supplier_code</t>
        </is>
      </c>
      <c r="F2" s="49" t="inlineStr">
        <is>
          <t>detail</t>
        </is>
      </c>
      <c r="G2" s="49" t="inlineStr">
        <is>
          <t>amount_original</t>
        </is>
      </c>
      <c r="H2" s="49" t="inlineStr">
        <is>
          <t>currency_original</t>
        </is>
      </c>
      <c r="I2" s="49" t="inlineStr">
        <is>
          <t>reporting_currency</t>
        </is>
      </c>
      <c r="J2" s="49" t="inlineStr">
        <is>
          <t>fx_rate</t>
        </is>
      </c>
      <c r="K2" s="49" t="inlineStr">
        <is>
          <t>amount_reporting</t>
        </is>
      </c>
      <c r="L2" s="49" t="inlineStr">
        <is>
          <t>source</t>
        </is>
      </c>
      <c r="M2" s="49" t="inlineStr">
        <is>
          <t>invoice_number</t>
        </is>
      </c>
      <c r="N2" s="49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RAILWAY</t>
        </is>
      </c>
      <c r="F3" t="inlineStr"/>
      <c r="G3" s="50" t="n">
        <v>20</v>
      </c>
      <c r="H3" t="inlineStr">
        <is>
          <t>USD</t>
        </is>
      </c>
      <c r="I3" t="inlineStr">
        <is>
          <t>EUR</t>
        </is>
      </c>
      <c r="J3" s="51" t="n">
        <v>0.83899656</v>
      </c>
      <c r="K3" s="50" t="n">
        <v>16.78</v>
      </c>
      <c r="L3" t="inlineStr">
        <is>
          <t>documents</t>
        </is>
      </c>
      <c r="M3" s="52" t="inlineStr">
        <is>
          <t>1602C2F5-0015</t>
        </is>
      </c>
      <c r="N3" t="inlineStr">
        <is>
          <t>https://drive.google.com/file/d/1ih8AMHNM7ZQvhfJOhpZ3dpM0Bv3oyAA-/view?usp=drivesdk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opex</t>
        </is>
      </c>
      <c r="D4" t="inlineStr">
        <is>
          <t>technology</t>
        </is>
      </c>
      <c r="E4" t="inlineStr">
        <is>
          <t>RAILWAY</t>
        </is>
      </c>
      <c r="F4" t="inlineStr"/>
      <c r="G4" s="50" t="n">
        <v>20</v>
      </c>
      <c r="H4" t="inlineStr">
        <is>
          <t>USD</t>
        </is>
      </c>
      <c r="I4" t="inlineStr">
        <is>
          <t>EUR</t>
        </is>
      </c>
      <c r="J4" s="51" t="n">
        <v>0.84709869</v>
      </c>
      <c r="K4" s="50" t="n">
        <v>16.94</v>
      </c>
      <c r="L4" t="inlineStr">
        <is>
          <t>documents</t>
        </is>
      </c>
      <c r="M4" s="52" t="inlineStr">
        <is>
          <t>1602C2F5-0016</t>
        </is>
      </c>
      <c r="N4" t="inlineStr">
        <is>
          <t>https://drive.google.com/file/d/1nql7QpcMxbeNk-s_Ku_8yFOrf0x8QVss/view?usp=drivesdk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opex</t>
        </is>
      </c>
      <c r="D5" t="inlineStr">
        <is>
          <t>technology</t>
        </is>
      </c>
      <c r="E5" t="inlineStr">
        <is>
          <t>ADOBE</t>
        </is>
      </c>
      <c r="F5" t="inlineStr"/>
      <c r="G5" s="50" t="n">
        <v>33.49</v>
      </c>
      <c r="H5" t="inlineStr">
        <is>
          <t>EUR</t>
        </is>
      </c>
      <c r="I5" t="inlineStr">
        <is>
          <t>EUR</t>
        </is>
      </c>
      <c r="J5" s="51" t="n">
        <v>1</v>
      </c>
      <c r="K5" s="50" t="n">
        <v>33.49</v>
      </c>
      <c r="L5" t="inlineStr">
        <is>
          <t>documents</t>
        </is>
      </c>
      <c r="M5" s="52" t="inlineStr">
        <is>
          <t>IEE2026001813920</t>
        </is>
      </c>
      <c r="N5" t="inlineStr">
        <is>
          <t>https://drive.google.com/file/d/1bfLhUT5wi1Zga5-YKV-y_tFqtaYvhqG_/view?usp=drivesdk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cogs</t>
        </is>
      </c>
      <c r="D6" t="inlineStr">
        <is>
          <t>manufacturing</t>
        </is>
      </c>
      <c r="E6" t="inlineStr">
        <is>
          <t>APPHOTOCAN</t>
        </is>
      </c>
      <c r="F6" t="inlineStr"/>
      <c r="G6" s="50" t="n">
        <v>29.22</v>
      </c>
      <c r="H6" t="inlineStr">
        <is>
          <t>EUR</t>
        </is>
      </c>
      <c r="I6" t="inlineStr">
        <is>
          <t>EUR</t>
        </is>
      </c>
      <c r="J6" s="51" t="n">
        <v>1</v>
      </c>
      <c r="K6" s="50" t="n">
        <v>29.22</v>
      </c>
      <c r="L6" t="inlineStr">
        <is>
          <t>documents</t>
        </is>
      </c>
      <c r="M6" s="52" t="inlineStr">
        <is>
          <t>26-1-147</t>
        </is>
      </c>
      <c r="N6" t="inlineStr">
        <is>
          <t>https://drive.google.com/file/d/1R3F1S4DkkMdWjQCije5h6JcXrv2oanjz/view?usp=drivesdk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cogs</t>
        </is>
      </c>
      <c r="D7" t="inlineStr">
        <is>
          <t>manufacturing</t>
        </is>
      </c>
      <c r="E7" t="inlineStr">
        <is>
          <t>APPHOTOES</t>
        </is>
      </c>
      <c r="F7" t="inlineStr"/>
      <c r="G7" s="50" t="n">
        <v>4472.74</v>
      </c>
      <c r="H7" t="inlineStr">
        <is>
          <t>EUR</t>
        </is>
      </c>
      <c r="I7" t="inlineStr">
        <is>
          <t>EUR</t>
        </is>
      </c>
      <c r="J7" s="51" t="n">
        <v>1</v>
      </c>
      <c r="K7" s="50" t="n">
        <v>4472.74</v>
      </c>
      <c r="L7" t="inlineStr">
        <is>
          <t>documents</t>
        </is>
      </c>
      <c r="M7" s="52" t="inlineStr">
        <is>
          <t>1-1115</t>
        </is>
      </c>
      <c r="N7" t="inlineStr">
        <is>
          <t>https://drive.google.com/file/d/1WUqPHPgca1EQI6FEQ45b4g1OBJLlBFy7/view?usp=drivesdk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manufacturing</t>
        </is>
      </c>
      <c r="E8" t="inlineStr">
        <is>
          <t>APPHOTOES</t>
        </is>
      </c>
      <c r="F8" t="inlineStr"/>
      <c r="G8" s="50" t="n">
        <v>2583.61</v>
      </c>
      <c r="H8" t="inlineStr">
        <is>
          <t>EUR</t>
        </is>
      </c>
      <c r="I8" t="inlineStr">
        <is>
          <t>EUR</t>
        </is>
      </c>
      <c r="J8" s="51" t="n">
        <v>1</v>
      </c>
      <c r="K8" s="50" t="n">
        <v>2583.61</v>
      </c>
      <c r="L8" t="inlineStr">
        <is>
          <t>documents</t>
        </is>
      </c>
      <c r="M8" s="52" t="inlineStr">
        <is>
          <t>1-412</t>
        </is>
      </c>
      <c r="N8" t="inlineStr">
        <is>
          <t>https://drive.google.com/file/d/1HSHnKuD3wT5VaYKRyqQtc1Kn3jvbtI5z/view?usp=drivesdk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cogs</t>
        </is>
      </c>
      <c r="D9" t="inlineStr">
        <is>
          <t>manufacturing</t>
        </is>
      </c>
      <c r="E9" t="inlineStr">
        <is>
          <t>APPHOTOES</t>
        </is>
      </c>
      <c r="F9" t="inlineStr"/>
      <c r="G9" s="50" t="n">
        <v>1083.14</v>
      </c>
      <c r="H9" t="inlineStr">
        <is>
          <t>EUR</t>
        </is>
      </c>
      <c r="I9" t="inlineStr">
        <is>
          <t>EUR</t>
        </is>
      </c>
      <c r="J9" s="51" t="n">
        <v>1</v>
      </c>
      <c r="K9" s="50" t="n">
        <v>1083.14</v>
      </c>
      <c r="L9" t="inlineStr">
        <is>
          <t>documents</t>
        </is>
      </c>
      <c r="M9" s="52" t="inlineStr">
        <is>
          <t>1-527</t>
        </is>
      </c>
      <c r="N9" t="inlineStr">
        <is>
          <t>https://drive.google.com/file/d/1QiOFa-Pu55ImYk1EgtLQ-1AJeKteGKKN/view?usp=drivesdk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cogs</t>
        </is>
      </c>
      <c r="D10" t="inlineStr">
        <is>
          <t>manufacturing</t>
        </is>
      </c>
      <c r="E10" t="inlineStr">
        <is>
          <t>APPHOTOES</t>
        </is>
      </c>
      <c r="F10" t="inlineStr"/>
      <c r="G10" s="50" t="n">
        <v>9758.59</v>
      </c>
      <c r="H10" t="inlineStr">
        <is>
          <t>EUR</t>
        </is>
      </c>
      <c r="I10" t="inlineStr">
        <is>
          <t>EUR</t>
        </is>
      </c>
      <c r="J10" s="51" t="n">
        <v>1</v>
      </c>
      <c r="K10" s="50" t="n">
        <v>9758.59</v>
      </c>
      <c r="L10" t="inlineStr">
        <is>
          <t>documents</t>
        </is>
      </c>
      <c r="M10" s="52" t="inlineStr">
        <is>
          <t>1-841</t>
        </is>
      </c>
      <c r="N10" t="inlineStr">
        <is>
          <t>https://drive.google.com/file/d/1Nv_kf16K0jbiVtLvDOdsF2s81ubDK86-/view?usp=drivesdk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opex</t>
        </is>
      </c>
      <c r="D11" t="inlineStr">
        <is>
          <t>administration</t>
        </is>
      </c>
      <c r="E11" t="inlineStr">
        <is>
          <t>BBVACNC</t>
        </is>
      </c>
      <c r="F11" t="inlineStr"/>
      <c r="G11" s="50" t="n">
        <v>1644.62</v>
      </c>
      <c r="H11" t="inlineStr">
        <is>
          <t>EUR</t>
        </is>
      </c>
      <c r="I11" t="inlineStr">
        <is>
          <t>EUR</t>
        </is>
      </c>
      <c r="J11" s="51" t="n">
        <v>1</v>
      </c>
      <c r="K11" s="50" t="n">
        <v>1644.62</v>
      </c>
      <c r="L11" t="inlineStr">
        <is>
          <t>documents</t>
        </is>
      </c>
      <c r="M11" s="52" t="inlineStr">
        <is>
          <t>260992A00006870</t>
        </is>
      </c>
      <c r="N11" t="inlineStr">
        <is>
          <t>https://drive.google.com/file/d/1BgsncVPJONNOSwGkAe2eb6HAzwGUvo6M/view?usp=drivesdk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opex</t>
        </is>
      </c>
      <c r="D12" t="inlineStr">
        <is>
          <t>technology</t>
        </is>
      </c>
      <c r="E12" t="inlineStr">
        <is>
          <t>CANVA</t>
        </is>
      </c>
      <c r="F12" t="inlineStr"/>
      <c r="G12" s="50" t="n">
        <v>9.91</v>
      </c>
      <c r="H12" t="inlineStr">
        <is>
          <t>EUR</t>
        </is>
      </c>
      <c r="I12" t="inlineStr">
        <is>
          <t>EUR</t>
        </is>
      </c>
      <c r="J12" s="51" t="n">
        <v>1</v>
      </c>
      <c r="K12" s="50" t="n">
        <v>9.91</v>
      </c>
      <c r="L12" t="inlineStr">
        <is>
          <t>documents</t>
        </is>
      </c>
      <c r="M12" s="52" t="inlineStr">
        <is>
          <t>04765-19148572</t>
        </is>
      </c>
      <c r="N12" t="inlineStr">
        <is>
          <t>https://drive.google.com/file/d/1F1T1ZbmwTiAvZymdmK5UN5ILkYzAcyjE/view?usp=drivesdk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opex</t>
        </is>
      </c>
      <c r="D13" t="inlineStr">
        <is>
          <t>administration</t>
        </is>
      </c>
      <c r="E13" t="inlineStr">
        <is>
          <t>CLARIS</t>
        </is>
      </c>
      <c r="F13" t="inlineStr"/>
      <c r="G13" s="50" t="n">
        <v>808.08</v>
      </c>
      <c r="H13" t="inlineStr">
        <is>
          <t>EUR</t>
        </is>
      </c>
      <c r="I13" t="inlineStr">
        <is>
          <t>EUR</t>
        </is>
      </c>
      <c r="J13" s="51" t="n">
        <v>1</v>
      </c>
      <c r="K13" s="50" t="n">
        <v>808.08</v>
      </c>
      <c r="L13" t="inlineStr">
        <is>
          <t>documents</t>
        </is>
      </c>
      <c r="M13" s="52" t="inlineStr">
        <is>
          <t>F00036/26</t>
        </is>
      </c>
      <c r="N13" t="inlineStr">
        <is>
          <t>https://drive.google.com/file/d/1sZGtXApoakTTNvLB9pud8pMEBdr3FgDZ/view?usp=drivesdk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cogs</t>
        </is>
      </c>
      <c r="D14" t="inlineStr">
        <is>
          <t>logistics</t>
        </is>
      </c>
      <c r="E14" t="inlineStr">
        <is>
          <t>CORREOS</t>
        </is>
      </c>
      <c r="F14" t="inlineStr"/>
      <c r="G14" s="50" t="n">
        <v>155.8</v>
      </c>
      <c r="H14" t="inlineStr">
        <is>
          <t>EUR</t>
        </is>
      </c>
      <c r="I14" t="inlineStr">
        <is>
          <t>EUR</t>
        </is>
      </c>
      <c r="J14" s="51" t="n">
        <v>1</v>
      </c>
      <c r="K14" s="50" t="n">
        <v>155.8</v>
      </c>
      <c r="L14" t="inlineStr">
        <is>
          <t>documents</t>
        </is>
      </c>
      <c r="M14" s="52" t="inlineStr">
        <is>
          <t>4004550727</t>
        </is>
      </c>
      <c r="N14" t="inlineStr">
        <is>
          <t>https://drive.google.com/file/d/13rt7yQ8sQuRvlpYE9WCitcMHEZMp3m_O/view?usp=drivesdk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cogs</t>
        </is>
      </c>
      <c r="D15" t="inlineStr">
        <is>
          <t>logistics</t>
        </is>
      </c>
      <c r="E15" t="inlineStr">
        <is>
          <t>CORREOS</t>
        </is>
      </c>
      <c r="F15" t="inlineStr"/>
      <c r="G15" s="50" t="n">
        <v>397.96</v>
      </c>
      <c r="H15" t="inlineStr">
        <is>
          <t>EUR</t>
        </is>
      </c>
      <c r="I15" t="inlineStr">
        <is>
          <t>EUR</t>
        </is>
      </c>
      <c r="J15" s="51" t="n">
        <v>1</v>
      </c>
      <c r="K15" s="50" t="n">
        <v>397.96</v>
      </c>
      <c r="L15" t="inlineStr">
        <is>
          <t>documents</t>
        </is>
      </c>
      <c r="M15" s="52" t="inlineStr">
        <is>
          <t>4004566874</t>
        </is>
      </c>
      <c r="N15" t="inlineStr">
        <is>
          <t>https://drive.google.com/file/d/19fXXs3bT9JRPi6FOU7JWx3Antd-__jQl/view?usp=drivesdk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cogs</t>
        </is>
      </c>
      <c r="D16" t="inlineStr">
        <is>
          <t>logistics</t>
        </is>
      </c>
      <c r="E16" t="inlineStr">
        <is>
          <t>CORREOSCAN</t>
        </is>
      </c>
      <c r="F16" t="inlineStr"/>
      <c r="G16" s="50" t="n">
        <v>21.94</v>
      </c>
      <c r="H16" t="inlineStr">
        <is>
          <t>EUR</t>
        </is>
      </c>
      <c r="I16" t="inlineStr">
        <is>
          <t>EUR</t>
        </is>
      </c>
      <c r="J16" s="51" t="n">
        <v>1</v>
      </c>
      <c r="K16" s="50" t="n">
        <v>21.94</v>
      </c>
      <c r="L16" t="inlineStr">
        <is>
          <t>documents</t>
        </is>
      </c>
      <c r="M16" s="52" t="inlineStr">
        <is>
          <t>4004566875</t>
        </is>
      </c>
      <c r="N16" t="inlineStr">
        <is>
          <t>https://drive.google.com/file/d/1Mw2d6mo5p1hF1ADq3xGwHYdD6k93Kk72/view?usp=drivesdk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cogs</t>
        </is>
      </c>
      <c r="D17" t="inlineStr">
        <is>
          <t>manufacturing</t>
        </is>
      </c>
      <c r="E17" t="inlineStr">
        <is>
          <t>DCT</t>
        </is>
      </c>
      <c r="F17" t="inlineStr"/>
      <c r="G17" s="50" t="n">
        <v>5835.02</v>
      </c>
      <c r="H17" t="inlineStr">
        <is>
          <t>EUR</t>
        </is>
      </c>
      <c r="I17" t="inlineStr">
        <is>
          <t>EUR</t>
        </is>
      </c>
      <c r="J17" s="51" t="n">
        <v>1</v>
      </c>
      <c r="K17" s="50" t="n">
        <v>5835.02</v>
      </c>
      <c r="L17" t="inlineStr">
        <is>
          <t>documents</t>
        </is>
      </c>
      <c r="M17" s="52" t="inlineStr">
        <is>
          <t>26-0045</t>
        </is>
      </c>
      <c r="N17" t="inlineStr">
        <is>
          <t>https://drive.google.com/file/d/1CyeswzB650BIBblZ0j3XZapFNejIKlS7/view?usp=drivesdk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cogs</t>
        </is>
      </c>
      <c r="D18" t="inlineStr">
        <is>
          <t>manufacturing</t>
        </is>
      </c>
      <c r="E18" t="inlineStr">
        <is>
          <t>DCT</t>
        </is>
      </c>
      <c r="F18" t="inlineStr"/>
      <c r="G18" s="50" t="n">
        <v>3802.59</v>
      </c>
      <c r="H18" t="inlineStr">
        <is>
          <t>EUR</t>
        </is>
      </c>
      <c r="I18" t="inlineStr">
        <is>
          <t>EUR</t>
        </is>
      </c>
      <c r="J18" s="51" t="n">
        <v>1</v>
      </c>
      <c r="K18" s="50" t="n">
        <v>3802.59</v>
      </c>
      <c r="L18" t="inlineStr">
        <is>
          <t>documents</t>
        </is>
      </c>
      <c r="M18" s="52" t="inlineStr">
        <is>
          <t>26-0166</t>
        </is>
      </c>
      <c r="N18" t="inlineStr">
        <is>
          <t>https://drive.google.com/file/d/1bFtmiVMoUJHrjmSz3_aAWbUn5HmF4v7t/view?usp=drivesdk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cogs</t>
        </is>
      </c>
      <c r="D19" t="inlineStr">
        <is>
          <t>manufacturing</t>
        </is>
      </c>
      <c r="E19" t="inlineStr">
        <is>
          <t>DCT</t>
        </is>
      </c>
      <c r="F19" t="inlineStr"/>
      <c r="G19" s="50" t="n">
        <v>92.5</v>
      </c>
      <c r="H19" t="inlineStr">
        <is>
          <t>EUR</t>
        </is>
      </c>
      <c r="I19" t="inlineStr">
        <is>
          <t>EUR</t>
        </is>
      </c>
      <c r="J19" s="51" t="n">
        <v>1</v>
      </c>
      <c r="K19" s="50" t="n">
        <v>92.5</v>
      </c>
      <c r="L19" t="inlineStr">
        <is>
          <t>documents</t>
        </is>
      </c>
      <c r="M19" s="52" t="inlineStr">
        <is>
          <t>26-0167</t>
        </is>
      </c>
      <c r="N19" t="inlineStr">
        <is>
          <t>https://drive.google.com/file/d/1KknDEkSlyPD0Pdkhf322Awt1eAP1q8Gk/view?usp=drivesdk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cogs</t>
        </is>
      </c>
      <c r="D20" t="inlineStr">
        <is>
          <t>logistics</t>
        </is>
      </c>
      <c r="E20" t="inlineStr">
        <is>
          <t>GLS</t>
        </is>
      </c>
      <c r="F20" t="inlineStr"/>
      <c r="G20" s="50" t="n">
        <v>12319.26</v>
      </c>
      <c r="H20" t="inlineStr">
        <is>
          <t>EUR</t>
        </is>
      </c>
      <c r="I20" t="inlineStr">
        <is>
          <t>EUR</t>
        </is>
      </c>
      <c r="J20" s="51" t="n">
        <v>1</v>
      </c>
      <c r="K20" s="50" t="n">
        <v>12319.26</v>
      </c>
      <c r="L20" t="inlineStr">
        <is>
          <t>documents</t>
        </is>
      </c>
      <c r="M20" s="52" t="inlineStr">
        <is>
          <t>20260014</t>
        </is>
      </c>
      <c r="N20" t="inlineStr">
        <is>
          <t>https://drive.google.com/file/d/1RtCS-MVwMjJZx5mk-fbeVnp34j-MJNaK/view?usp=drivesdk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technology</t>
        </is>
      </c>
      <c r="E21" t="inlineStr">
        <is>
          <t>GODADDY</t>
        </is>
      </c>
      <c r="F21" t="inlineStr"/>
      <c r="G21" s="50" t="n">
        <v>16.99</v>
      </c>
      <c r="H21" t="inlineStr">
        <is>
          <t>EUR</t>
        </is>
      </c>
      <c r="I21" t="inlineStr">
        <is>
          <t>EUR</t>
        </is>
      </c>
      <c r="J21" s="51" t="n">
        <v>1</v>
      </c>
      <c r="K21" s="50" t="n">
        <v>16.99</v>
      </c>
      <c r="L21" t="inlineStr">
        <is>
          <t>documents</t>
        </is>
      </c>
      <c r="M21" s="52" t="inlineStr">
        <is>
          <t>3984999752</t>
        </is>
      </c>
      <c r="N21" t="inlineStr">
        <is>
          <t>https://drive.google.com/file/d/1Gm9gJDGHIBXQ_WXv2YkF4lyQ6EIMS-DA/view?usp=drivesdk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technology</t>
        </is>
      </c>
      <c r="E22" t="inlineStr">
        <is>
          <t>GODADDY</t>
        </is>
      </c>
      <c r="F22" t="inlineStr"/>
      <c r="G22" s="50" t="n">
        <v>17.24</v>
      </c>
      <c r="H22" t="inlineStr">
        <is>
          <t>EUR</t>
        </is>
      </c>
      <c r="I22" t="inlineStr">
        <is>
          <t>EUR</t>
        </is>
      </c>
      <c r="J22" s="51" t="n">
        <v>1</v>
      </c>
      <c r="K22" s="50" t="n">
        <v>17.24</v>
      </c>
      <c r="L22" t="inlineStr">
        <is>
          <t>documents</t>
        </is>
      </c>
      <c r="M22" s="52" t="inlineStr">
        <is>
          <t>3994794936</t>
        </is>
      </c>
      <c r="N22" t="inlineStr">
        <is>
          <t>https://drive.google.com/file/d/1wr9Nejy--4BUDpyg8riD4WzBFOQ_RYAA/view?usp=drivesdk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opex</t>
        </is>
      </c>
      <c r="D23" t="inlineStr">
        <is>
          <t>marketing</t>
        </is>
      </c>
      <c r="E23" t="inlineStr">
        <is>
          <t>GOOGLEADS</t>
        </is>
      </c>
      <c r="F23" t="inlineStr">
        <is>
          <t>eu</t>
        </is>
      </c>
      <c r="G23" s="50" t="n">
        <v>24746.34</v>
      </c>
      <c r="H23" t="inlineStr">
        <is>
          <t>EUR</t>
        </is>
      </c>
      <c r="I23" t="inlineStr">
        <is>
          <t>EUR</t>
        </is>
      </c>
      <c r="J23" s="51" t="n">
        <v>1</v>
      </c>
      <c r="K23" s="50" t="n">
        <v>24746.34</v>
      </c>
      <c r="L23" t="inlineStr">
        <is>
          <t>documents</t>
        </is>
      </c>
      <c r="M23" s="52" t="inlineStr">
        <is>
          <t>5489506571</t>
        </is>
      </c>
      <c r="N23" t="inlineStr">
        <is>
          <t>https://drive.google.com/file/d/18pxQbj0cm3VVE381utczsaBPUOMg2_rE/view?usp=drivesdk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marketing</t>
        </is>
      </c>
      <c r="E24" t="inlineStr">
        <is>
          <t>GOOGLEADS</t>
        </is>
      </c>
      <c r="F24" t="inlineStr">
        <is>
          <t>uk</t>
        </is>
      </c>
      <c r="G24" s="50" t="n">
        <v>2298.67</v>
      </c>
      <c r="H24" t="inlineStr">
        <is>
          <t>EUR</t>
        </is>
      </c>
      <c r="I24" t="inlineStr">
        <is>
          <t>EUR</t>
        </is>
      </c>
      <c r="J24" s="51" t="n">
        <v>1</v>
      </c>
      <c r="K24" s="50" t="n">
        <v>2298.67</v>
      </c>
      <c r="L24" t="inlineStr">
        <is>
          <t>documents</t>
        </is>
      </c>
      <c r="M24" s="52" t="inlineStr">
        <is>
          <t>5489506571</t>
        </is>
      </c>
      <c r="N24" t="inlineStr">
        <is>
          <t>https://drive.google.com/file/d/18pxQbj0cm3VVE381utczsaBPUOMg2_rE/view?usp=drivesdk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marketing</t>
        </is>
      </c>
      <c r="E25" t="inlineStr">
        <is>
          <t>GOOGLEADS</t>
        </is>
      </c>
      <c r="F25" t="inlineStr">
        <is>
          <t>us</t>
        </is>
      </c>
      <c r="G25" s="50" t="n">
        <v>2119.05</v>
      </c>
      <c r="H25" t="inlineStr">
        <is>
          <t>EUR</t>
        </is>
      </c>
      <c r="I25" t="inlineStr">
        <is>
          <t>EUR</t>
        </is>
      </c>
      <c r="J25" s="51" t="n">
        <v>1</v>
      </c>
      <c r="K25" s="50" t="n">
        <v>2119.05</v>
      </c>
      <c r="L25" t="inlineStr">
        <is>
          <t>documents</t>
        </is>
      </c>
      <c r="M25" s="52" t="inlineStr">
        <is>
          <t>5489506571</t>
        </is>
      </c>
      <c r="N25" t="inlineStr">
        <is>
          <t>https://drive.google.com/file/d/18pxQbj0cm3VVE381utczsaBPUOMg2_rE/view?usp=drivesdk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opex</t>
        </is>
      </c>
      <c r="D26" t="inlineStr">
        <is>
          <t>technology</t>
        </is>
      </c>
      <c r="E26" t="inlineStr">
        <is>
          <t>GOOGLEWORKSPACE</t>
        </is>
      </c>
      <c r="F26" t="inlineStr"/>
      <c r="G26" s="50" t="n">
        <v>194.4</v>
      </c>
      <c r="H26" t="inlineStr">
        <is>
          <t>EUR</t>
        </is>
      </c>
      <c r="I26" t="inlineStr">
        <is>
          <t>EUR</t>
        </is>
      </c>
      <c r="J26" s="51" t="n">
        <v>1</v>
      </c>
      <c r="K26" s="50" t="n">
        <v>194.4</v>
      </c>
      <c r="L26" t="inlineStr">
        <is>
          <t>documents</t>
        </is>
      </c>
      <c r="M26" s="52" t="inlineStr">
        <is>
          <t>5472439457</t>
        </is>
      </c>
      <c r="N26" t="inlineStr">
        <is>
          <t>https://drive.google.com/file/d/1iux2hxJTx8pApkdRTQ8TxrWAycKskSLW/view?usp=drivesdk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opex</t>
        </is>
      </c>
      <c r="D27" t="inlineStr">
        <is>
          <t>technology</t>
        </is>
      </c>
      <c r="E27" t="inlineStr">
        <is>
          <t>GORGIAS</t>
        </is>
      </c>
      <c r="F27" t="inlineStr"/>
      <c r="G27" s="50" t="n">
        <v>201.2</v>
      </c>
      <c r="H27" t="inlineStr">
        <is>
          <t>USD</t>
        </is>
      </c>
      <c r="I27" t="inlineStr">
        <is>
          <t>EUR</t>
        </is>
      </c>
      <c r="J27" s="51" t="n">
        <v>0.83899656</v>
      </c>
      <c r="K27" s="50" t="n">
        <v>168.81</v>
      </c>
      <c r="L27" t="inlineStr">
        <is>
          <t>documents</t>
        </is>
      </c>
      <c r="M27" s="52" t="inlineStr">
        <is>
          <t>INC-01-2026-35934</t>
        </is>
      </c>
      <c r="N27" t="inlineStr">
        <is>
          <t>https://drive.google.com/file/d/1cCVWMZjXH5GZ4KJ7Owu69neJD3Mu8nhQ/view?usp=drivesdk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technology</t>
        </is>
      </c>
      <c r="E28" t="inlineStr">
        <is>
          <t>HETZNER</t>
        </is>
      </c>
      <c r="F28" t="inlineStr"/>
      <c r="G28" s="50" t="n">
        <v>10.9</v>
      </c>
      <c r="H28" t="inlineStr">
        <is>
          <t>EUR</t>
        </is>
      </c>
      <c r="I28" t="inlineStr">
        <is>
          <t>EUR</t>
        </is>
      </c>
      <c r="J28" s="51" t="n">
        <v>1</v>
      </c>
      <c r="K28" s="50" t="n">
        <v>10.9</v>
      </c>
      <c r="L28" t="inlineStr">
        <is>
          <t>documents</t>
        </is>
      </c>
      <c r="M28" s="52" t="inlineStr">
        <is>
          <t>084000638408</t>
        </is>
      </c>
      <c r="N28" t="inlineStr">
        <is>
          <t>https://drive.google.com/file/d/17Q0iOe_5QA4ZC2x9xXn2aAcx-KGeRBqP/view?usp=drivesdk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opex</t>
        </is>
      </c>
      <c r="D29" t="inlineStr">
        <is>
          <t>technology</t>
        </is>
      </c>
      <c r="E29" t="inlineStr">
        <is>
          <t>KONVOAI</t>
        </is>
      </c>
      <c r="F29" t="inlineStr"/>
      <c r="G29" s="50" t="n">
        <v>114.89</v>
      </c>
      <c r="H29" t="inlineStr">
        <is>
          <t>EUR</t>
        </is>
      </c>
      <c r="I29" t="inlineStr">
        <is>
          <t>EUR</t>
        </is>
      </c>
      <c r="J29" s="51" t="n">
        <v>1</v>
      </c>
      <c r="K29" s="50" t="n">
        <v>114.89</v>
      </c>
      <c r="L29" t="inlineStr">
        <is>
          <t>documents</t>
        </is>
      </c>
      <c r="M29" s="52" t="inlineStr">
        <is>
          <t>B5F7DF3C-6721</t>
        </is>
      </c>
      <c r="N29" t="inlineStr">
        <is>
          <t>https://drive.google.com/file/d/1FvjQkV9yZwLwYyh31yDEv4r6Ws9x-Gee/view?usp=drivesdk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opex</t>
        </is>
      </c>
      <c r="D30" t="inlineStr">
        <is>
          <t>technology</t>
        </is>
      </c>
      <c r="E30" t="inlineStr">
        <is>
          <t>KONVOAI</t>
        </is>
      </c>
      <c r="F30" t="inlineStr"/>
      <c r="G30" s="50" t="n">
        <v>339</v>
      </c>
      <c r="H30" t="inlineStr">
        <is>
          <t>EUR</t>
        </is>
      </c>
      <c r="I30" t="inlineStr">
        <is>
          <t>EUR</t>
        </is>
      </c>
      <c r="J30" s="51" t="n">
        <v>1</v>
      </c>
      <c r="K30" s="50" t="n">
        <v>339</v>
      </c>
      <c r="L30" t="inlineStr">
        <is>
          <t>documents</t>
        </is>
      </c>
      <c r="M30" s="52" t="inlineStr">
        <is>
          <t>B5F7DF3C-6940</t>
        </is>
      </c>
      <c r="N30" t="inlineStr">
        <is>
          <t>https://drive.google.com/file/d/1saa91nUMC9fiC166aUrnROE5ZHw8d_r6/view?usp=drivesdk</t>
        </is>
      </c>
    </row>
    <row r="31" ht="12" customHeight="1">
      <c r="A31" t="inlineStr">
        <is>
          <t>202601</t>
        </is>
      </c>
      <c r="B31" t="inlineStr">
        <is>
          <t>SL</t>
        </is>
      </c>
      <c r="C31" t="inlineStr">
        <is>
          <t>opex</t>
        </is>
      </c>
      <c r="D31" t="inlineStr">
        <is>
          <t>technology</t>
        </is>
      </c>
      <c r="E31" t="inlineStr">
        <is>
          <t>MASMOVIL</t>
        </is>
      </c>
      <c r="F31" t="inlineStr"/>
      <c r="G31" s="50" t="n">
        <v>5</v>
      </c>
      <c r="H31" t="inlineStr">
        <is>
          <t>EUR</t>
        </is>
      </c>
      <c r="I31" t="inlineStr">
        <is>
          <t>EUR</t>
        </is>
      </c>
      <c r="J31" s="51" t="n">
        <v>1</v>
      </c>
      <c r="K31" s="50" t="n">
        <v>5</v>
      </c>
      <c r="L31" t="inlineStr">
        <is>
          <t>documents</t>
        </is>
      </c>
      <c r="M31" s="52" t="inlineStr">
        <is>
          <t>MC260001070524</t>
        </is>
      </c>
      <c r="N31" t="inlineStr">
        <is>
          <t>https://drive.google.com/file/d/1Dqpxqnn8K6M513jJX6b-_iaNJoHc9CRf/view?usp=drivesdk</t>
        </is>
      </c>
    </row>
    <row r="32" ht="12" customHeight="1">
      <c r="A32" t="inlineStr">
        <is>
          <t>202601</t>
        </is>
      </c>
      <c r="B32" t="inlineStr">
        <is>
          <t>SL</t>
        </is>
      </c>
      <c r="C32" t="inlineStr">
        <is>
          <t>opex</t>
        </is>
      </c>
      <c r="D32" t="inlineStr">
        <is>
          <t>marketing</t>
        </is>
      </c>
      <c r="E32" t="inlineStr">
        <is>
          <t>METAADS</t>
        </is>
      </c>
      <c r="F32" t="inlineStr">
        <is>
          <t>eu</t>
        </is>
      </c>
      <c r="G32" s="50" t="n">
        <v>20319.32</v>
      </c>
      <c r="H32" t="inlineStr">
        <is>
          <t>EUR</t>
        </is>
      </c>
      <c r="I32" t="inlineStr">
        <is>
          <t>EUR</t>
        </is>
      </c>
      <c r="J32" s="51" t="n">
        <v>1</v>
      </c>
      <c r="K32" s="50" t="n">
        <v>20319.32</v>
      </c>
      <c r="L32" t="inlineStr">
        <is>
          <t>documents</t>
        </is>
      </c>
      <c r="M32" s="52" t="inlineStr">
        <is>
          <t>250807809</t>
        </is>
      </c>
      <c r="N32" t="inlineStr">
        <is>
          <t>https://drive.google.com/file/d/18umjaalA1qWOFkhllNu22AbrnmcOGohV/view?usp=drivesdk</t>
        </is>
      </c>
    </row>
    <row r="33" ht="12" customHeight="1">
      <c r="A33" t="inlineStr">
        <is>
          <t>202601</t>
        </is>
      </c>
      <c r="B33" t="inlineStr">
        <is>
          <t>SL</t>
        </is>
      </c>
      <c r="C33" t="inlineStr">
        <is>
          <t>opex</t>
        </is>
      </c>
      <c r="D33" t="inlineStr">
        <is>
          <t>marketing</t>
        </is>
      </c>
      <c r="E33" t="inlineStr">
        <is>
          <t>METAADS</t>
        </is>
      </c>
      <c r="F33" t="inlineStr">
        <is>
          <t>uk</t>
        </is>
      </c>
      <c r="G33" s="50" t="n">
        <v>3385.46</v>
      </c>
      <c r="H33" t="inlineStr">
        <is>
          <t>EUR</t>
        </is>
      </c>
      <c r="I33" t="inlineStr">
        <is>
          <t>EUR</t>
        </is>
      </c>
      <c r="J33" s="51" t="n">
        <v>1</v>
      </c>
      <c r="K33" s="50" t="n">
        <v>3385.46</v>
      </c>
      <c r="L33" t="inlineStr">
        <is>
          <t>documents</t>
        </is>
      </c>
      <c r="M33" s="52" t="inlineStr">
        <is>
          <t>250807809</t>
        </is>
      </c>
      <c r="N33" t="inlineStr">
        <is>
          <t>https://drive.google.com/file/d/18umjaalA1qWOFkhllNu22AbrnmcOGohV/view?usp=drivesdk</t>
        </is>
      </c>
    </row>
    <row r="34" ht="12" customHeight="1">
      <c r="A34" t="inlineStr">
        <is>
          <t>202601</t>
        </is>
      </c>
      <c r="B34" t="inlineStr">
        <is>
          <t>SL</t>
        </is>
      </c>
      <c r="C34" t="inlineStr">
        <is>
          <t>opex</t>
        </is>
      </c>
      <c r="D34" t="inlineStr">
        <is>
          <t>marketing</t>
        </is>
      </c>
      <c r="E34" t="inlineStr">
        <is>
          <t>METAADS</t>
        </is>
      </c>
      <c r="F34" t="inlineStr">
        <is>
          <t>us</t>
        </is>
      </c>
      <c r="G34" s="50" t="n">
        <v>1779.68</v>
      </c>
      <c r="H34" t="inlineStr">
        <is>
          <t>EUR</t>
        </is>
      </c>
      <c r="I34" t="inlineStr">
        <is>
          <t>EUR</t>
        </is>
      </c>
      <c r="J34" s="51" t="n">
        <v>1</v>
      </c>
      <c r="K34" s="50" t="n">
        <v>1779.68</v>
      </c>
      <c r="L34" t="inlineStr">
        <is>
          <t>documents</t>
        </is>
      </c>
      <c r="M34" s="52" t="inlineStr">
        <is>
          <t>250807809</t>
        </is>
      </c>
      <c r="N34" t="inlineStr">
        <is>
          <t>https://drive.google.com/file/d/18umjaalA1qWOFkhllNu22AbrnmcOGohV/view?usp=drivesdk</t>
        </is>
      </c>
    </row>
    <row r="35" ht="12" customHeight="1">
      <c r="A35" t="inlineStr">
        <is>
          <t>202601</t>
        </is>
      </c>
      <c r="B35" t="inlineStr">
        <is>
          <t>SL</t>
        </is>
      </c>
      <c r="C35" t="inlineStr">
        <is>
          <t>opex</t>
        </is>
      </c>
      <c r="D35" t="inlineStr">
        <is>
          <t>technology</t>
        </is>
      </c>
      <c r="E35" t="inlineStr">
        <is>
          <t>MICROSOFT</t>
        </is>
      </c>
      <c r="F35" t="inlineStr"/>
      <c r="G35" s="50" t="n">
        <v>30.87</v>
      </c>
      <c r="H35" t="inlineStr">
        <is>
          <t>EUR</t>
        </is>
      </c>
      <c r="I35" t="inlineStr">
        <is>
          <t>EUR</t>
        </is>
      </c>
      <c r="J35" s="51" t="n">
        <v>1</v>
      </c>
      <c r="K35" s="50" t="n">
        <v>30.87</v>
      </c>
      <c r="L35" t="inlineStr">
        <is>
          <t>documents</t>
        </is>
      </c>
      <c r="M35" s="52" t="inlineStr">
        <is>
          <t>G135222851</t>
        </is>
      </c>
      <c r="N35" t="inlineStr">
        <is>
          <t>https://drive.google.com/file/d/1YkkVd0CygsXrJ-x-3pub1Sw9g6ZsG1la/view?usp=drivesdk</t>
        </is>
      </c>
    </row>
    <row r="36" ht="12" customHeight="1">
      <c r="A36" t="inlineStr">
        <is>
          <t>202601</t>
        </is>
      </c>
      <c r="B36" t="inlineStr">
        <is>
          <t>SL</t>
        </is>
      </c>
      <c r="C36" t="inlineStr">
        <is>
          <t>opex</t>
        </is>
      </c>
      <c r="D36" t="inlineStr">
        <is>
          <t>technology</t>
        </is>
      </c>
      <c r="E36" t="inlineStr">
        <is>
          <t>MICROSOFT</t>
        </is>
      </c>
      <c r="F36" t="inlineStr"/>
      <c r="G36" s="50" t="n">
        <v>37.6</v>
      </c>
      <c r="H36" t="inlineStr">
        <is>
          <t>EUR</t>
        </is>
      </c>
      <c r="I36" t="inlineStr">
        <is>
          <t>EUR</t>
        </is>
      </c>
      <c r="J36" s="51" t="n">
        <v>1</v>
      </c>
      <c r="K36" s="50" t="n">
        <v>37.6</v>
      </c>
      <c r="L36" t="inlineStr">
        <is>
          <t>documents</t>
        </is>
      </c>
      <c r="M36" s="52" t="inlineStr">
        <is>
          <t>G135908417</t>
        </is>
      </c>
      <c r="N36" t="inlineStr">
        <is>
          <t>https://drive.google.com/file/d/1X74XWbQ0nVaWgQCopQ2tDJAD55vrgHJF/view?usp=drivesdk</t>
        </is>
      </c>
    </row>
    <row r="37" ht="12" customHeight="1">
      <c r="A37" t="inlineStr">
        <is>
          <t>202601</t>
        </is>
      </c>
      <c r="B37" t="inlineStr">
        <is>
          <t>SL</t>
        </is>
      </c>
      <c r="C37" t="inlineStr">
        <is>
          <t>opex</t>
        </is>
      </c>
      <c r="D37" t="inlineStr">
        <is>
          <t>administration</t>
        </is>
      </c>
      <c r="E37" t="inlineStr">
        <is>
          <t>NODA</t>
        </is>
      </c>
      <c r="F37" t="inlineStr"/>
      <c r="G37" s="50" t="n">
        <v>170</v>
      </c>
      <c r="H37" t="inlineStr">
        <is>
          <t>EUR</t>
        </is>
      </c>
      <c r="I37" t="inlineStr">
        <is>
          <t>EUR</t>
        </is>
      </c>
      <c r="J37" s="51" t="n">
        <v>1</v>
      </c>
      <c r="K37" s="50" t="n">
        <v>170</v>
      </c>
      <c r="L37" t="inlineStr">
        <is>
          <t>documents</t>
        </is>
      </c>
      <c r="M37" s="52" t="inlineStr">
        <is>
          <t>020/26</t>
        </is>
      </c>
      <c r="N37" t="inlineStr">
        <is>
          <t>https://drive.google.com/file/d/1qPyUu5142bBXkD-iF2rUjI1dWjKrbRUf/view?usp=drivesdk</t>
        </is>
      </c>
    </row>
    <row r="38" ht="12" customHeight="1">
      <c r="A38" t="inlineStr">
        <is>
          <t>202601</t>
        </is>
      </c>
      <c r="B38" t="inlineStr">
        <is>
          <t>SL</t>
        </is>
      </c>
      <c r="C38" t="inlineStr">
        <is>
          <t>opex</t>
        </is>
      </c>
      <c r="D38" t="inlineStr">
        <is>
          <t>technology</t>
        </is>
      </c>
      <c r="E38" t="inlineStr">
        <is>
          <t>OPENAI</t>
        </is>
      </c>
      <c r="F38" t="inlineStr">
        <is>
          <t>api_usage</t>
        </is>
      </c>
      <c r="G38" s="50" t="n">
        <v>10</v>
      </c>
      <c r="H38" t="inlineStr">
        <is>
          <t>USD</t>
        </is>
      </c>
      <c r="I38" t="inlineStr">
        <is>
          <t>EUR</t>
        </is>
      </c>
      <c r="J38" s="51" t="n">
        <v>0.83899656</v>
      </c>
      <c r="K38" s="50" t="n">
        <v>8.390000000000001</v>
      </c>
      <c r="L38" t="inlineStr">
        <is>
          <t>documents</t>
        </is>
      </c>
      <c r="M38" s="52" t="inlineStr">
        <is>
          <t>BZHJNTUB0001</t>
        </is>
      </c>
      <c r="N38" t="inlineStr">
        <is>
          <t>https://drive.google.com/file/d/1c_a7u0uC_WNkVQzPENEHHzZf2GoRgYzp/view?usp=drivesdk</t>
        </is>
      </c>
    </row>
    <row r="39" ht="12" customHeight="1">
      <c r="A39" t="inlineStr">
        <is>
          <t>202601</t>
        </is>
      </c>
      <c r="B39" t="inlineStr">
        <is>
          <t>SL</t>
        </is>
      </c>
      <c r="C39" t="inlineStr">
        <is>
          <t>opex</t>
        </is>
      </c>
      <c r="D39" t="inlineStr">
        <is>
          <t>technology</t>
        </is>
      </c>
      <c r="E39" t="inlineStr">
        <is>
          <t>OPENAI</t>
        </is>
      </c>
      <c r="F39" t="inlineStr">
        <is>
          <t>chatgpt_plus</t>
        </is>
      </c>
      <c r="G39" s="50" t="n">
        <v>19.01</v>
      </c>
      <c r="H39" t="inlineStr">
        <is>
          <t>EUR</t>
        </is>
      </c>
      <c r="I39" t="inlineStr">
        <is>
          <t>EUR</t>
        </is>
      </c>
      <c r="J39" s="51" t="n">
        <v>1</v>
      </c>
      <c r="K39" s="50" t="n">
        <v>19.01</v>
      </c>
      <c r="L39" t="inlineStr">
        <is>
          <t>documents</t>
        </is>
      </c>
      <c r="M39" s="52" t="inlineStr">
        <is>
          <t>7BSDV5AM0001</t>
        </is>
      </c>
      <c r="N39" t="inlineStr">
        <is>
          <t>https://drive.google.com/file/d/1Z8crn0ZC5tm2cibuFjiaNGAUQ32eDz4H/view?usp=drivesdk</t>
        </is>
      </c>
    </row>
    <row r="40" ht="12" customHeight="1">
      <c r="A40" t="inlineStr">
        <is>
          <t>202601</t>
        </is>
      </c>
      <c r="B40" t="inlineStr">
        <is>
          <t>SL</t>
        </is>
      </c>
      <c r="C40" t="inlineStr">
        <is>
          <t>cogs</t>
        </is>
      </c>
      <c r="D40" t="inlineStr">
        <is>
          <t>manufacturing</t>
        </is>
      </c>
      <c r="E40" t="inlineStr">
        <is>
          <t>PRESSING</t>
        </is>
      </c>
      <c r="F40" t="inlineStr"/>
      <c r="G40" s="50" t="n">
        <v>28979.31</v>
      </c>
      <c r="H40" t="inlineStr">
        <is>
          <t>EUR</t>
        </is>
      </c>
      <c r="I40" t="inlineStr">
        <is>
          <t>EUR</t>
        </is>
      </c>
      <c r="J40" s="51" t="n">
        <v>1</v>
      </c>
      <c r="K40" s="50" t="n">
        <v>28979.31</v>
      </c>
      <c r="L40" t="inlineStr">
        <is>
          <t>documents</t>
        </is>
      </c>
      <c r="M40" s="52" t="inlineStr">
        <is>
          <t>FAC/2026/26100000691</t>
        </is>
      </c>
      <c r="N40" t="inlineStr">
        <is>
          <t>https://drive.google.com/file/d/1OUc0Fa83_INuKCsZQC_juJA8WSWOmU7e/view?usp=drivesdk</t>
        </is>
      </c>
    </row>
    <row r="41" ht="12" customHeight="1">
      <c r="A41" t="inlineStr">
        <is>
          <t>202601</t>
        </is>
      </c>
      <c r="B41" t="inlineStr">
        <is>
          <t>SL</t>
        </is>
      </c>
      <c r="C41" t="inlineStr">
        <is>
          <t>opex</t>
        </is>
      </c>
      <c r="D41" t="inlineStr">
        <is>
          <t>technology</t>
        </is>
      </c>
      <c r="E41" t="inlineStr">
        <is>
          <t>PRODUCTHERO</t>
        </is>
      </c>
      <c r="F41" t="inlineStr"/>
      <c r="G41" s="50" t="n">
        <v>134</v>
      </c>
      <c r="H41" t="inlineStr">
        <is>
          <t>EUR</t>
        </is>
      </c>
      <c r="I41" t="inlineStr">
        <is>
          <t>EUR</t>
        </is>
      </c>
      <c r="J41" s="51" t="n">
        <v>1</v>
      </c>
      <c r="K41" s="50" t="n">
        <v>134</v>
      </c>
      <c r="L41" t="inlineStr">
        <is>
          <t>documents</t>
        </is>
      </c>
      <c r="M41" s="52" t="inlineStr">
        <is>
          <t>205588</t>
        </is>
      </c>
      <c r="N41" t="inlineStr">
        <is>
          <t>https://drive.google.com/file/d/14DyM0O39wOTD_wOQwkZ2nqk44A4Xr0Pd/view?usp=drivesdk</t>
        </is>
      </c>
    </row>
    <row r="42" ht="12" customHeight="1">
      <c r="A42" t="inlineStr">
        <is>
          <t>202601</t>
        </is>
      </c>
      <c r="B42" t="inlineStr">
        <is>
          <t>SL</t>
        </is>
      </c>
      <c r="C42" t="inlineStr">
        <is>
          <t>opex</t>
        </is>
      </c>
      <c r="D42" t="inlineStr">
        <is>
          <t>technology</t>
        </is>
      </c>
      <c r="E42" t="inlineStr">
        <is>
          <t>REVER</t>
        </is>
      </c>
      <c r="F42" t="inlineStr"/>
      <c r="G42" s="50" t="n">
        <v>434.8</v>
      </c>
      <c r="H42" t="inlineStr">
        <is>
          <t>EUR</t>
        </is>
      </c>
      <c r="I42" t="inlineStr">
        <is>
          <t>EUR</t>
        </is>
      </c>
      <c r="J42" s="51" t="n">
        <v>1</v>
      </c>
      <c r="K42" s="50" t="n">
        <v>434.8</v>
      </c>
      <c r="L42" t="inlineStr">
        <is>
          <t>documents</t>
        </is>
      </c>
      <c r="M42" s="52" t="inlineStr">
        <is>
          <t>RVR-16471</t>
        </is>
      </c>
      <c r="N42" t="inlineStr">
        <is>
          <t>https://drive.google.com/file/d/1MOlMl6uaY6n-XUO8ZDVih0oyxqYCdtvw/view?usp=drivesdk</t>
        </is>
      </c>
    </row>
    <row r="43" ht="12" customHeight="1">
      <c r="A43" t="inlineStr">
        <is>
          <t>202601</t>
        </is>
      </c>
      <c r="B43" t="inlineStr">
        <is>
          <t>SL</t>
        </is>
      </c>
      <c r="C43" t="inlineStr">
        <is>
          <t>opex</t>
        </is>
      </c>
      <c r="D43" t="inlineStr">
        <is>
          <t>technology</t>
        </is>
      </c>
      <c r="E43" t="inlineStr">
        <is>
          <t>REVER</t>
        </is>
      </c>
      <c r="F43" t="inlineStr"/>
      <c r="G43" s="50" t="n">
        <v>79</v>
      </c>
      <c r="H43" t="inlineStr">
        <is>
          <t>EUR</t>
        </is>
      </c>
      <c r="I43" t="inlineStr">
        <is>
          <t>EUR</t>
        </is>
      </c>
      <c r="J43" s="51" t="n">
        <v>1</v>
      </c>
      <c r="K43" s="50" t="n">
        <v>79</v>
      </c>
      <c r="L43" t="inlineStr">
        <is>
          <t>documents</t>
        </is>
      </c>
      <c r="M43" s="52" t="inlineStr">
        <is>
          <t>RVR-16823</t>
        </is>
      </c>
      <c r="N43" t="inlineStr">
        <is>
          <t>https://drive.google.com/file/d/15PYo6Nf9Rs0V66jula2uxmSQ1q_sREm9/view?usp=drivesdk</t>
        </is>
      </c>
    </row>
    <row r="44" ht="12" customHeight="1">
      <c r="A44" t="inlineStr">
        <is>
          <t>202601</t>
        </is>
      </c>
      <c r="B44" t="inlineStr">
        <is>
          <t>SL</t>
        </is>
      </c>
      <c r="C44" t="inlineStr">
        <is>
          <t>opex</t>
        </is>
      </c>
      <c r="D44" t="inlineStr">
        <is>
          <t>technology</t>
        </is>
      </c>
      <c r="E44" t="inlineStr">
        <is>
          <t>SHOPIFY</t>
        </is>
      </c>
      <c r="F44" t="inlineStr"/>
      <c r="G44" s="50" t="n">
        <v>2674.4</v>
      </c>
      <c r="H44" t="inlineStr">
        <is>
          <t>USD</t>
        </is>
      </c>
      <c r="I44" t="inlineStr">
        <is>
          <t>EUR</t>
        </is>
      </c>
      <c r="J44" s="51" t="n">
        <v>0.83899656</v>
      </c>
      <c r="K44" s="50" t="n">
        <v>2243.81</v>
      </c>
      <c r="L44" t="inlineStr">
        <is>
          <t>documents</t>
        </is>
      </c>
      <c r="M44" s="52" t="inlineStr">
        <is>
          <t>479105361</t>
        </is>
      </c>
      <c r="N44" t="inlineStr">
        <is>
          <t>https://drive.google.com/file/d/1xcXRJuhK0s-9Giwr-lbqS68FlhkSzTWB/view?usp=drivesdk</t>
        </is>
      </c>
    </row>
    <row r="45" ht="12" customHeight="1">
      <c r="A45" t="inlineStr">
        <is>
          <t>202601</t>
        </is>
      </c>
      <c r="B45" t="inlineStr">
        <is>
          <t>SL</t>
        </is>
      </c>
      <c r="C45" t="inlineStr">
        <is>
          <t>cogs</t>
        </is>
      </c>
      <c r="D45" t="inlineStr">
        <is>
          <t>logistics</t>
        </is>
      </c>
      <c r="E45" t="inlineStr">
        <is>
          <t>SPRINGGDS</t>
        </is>
      </c>
      <c r="F45" t="inlineStr"/>
      <c r="G45" s="50" t="n">
        <v>3.3</v>
      </c>
      <c r="H45" t="inlineStr">
        <is>
          <t>EUR</t>
        </is>
      </c>
      <c r="I45" t="inlineStr">
        <is>
          <t>EUR</t>
        </is>
      </c>
      <c r="J45" s="51" t="n">
        <v>1</v>
      </c>
      <c r="K45" s="50" t="n">
        <v>3.3</v>
      </c>
      <c r="L45" t="inlineStr">
        <is>
          <t>documents</t>
        </is>
      </c>
      <c r="M45" s="52" t="inlineStr">
        <is>
          <t>E2600764</t>
        </is>
      </c>
      <c r="N45" t="inlineStr">
        <is>
          <t>https://drive.google.com/file/d/1VbeIR7bk7enIlMQGnI8ZlR-KDaMoHDKn/view?usp=drivesdk</t>
        </is>
      </c>
    </row>
    <row r="46" ht="12" customHeight="1">
      <c r="A46" t="inlineStr">
        <is>
          <t>202601</t>
        </is>
      </c>
      <c r="B46" t="inlineStr">
        <is>
          <t>SL</t>
        </is>
      </c>
      <c r="C46" t="inlineStr">
        <is>
          <t>opex</t>
        </is>
      </c>
      <c r="D46" t="inlineStr">
        <is>
          <t>administration</t>
        </is>
      </c>
      <c r="E46" t="inlineStr">
        <is>
          <t>TORRAS</t>
        </is>
      </c>
      <c r="F46" t="inlineStr"/>
      <c r="G46" s="50" t="n">
        <v>15</v>
      </c>
      <c r="H46" t="inlineStr">
        <is>
          <t>EUR</t>
        </is>
      </c>
      <c r="I46" t="inlineStr">
        <is>
          <t>EUR</t>
        </is>
      </c>
      <c r="J46" s="51" t="n">
        <v>1</v>
      </c>
      <c r="K46" s="50" t="n">
        <v>15</v>
      </c>
      <c r="L46" t="inlineStr">
        <is>
          <t>documents</t>
        </is>
      </c>
      <c r="M46" s="52" t="inlineStr">
        <is>
          <t>7/186</t>
        </is>
      </c>
      <c r="N46" t="inlineStr">
        <is>
          <t>https://drive.google.com/file/d/1PKaZMRQ1ZsO4JALcKcucZLVdRyUxpOON/view?usp=drivesdk</t>
        </is>
      </c>
    </row>
    <row r="47" ht="12" customHeight="1">
      <c r="A47" t="inlineStr">
        <is>
          <t>202601</t>
        </is>
      </c>
      <c r="B47" t="inlineStr">
        <is>
          <t>SL</t>
        </is>
      </c>
      <c r="C47" t="inlineStr">
        <is>
          <t>cogs</t>
        </is>
      </c>
      <c r="D47" t="inlineStr">
        <is>
          <t>logistics</t>
        </is>
      </c>
      <c r="E47" t="inlineStr">
        <is>
          <t>UPS</t>
        </is>
      </c>
      <c r="F47" t="inlineStr"/>
      <c r="G47" s="50" t="n">
        <v>204.42</v>
      </c>
      <c r="H47" t="inlineStr">
        <is>
          <t>EUR</t>
        </is>
      </c>
      <c r="I47" t="inlineStr">
        <is>
          <t>EUR</t>
        </is>
      </c>
      <c r="J47" s="51" t="n">
        <v>1</v>
      </c>
      <c r="K47" s="50" t="n">
        <v>204.42</v>
      </c>
      <c r="L47" t="inlineStr">
        <is>
          <t>documents</t>
        </is>
      </c>
      <c r="M47" s="52" t="inlineStr">
        <is>
          <t>326821409</t>
        </is>
      </c>
      <c r="N47" t="inlineStr">
        <is>
          <t>https://drive.google.com/file/d/1j2ya4FHybtMpbOwe_dwCTFuK0BuXysGa/view?usp=drivesdk</t>
        </is>
      </c>
    </row>
    <row r="48" ht="12" customHeight="1">
      <c r="A48" t="inlineStr">
        <is>
          <t>202601</t>
        </is>
      </c>
      <c r="B48" t="inlineStr">
        <is>
          <t>SL</t>
        </is>
      </c>
      <c r="C48" t="inlineStr">
        <is>
          <t>cogs</t>
        </is>
      </c>
      <c r="D48" t="inlineStr">
        <is>
          <t>logistics</t>
        </is>
      </c>
      <c r="E48" t="inlineStr">
        <is>
          <t>UPS</t>
        </is>
      </c>
      <c r="F48" t="inlineStr"/>
      <c r="G48" s="50" t="n">
        <v>440.99</v>
      </c>
      <c r="H48" t="inlineStr">
        <is>
          <t>EUR</t>
        </is>
      </c>
      <c r="I48" t="inlineStr">
        <is>
          <t>EUR</t>
        </is>
      </c>
      <c r="J48" s="51" t="n">
        <v>1</v>
      </c>
      <c r="K48" s="50" t="n">
        <v>440.99</v>
      </c>
      <c r="L48" t="inlineStr">
        <is>
          <t>documents</t>
        </is>
      </c>
      <c r="M48" s="52" t="inlineStr">
        <is>
          <t>326838548</t>
        </is>
      </c>
      <c r="N48" t="inlineStr">
        <is>
          <t>https://drive.google.com/file/d/1zXVkELtv1Sfm3Hs-3PVSAH4pEWbvWaOX/view?usp=drivesdk</t>
        </is>
      </c>
    </row>
    <row r="49" ht="12" customHeight="1">
      <c r="A49" t="inlineStr">
        <is>
          <t>202601</t>
        </is>
      </c>
      <c r="B49" t="inlineStr">
        <is>
          <t>SL</t>
        </is>
      </c>
      <c r="C49" t="inlineStr">
        <is>
          <t>cogs</t>
        </is>
      </c>
      <c r="D49" t="inlineStr">
        <is>
          <t>logistics</t>
        </is>
      </c>
      <c r="E49" t="inlineStr">
        <is>
          <t>UPS</t>
        </is>
      </c>
      <c r="F49" t="inlineStr"/>
      <c r="G49" s="50" t="n">
        <v>2253.28</v>
      </c>
      <c r="H49" t="inlineStr">
        <is>
          <t>EUR</t>
        </is>
      </c>
      <c r="I49" t="inlineStr">
        <is>
          <t>EUR</t>
        </is>
      </c>
      <c r="J49" s="51" t="n">
        <v>1</v>
      </c>
      <c r="K49" s="50" t="n">
        <v>2253.28</v>
      </c>
      <c r="L49" t="inlineStr">
        <is>
          <t>documents</t>
        </is>
      </c>
      <c r="M49" s="52" t="inlineStr">
        <is>
          <t>326867966</t>
        </is>
      </c>
      <c r="N49" t="inlineStr">
        <is>
          <t>https://drive.google.com/file/d/1icRXW3dXluuRK-dzvuDcN-maR8sKfRW3/view?usp=drivesdk</t>
        </is>
      </c>
    </row>
    <row r="50" ht="12" customHeight="1">
      <c r="A50" t="inlineStr">
        <is>
          <t>202601</t>
        </is>
      </c>
      <c r="B50" t="inlineStr">
        <is>
          <t>SL</t>
        </is>
      </c>
      <c r="C50" t="inlineStr">
        <is>
          <t>cogs</t>
        </is>
      </c>
      <c r="D50" t="inlineStr">
        <is>
          <t>logistics</t>
        </is>
      </c>
      <c r="E50" t="inlineStr">
        <is>
          <t>UPS</t>
        </is>
      </c>
      <c r="F50" t="inlineStr"/>
      <c r="G50" s="50" t="n">
        <v>602.88</v>
      </c>
      <c r="H50" t="inlineStr">
        <is>
          <t>EUR</t>
        </is>
      </c>
      <c r="I50" t="inlineStr">
        <is>
          <t>EUR</t>
        </is>
      </c>
      <c r="J50" s="51" t="n">
        <v>1</v>
      </c>
      <c r="K50" s="50" t="n">
        <v>602.88</v>
      </c>
      <c r="L50" t="inlineStr">
        <is>
          <t>documents</t>
        </is>
      </c>
      <c r="M50" s="52" t="inlineStr">
        <is>
          <t>326899416</t>
        </is>
      </c>
      <c r="N50" t="inlineStr">
        <is>
          <t>https://drive.google.com/file/d/148ysN83vJtMLS2_lbKu7r5cH1NMHbVNL/view?usp=drivesdk</t>
        </is>
      </c>
    </row>
    <row r="51" ht="12" customHeight="1">
      <c r="A51" t="inlineStr">
        <is>
          <t>202601</t>
        </is>
      </c>
      <c r="B51" t="inlineStr">
        <is>
          <t>SL</t>
        </is>
      </c>
      <c r="C51" t="inlineStr">
        <is>
          <t>cogs</t>
        </is>
      </c>
      <c r="D51" t="inlineStr">
        <is>
          <t>logistics</t>
        </is>
      </c>
      <c r="E51" t="inlineStr">
        <is>
          <t>UPS</t>
        </is>
      </c>
      <c r="F51" t="inlineStr"/>
      <c r="G51" s="50" t="n">
        <v>604.6</v>
      </c>
      <c r="H51" t="inlineStr">
        <is>
          <t>EUR</t>
        </is>
      </c>
      <c r="I51" t="inlineStr">
        <is>
          <t>EUR</t>
        </is>
      </c>
      <c r="J51" s="51" t="n">
        <v>1</v>
      </c>
      <c r="K51" s="50" t="n">
        <v>604.6</v>
      </c>
      <c r="L51" t="inlineStr">
        <is>
          <t>documents</t>
        </is>
      </c>
      <c r="M51" s="52" t="inlineStr">
        <is>
          <t>326966374</t>
        </is>
      </c>
      <c r="N51" t="inlineStr">
        <is>
          <t>https://drive.google.com/file/d/1P3C1c_Df7dkPtnnAevEEMApNVP550O_O/view?usp=drivesdk</t>
        </is>
      </c>
    </row>
    <row r="52" ht="12" customHeight="1">
      <c r="A52" t="inlineStr">
        <is>
          <t>202601</t>
        </is>
      </c>
      <c r="B52" t="inlineStr">
        <is>
          <t>SL</t>
        </is>
      </c>
      <c r="C52" t="inlineStr">
        <is>
          <t>cogs</t>
        </is>
      </c>
      <c r="D52" t="inlineStr">
        <is>
          <t>logistics</t>
        </is>
      </c>
      <c r="E52" t="inlineStr">
        <is>
          <t>UPS</t>
        </is>
      </c>
      <c r="F52" t="inlineStr"/>
      <c r="G52" s="50" t="n">
        <v>57.25</v>
      </c>
      <c r="H52" t="inlineStr">
        <is>
          <t>EUR</t>
        </is>
      </c>
      <c r="I52" t="inlineStr">
        <is>
          <t>EUR</t>
        </is>
      </c>
      <c r="J52" s="51" t="n">
        <v>1</v>
      </c>
      <c r="K52" s="50" t="n">
        <v>57.25</v>
      </c>
      <c r="L52" t="inlineStr">
        <is>
          <t>documents</t>
        </is>
      </c>
      <c r="M52" s="52" t="inlineStr">
        <is>
          <t>837858124</t>
        </is>
      </c>
      <c r="N52" t="inlineStr">
        <is>
          <t>https://drive.google.com/file/d/1I3WwwPF0JqyQdA18mDR4k4jmM8MZ-34b/view?usp=drivesdk</t>
        </is>
      </c>
    </row>
    <row r="53" ht="12" customHeight="1">
      <c r="A53" t="inlineStr">
        <is>
          <t>202601</t>
        </is>
      </c>
      <c r="B53" t="inlineStr">
        <is>
          <t>SL</t>
        </is>
      </c>
      <c r="C53" t="inlineStr">
        <is>
          <t>cogs</t>
        </is>
      </c>
      <c r="D53" t="inlineStr">
        <is>
          <t>logistics</t>
        </is>
      </c>
      <c r="E53" t="inlineStr">
        <is>
          <t>UPS</t>
        </is>
      </c>
      <c r="F53" t="inlineStr"/>
      <c r="G53" s="50" t="n">
        <v>14.96</v>
      </c>
      <c r="H53" t="inlineStr">
        <is>
          <t>EUR</t>
        </is>
      </c>
      <c r="I53" t="inlineStr">
        <is>
          <t>EUR</t>
        </is>
      </c>
      <c r="J53" s="51" t="n">
        <v>1</v>
      </c>
      <c r="K53" s="50" t="n">
        <v>14.96</v>
      </c>
      <c r="L53" t="inlineStr">
        <is>
          <t>documents</t>
        </is>
      </c>
      <c r="M53" s="52" t="inlineStr">
        <is>
          <t>837882632</t>
        </is>
      </c>
      <c r="N53" t="inlineStr">
        <is>
          <t>https://drive.google.com/file/d/1iayAhp3nvlv4ajwf9Cp6C3s4OQi-rpMN/view?usp=drivesdk</t>
        </is>
      </c>
    </row>
    <row r="54" ht="12" customHeight="1">
      <c r="A54" t="inlineStr">
        <is>
          <t>202601</t>
        </is>
      </c>
      <c r="B54" t="inlineStr">
        <is>
          <t>SL</t>
        </is>
      </c>
      <c r="C54" t="inlineStr">
        <is>
          <t>cogs</t>
        </is>
      </c>
      <c r="D54" t="inlineStr">
        <is>
          <t>logistics</t>
        </is>
      </c>
      <c r="E54" t="inlineStr">
        <is>
          <t>UPS</t>
        </is>
      </c>
      <c r="F54" t="inlineStr"/>
      <c r="G54" s="50" t="n">
        <v>5.04</v>
      </c>
      <c r="H54" t="inlineStr">
        <is>
          <t>EUR</t>
        </is>
      </c>
      <c r="I54" t="inlineStr">
        <is>
          <t>EUR</t>
        </is>
      </c>
      <c r="J54" s="51" t="n">
        <v>1</v>
      </c>
      <c r="K54" s="50" t="n">
        <v>5.04</v>
      </c>
      <c r="L54" t="inlineStr">
        <is>
          <t>documents</t>
        </is>
      </c>
      <c r="M54" s="52" t="inlineStr">
        <is>
          <t>837917747</t>
        </is>
      </c>
      <c r="N54" t="inlineStr">
        <is>
          <t>https://drive.google.com/file/d/11mh2NdZI0VULVE09eg0fTaW_8G7fyWkg/view?usp=drivesdk</t>
        </is>
      </c>
    </row>
    <row r="55" ht="12" customHeight="1">
      <c r="A55" t="inlineStr">
        <is>
          <t>202601</t>
        </is>
      </c>
      <c r="B55" t="inlineStr">
        <is>
          <t>SL</t>
        </is>
      </c>
      <c r="C55" t="inlineStr">
        <is>
          <t>cogs</t>
        </is>
      </c>
      <c r="D55" t="inlineStr">
        <is>
          <t>logistics</t>
        </is>
      </c>
      <c r="E55" t="inlineStr">
        <is>
          <t>UPS</t>
        </is>
      </c>
      <c r="F55" t="inlineStr"/>
      <c r="G55" s="50" t="n">
        <v>12.81</v>
      </c>
      <c r="H55" t="inlineStr">
        <is>
          <t>EUR</t>
        </is>
      </c>
      <c r="I55" t="inlineStr">
        <is>
          <t>EUR</t>
        </is>
      </c>
      <c r="J55" s="51" t="n">
        <v>1</v>
      </c>
      <c r="K55" s="50" t="n">
        <v>12.81</v>
      </c>
      <c r="L55" t="inlineStr">
        <is>
          <t>documents</t>
        </is>
      </c>
      <c r="M55" s="52" t="inlineStr">
        <is>
          <t>837954641</t>
        </is>
      </c>
      <c r="N55" t="inlineStr">
        <is>
          <t>https://drive.google.com/file/d/1Hk8kIqp-95Akk1GsQde0mmkisvp1vUic/view?usp=drivesdk</t>
        </is>
      </c>
    </row>
    <row r="56" ht="12" customHeight="1">
      <c r="A56" t="inlineStr">
        <is>
          <t>202601</t>
        </is>
      </c>
      <c r="B56" t="inlineStr">
        <is>
          <t>SL</t>
        </is>
      </c>
      <c r="C56" t="inlineStr">
        <is>
          <t>cogs</t>
        </is>
      </c>
      <c r="D56" t="inlineStr">
        <is>
          <t>logistics</t>
        </is>
      </c>
      <c r="E56" t="inlineStr">
        <is>
          <t>UPS</t>
        </is>
      </c>
      <c r="F56" t="inlineStr"/>
      <c r="G56" s="50" t="n">
        <v>10.46</v>
      </c>
      <c r="H56" t="inlineStr">
        <is>
          <t>EUR</t>
        </is>
      </c>
      <c r="I56" t="inlineStr">
        <is>
          <t>EUR</t>
        </is>
      </c>
      <c r="J56" s="51" t="n">
        <v>1</v>
      </c>
      <c r="K56" s="50" t="n">
        <v>10.46</v>
      </c>
      <c r="L56" t="inlineStr">
        <is>
          <t>documents</t>
        </is>
      </c>
      <c r="M56" s="52" t="inlineStr">
        <is>
          <t>837993499</t>
        </is>
      </c>
      <c r="N56" t="inlineStr">
        <is>
          <t>https://drive.google.com/file/d/1p1JLbXly83gPcOqdBiZfX0WvuqP5ZBhv/view?usp=drivesdk</t>
        </is>
      </c>
    </row>
    <row r="57" ht="12" customHeight="1">
      <c r="A57" t="inlineStr">
        <is>
          <t>202601</t>
        </is>
      </c>
      <c r="B57" t="inlineStr">
        <is>
          <t>SL</t>
        </is>
      </c>
      <c r="C57" t="inlineStr">
        <is>
          <t>cogs</t>
        </is>
      </c>
      <c r="D57" t="inlineStr">
        <is>
          <t>logistics</t>
        </is>
      </c>
      <c r="E57" t="inlineStr">
        <is>
          <t>UPS</t>
        </is>
      </c>
      <c r="F57" t="inlineStr"/>
      <c r="G57" s="50" t="n">
        <v>98.86</v>
      </c>
      <c r="H57" t="inlineStr">
        <is>
          <t>EUR</t>
        </is>
      </c>
      <c r="I57" t="inlineStr">
        <is>
          <t>EUR</t>
        </is>
      </c>
      <c r="J57" s="51" t="n">
        <v>1</v>
      </c>
      <c r="K57" s="50" t="n">
        <v>98.86</v>
      </c>
      <c r="L57" t="inlineStr">
        <is>
          <t>documents</t>
        </is>
      </c>
      <c r="M57" s="52" t="inlineStr">
        <is>
          <t>838043671</t>
        </is>
      </c>
      <c r="N57" t="inlineStr">
        <is>
          <t>https://drive.google.com/file/d/1rom4VLbflbUgw0GzIGfwfWAceAGqsDve/view?usp=drivesdk</t>
        </is>
      </c>
    </row>
    <row r="58" ht="12" customHeight="1">
      <c r="A58" t="inlineStr">
        <is>
          <t>202601</t>
        </is>
      </c>
      <c r="B58" t="inlineStr">
        <is>
          <t>SL</t>
        </is>
      </c>
      <c r="C58" t="inlineStr">
        <is>
          <t>opex</t>
        </is>
      </c>
      <c r="D58" t="inlineStr">
        <is>
          <t>technology</t>
        </is>
      </c>
      <c r="E58" t="inlineStr">
        <is>
          <t>YUMAAI</t>
        </is>
      </c>
      <c r="F58" t="inlineStr"/>
      <c r="G58" s="50" t="n">
        <v>507.2</v>
      </c>
      <c r="H58" t="inlineStr">
        <is>
          <t>EUR</t>
        </is>
      </c>
      <c r="I58" t="inlineStr">
        <is>
          <t>EUR</t>
        </is>
      </c>
      <c r="J58" s="51" t="n">
        <v>1</v>
      </c>
      <c r="K58" s="50" t="n">
        <v>507.2</v>
      </c>
      <c r="L58" t="inlineStr">
        <is>
          <t>documents</t>
        </is>
      </c>
      <c r="M58" s="52" t="inlineStr">
        <is>
          <t>OQXBYXMP-0004</t>
        </is>
      </c>
      <c r="N58" t="inlineStr">
        <is>
          <t>https://drive.google.com/file/d/1la8-DKsyw-txh4_Z2nzrkJVhivR6U6M2/view?usp=drivesdk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opex</t>
        </is>
      </c>
      <c r="D59" t="inlineStr">
        <is>
          <t>administration</t>
        </is>
      </c>
      <c r="E59" t="inlineStr">
        <is>
          <t>ADEPLUS</t>
        </is>
      </c>
      <c r="F59" t="inlineStr"/>
      <c r="G59" s="50" t="n">
        <v>309.02</v>
      </c>
      <c r="H59" t="inlineStr">
        <is>
          <t>EUR</t>
        </is>
      </c>
      <c r="I59" t="inlineStr">
        <is>
          <t>EUR</t>
        </is>
      </c>
      <c r="J59" s="51" t="n">
        <v>1</v>
      </c>
      <c r="K59" s="50" t="n">
        <v>309.02</v>
      </c>
      <c r="L59" t="inlineStr">
        <is>
          <t>documents</t>
        </is>
      </c>
      <c r="M59" s="52" t="inlineStr">
        <is>
          <t>IFC2602-00689</t>
        </is>
      </c>
      <c r="N59" t="inlineStr">
        <is>
          <t>https://drive.google.com/file/d/1Q01w19CaQwCYwshExpbnKigbbpkdYcRF/view?usp=drivesdk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opex</t>
        </is>
      </c>
      <c r="D60" t="inlineStr">
        <is>
          <t>technology</t>
        </is>
      </c>
      <c r="E60" t="inlineStr">
        <is>
          <t>ADOBE</t>
        </is>
      </c>
      <c r="F60" t="inlineStr"/>
      <c r="G60" s="50" t="n">
        <v>33.49</v>
      </c>
      <c r="H60" t="inlineStr">
        <is>
          <t>EUR</t>
        </is>
      </c>
      <c r="I60" t="inlineStr">
        <is>
          <t>EUR</t>
        </is>
      </c>
      <c r="J60" s="51" t="n">
        <v>1</v>
      </c>
      <c r="K60" s="50" t="n">
        <v>33.49</v>
      </c>
      <c r="L60" t="inlineStr">
        <is>
          <t>documents</t>
        </is>
      </c>
      <c r="M60" s="52" t="inlineStr">
        <is>
          <t>IEE2026003947036</t>
        </is>
      </c>
      <c r="N60" t="inlineStr">
        <is>
          <t>https://drive.google.com/file/d/1CkpniiuuecmyeP38MmkWhzUPj8iF7tyN/view?usp=drivesdk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cogs</t>
        </is>
      </c>
      <c r="D61" t="inlineStr">
        <is>
          <t>manufacturing</t>
        </is>
      </c>
      <c r="E61" t="inlineStr">
        <is>
          <t>APPHOTOCAN</t>
        </is>
      </c>
      <c r="F61" t="inlineStr"/>
      <c r="G61" s="50" t="n">
        <v>59.84</v>
      </c>
      <c r="H61" t="inlineStr">
        <is>
          <t>EUR</t>
        </is>
      </c>
      <c r="I61" t="inlineStr">
        <is>
          <t>EUR</t>
        </is>
      </c>
      <c r="J61" s="51" t="n">
        <v>1</v>
      </c>
      <c r="K61" s="50" t="n">
        <v>59.84</v>
      </c>
      <c r="L61" t="inlineStr">
        <is>
          <t>documents</t>
        </is>
      </c>
      <c r="M61" s="52" t="inlineStr">
        <is>
          <t>26-1-377</t>
        </is>
      </c>
      <c r="N61" t="inlineStr">
        <is>
          <t>https://drive.google.com/file/d/1U-mcMTxSs8WKlovQ9_HAwLEU39hou9sQ/view?usp=drivesdk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cogs</t>
        </is>
      </c>
      <c r="D62" t="inlineStr">
        <is>
          <t>manufacturing</t>
        </is>
      </c>
      <c r="E62" t="inlineStr">
        <is>
          <t>APPHOTOES</t>
        </is>
      </c>
      <c r="F62" t="inlineStr"/>
      <c r="G62" s="50" t="n">
        <v>761.54</v>
      </c>
      <c r="H62" t="inlineStr">
        <is>
          <t>EUR</t>
        </is>
      </c>
      <c r="I62" t="inlineStr">
        <is>
          <t>EUR</t>
        </is>
      </c>
      <c r="J62" s="51" t="n">
        <v>1</v>
      </c>
      <c r="K62" s="50" t="n">
        <v>761.54</v>
      </c>
      <c r="L62" t="inlineStr">
        <is>
          <t>documents</t>
        </is>
      </c>
      <c r="M62" s="52" t="inlineStr">
        <is>
          <t>1-1413</t>
        </is>
      </c>
      <c r="N62" t="inlineStr">
        <is>
          <t>https://drive.google.com/file/d/1i1KIDpqSuLOk5KfVZf0GwoQN3ddbzHi4/view?usp=drivesdk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cogs</t>
        </is>
      </c>
      <c r="D63" t="inlineStr">
        <is>
          <t>manufacturing</t>
        </is>
      </c>
      <c r="E63" t="inlineStr">
        <is>
          <t>APPHOTOES</t>
        </is>
      </c>
      <c r="F63" t="inlineStr"/>
      <c r="G63" s="50" t="n">
        <v>4679.01</v>
      </c>
      <c r="H63" t="inlineStr">
        <is>
          <t>EUR</t>
        </is>
      </c>
      <c r="I63" t="inlineStr">
        <is>
          <t>EUR</t>
        </is>
      </c>
      <c r="J63" s="51" t="n">
        <v>1</v>
      </c>
      <c r="K63" s="50" t="n">
        <v>4679.01</v>
      </c>
      <c r="L63" t="inlineStr">
        <is>
          <t>documents</t>
        </is>
      </c>
      <c r="M63" s="52" t="inlineStr">
        <is>
          <t>1-1578</t>
        </is>
      </c>
      <c r="N63" t="inlineStr">
        <is>
          <t>https://drive.google.com/file/d/1aVT0Kp1FXhiwKuldPvpR5jmS_HrroAcz/view?usp=drivesdk</t>
        </is>
      </c>
    </row>
    <row r="64" ht="12" customHeight="1">
      <c r="A64" t="inlineStr">
        <is>
          <t>202602</t>
        </is>
      </c>
      <c r="B64" t="inlineStr">
        <is>
          <t>SL</t>
        </is>
      </c>
      <c r="C64" t="inlineStr">
        <is>
          <t>cogs</t>
        </is>
      </c>
      <c r="D64" t="inlineStr">
        <is>
          <t>manufacturing</t>
        </is>
      </c>
      <c r="E64" t="inlineStr">
        <is>
          <t>APPHOTOES</t>
        </is>
      </c>
      <c r="F64" t="inlineStr"/>
      <c r="G64" s="50" t="n">
        <v>4387.66</v>
      </c>
      <c r="H64" t="inlineStr">
        <is>
          <t>EUR</t>
        </is>
      </c>
      <c r="I64" t="inlineStr">
        <is>
          <t>EUR</t>
        </is>
      </c>
      <c r="J64" s="51" t="n">
        <v>1</v>
      </c>
      <c r="K64" s="50" t="n">
        <v>4387.66</v>
      </c>
      <c r="L64" t="inlineStr">
        <is>
          <t>documents</t>
        </is>
      </c>
      <c r="M64" s="52" t="inlineStr">
        <is>
          <t>1-1960</t>
        </is>
      </c>
      <c r="N64" t="inlineStr">
        <is>
          <t>https://drive.google.com/file/d/1c3rAE8MZ72DBnTA6LZZqeHMMgZkJtDwC/view?usp=drivesdk</t>
        </is>
      </c>
    </row>
    <row r="65" ht="12" customHeight="1">
      <c r="A65" t="inlineStr">
        <is>
          <t>202602</t>
        </is>
      </c>
      <c r="B65" t="inlineStr">
        <is>
          <t>SL</t>
        </is>
      </c>
      <c r="C65" t="inlineStr">
        <is>
          <t>cogs</t>
        </is>
      </c>
      <c r="D65" t="inlineStr">
        <is>
          <t>manufacturing</t>
        </is>
      </c>
      <c r="E65" t="inlineStr">
        <is>
          <t>APPHOTOES</t>
        </is>
      </c>
      <c r="F65" t="inlineStr"/>
      <c r="G65" s="50" t="n">
        <v>1523.96</v>
      </c>
      <c r="H65" t="inlineStr">
        <is>
          <t>EUR</t>
        </is>
      </c>
      <c r="I65" t="inlineStr">
        <is>
          <t>EUR</t>
        </is>
      </c>
      <c r="J65" s="51" t="n">
        <v>1</v>
      </c>
      <c r="K65" s="50" t="n">
        <v>1523.96</v>
      </c>
      <c r="L65" t="inlineStr">
        <is>
          <t>documents</t>
        </is>
      </c>
      <c r="M65" s="52" t="inlineStr">
        <is>
          <t>1-2275</t>
        </is>
      </c>
      <c r="N65" t="inlineStr">
        <is>
          <t>https://drive.google.com/file/d/1hZiPKVEudy0sryGytMftZTSO75OBheV_/view?usp=drivesdk</t>
        </is>
      </c>
    </row>
    <row r="66" ht="12" customHeight="1">
      <c r="A66" t="inlineStr">
        <is>
          <t>202602</t>
        </is>
      </c>
      <c r="B66" t="inlineStr">
        <is>
          <t>SL</t>
        </is>
      </c>
      <c r="C66" t="inlineStr">
        <is>
          <t>cogs</t>
        </is>
      </c>
      <c r="D66" t="inlineStr">
        <is>
          <t>manufacturing</t>
        </is>
      </c>
      <c r="E66" t="inlineStr">
        <is>
          <t>APPHOTOES</t>
        </is>
      </c>
      <c r="F66" t="inlineStr"/>
      <c r="G66" s="50" t="n">
        <v>4898.31</v>
      </c>
      <c r="H66" t="inlineStr">
        <is>
          <t>EUR</t>
        </is>
      </c>
      <c r="I66" t="inlineStr">
        <is>
          <t>EUR</t>
        </is>
      </c>
      <c r="J66" s="51" t="n">
        <v>1</v>
      </c>
      <c r="K66" s="50" t="n">
        <v>4898.31</v>
      </c>
      <c r="L66" t="inlineStr">
        <is>
          <t>documents</t>
        </is>
      </c>
      <c r="M66" s="52" t="inlineStr">
        <is>
          <t>1-2355</t>
        </is>
      </c>
      <c r="N66" t="inlineStr">
        <is>
          <t>https://drive.google.com/file/d/1aXemXVZg0sBlWBgHV0_QAg0jVjv1bksN/view?usp=drivesdk</t>
        </is>
      </c>
    </row>
    <row r="67" ht="12" customHeight="1">
      <c r="A67" t="inlineStr">
        <is>
          <t>202602</t>
        </is>
      </c>
      <c r="B67" t="inlineStr">
        <is>
          <t>SL</t>
        </is>
      </c>
      <c r="C67" t="inlineStr">
        <is>
          <t>cogs</t>
        </is>
      </c>
      <c r="D67" t="inlineStr">
        <is>
          <t>manufacturing</t>
        </is>
      </c>
      <c r="E67" t="inlineStr">
        <is>
          <t>APPHOTOES</t>
        </is>
      </c>
      <c r="F67" t="inlineStr"/>
      <c r="G67" s="50" t="n">
        <v>975.1900000000001</v>
      </c>
      <c r="H67" t="inlineStr">
        <is>
          <t>EUR</t>
        </is>
      </c>
      <c r="I67" t="inlineStr">
        <is>
          <t>EUR</t>
        </is>
      </c>
      <c r="J67" s="51" t="n">
        <v>1</v>
      </c>
      <c r="K67" s="50" t="n">
        <v>975.1900000000001</v>
      </c>
      <c r="L67" t="inlineStr">
        <is>
          <t>documents</t>
        </is>
      </c>
      <c r="M67" s="52" t="inlineStr">
        <is>
          <t>1-2471</t>
        </is>
      </c>
      <c r="N67" t="inlineStr">
        <is>
          <t>https://drive.google.com/file/d/1vWJy2P4bu0ZZHbeutrY9ydZYIScfPKex/view?usp=drivesdk</t>
        </is>
      </c>
    </row>
    <row r="68" ht="12" customHeight="1">
      <c r="A68" t="inlineStr">
        <is>
          <t>202602</t>
        </is>
      </c>
      <c r="B68" t="inlineStr">
        <is>
          <t>SL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APPHOTOES</t>
        </is>
      </c>
      <c r="F68" t="inlineStr"/>
      <c r="G68" s="50" t="n">
        <v>5761.46</v>
      </c>
      <c r="H68" t="inlineStr">
        <is>
          <t>EUR</t>
        </is>
      </c>
      <c r="I68" t="inlineStr">
        <is>
          <t>EUR</t>
        </is>
      </c>
      <c r="J68" s="51" t="n">
        <v>1</v>
      </c>
      <c r="K68" s="50" t="n">
        <v>5761.46</v>
      </c>
      <c r="L68" t="inlineStr">
        <is>
          <t>documents</t>
        </is>
      </c>
      <c r="M68" s="52" t="inlineStr">
        <is>
          <t>1-2675</t>
        </is>
      </c>
      <c r="N68" t="inlineStr">
        <is>
          <t>https://drive.google.com/file/d/1OPWZpghAzzfVFLFx4iBRHO4-0daxuz20/view?usp=drivesdk</t>
        </is>
      </c>
    </row>
    <row r="69" ht="12" customHeight="1">
      <c r="A69" t="inlineStr">
        <is>
          <t>202602</t>
        </is>
      </c>
      <c r="B69" t="inlineStr">
        <is>
          <t>SL</t>
        </is>
      </c>
      <c r="C69" t="inlineStr">
        <is>
          <t>opex</t>
        </is>
      </c>
      <c r="D69" t="inlineStr">
        <is>
          <t>administration</t>
        </is>
      </c>
      <c r="E69" t="inlineStr">
        <is>
          <t>BBVACNC</t>
        </is>
      </c>
      <c r="F69" t="inlineStr"/>
      <c r="G69" s="50" t="n">
        <v>1644.62</v>
      </c>
      <c r="H69" t="inlineStr">
        <is>
          <t>EUR</t>
        </is>
      </c>
      <c r="I69" t="inlineStr">
        <is>
          <t>EUR</t>
        </is>
      </c>
      <c r="J69" s="51" t="n">
        <v>1</v>
      </c>
      <c r="K69" s="50" t="n">
        <v>1644.62</v>
      </c>
      <c r="L69" t="inlineStr">
        <is>
          <t>documents</t>
        </is>
      </c>
      <c r="M69" s="52" t="inlineStr">
        <is>
          <t>260992A00059603</t>
        </is>
      </c>
      <c r="N69" t="inlineStr">
        <is>
          <t>https://drive.google.com/file/d/1dHZmyEU31XVQo0HzAXqqQdVHVk8JtKKt/view?usp=drivesdk</t>
        </is>
      </c>
    </row>
    <row r="70" ht="12" customHeight="1">
      <c r="A70" t="inlineStr">
        <is>
          <t>202602</t>
        </is>
      </c>
      <c r="B70" t="inlineStr">
        <is>
          <t>SL</t>
        </is>
      </c>
      <c r="C70" t="inlineStr">
        <is>
          <t>opex</t>
        </is>
      </c>
      <c r="D70" t="inlineStr">
        <is>
          <t>technology</t>
        </is>
      </c>
      <c r="E70" t="inlineStr">
        <is>
          <t>CANVA</t>
        </is>
      </c>
      <c r="F70" t="inlineStr"/>
      <c r="G70" s="50" t="n">
        <v>9.91</v>
      </c>
      <c r="H70" t="inlineStr">
        <is>
          <t>EUR</t>
        </is>
      </c>
      <c r="I70" t="inlineStr">
        <is>
          <t>EUR</t>
        </is>
      </c>
      <c r="J70" s="51" t="n">
        <v>1</v>
      </c>
      <c r="K70" s="50" t="n">
        <v>9.91</v>
      </c>
      <c r="L70" t="inlineStr">
        <is>
          <t>documents</t>
        </is>
      </c>
      <c r="M70" s="52" t="inlineStr">
        <is>
          <t>04796-33900634</t>
        </is>
      </c>
      <c r="N70" t="inlineStr">
        <is>
          <t>https://drive.google.com/file/d/1dEu5a12XOSJxoPOd8AIxLplDtcRjC5z9/view?usp=drivesdk</t>
        </is>
      </c>
    </row>
    <row r="71" ht="12" customHeight="1">
      <c r="A71" t="inlineStr">
        <is>
          <t>202602</t>
        </is>
      </c>
      <c r="B71" t="inlineStr">
        <is>
          <t>SL</t>
        </is>
      </c>
      <c r="C71" t="inlineStr">
        <is>
          <t>opex</t>
        </is>
      </c>
      <c r="D71" t="inlineStr">
        <is>
          <t>administration</t>
        </is>
      </c>
      <c r="E71" t="inlineStr">
        <is>
          <t>CLARIS</t>
        </is>
      </c>
      <c r="F71" t="inlineStr"/>
      <c r="G71" s="50" t="n">
        <v>808.08</v>
      </c>
      <c r="H71" t="inlineStr">
        <is>
          <t>EUR</t>
        </is>
      </c>
      <c r="I71" t="inlineStr">
        <is>
          <t>EUR</t>
        </is>
      </c>
      <c r="J71" s="51" t="n">
        <v>1</v>
      </c>
      <c r="K71" s="50" t="n">
        <v>808.08</v>
      </c>
      <c r="L71" t="inlineStr">
        <is>
          <t>documents</t>
        </is>
      </c>
      <c r="M71" s="52" t="inlineStr">
        <is>
          <t>F00299/26</t>
        </is>
      </c>
      <c r="N71" t="inlineStr">
        <is>
          <t>https://drive.google.com/file/d/1wkA555zHmi_P1F3K0yzi2R1ybg40M_IH/view?usp=drivesdk</t>
        </is>
      </c>
    </row>
    <row r="72" ht="12" customHeight="1">
      <c r="A72" t="inlineStr">
        <is>
          <t>202602</t>
        </is>
      </c>
      <c r="B72" t="inlineStr">
        <is>
          <t>SL</t>
        </is>
      </c>
      <c r="C72" t="inlineStr">
        <is>
          <t>cogs</t>
        </is>
      </c>
      <c r="D72" t="inlineStr">
        <is>
          <t>logistics</t>
        </is>
      </c>
      <c r="E72" t="inlineStr">
        <is>
          <t>CORREOS</t>
        </is>
      </c>
      <c r="F72" t="inlineStr"/>
      <c r="G72" s="50" t="n">
        <v>96.77</v>
      </c>
      <c r="H72" t="inlineStr">
        <is>
          <t>EUR</t>
        </is>
      </c>
      <c r="I72" t="inlineStr">
        <is>
          <t>EUR</t>
        </is>
      </c>
      <c r="J72" s="51" t="n">
        <v>1</v>
      </c>
      <c r="K72" s="50" t="n">
        <v>96.77</v>
      </c>
      <c r="L72" t="inlineStr">
        <is>
          <t>documents</t>
        </is>
      </c>
      <c r="M72" s="52" t="inlineStr">
        <is>
          <t>4004608215</t>
        </is>
      </c>
      <c r="N72" t="inlineStr">
        <is>
          <t>https://drive.google.com/file/d/1Bu6kn877nOS0BSzL7ECg9Z62seXoHaCe/view?usp=drivesdk</t>
        </is>
      </c>
    </row>
    <row r="73" ht="12" customHeight="1">
      <c r="A73" t="inlineStr">
        <is>
          <t>202602</t>
        </is>
      </c>
      <c r="B73" t="inlineStr">
        <is>
          <t>SL</t>
        </is>
      </c>
      <c r="C73" t="inlineStr">
        <is>
          <t>cogs</t>
        </is>
      </c>
      <c r="D73" t="inlineStr">
        <is>
          <t>logistics</t>
        </is>
      </c>
      <c r="E73" t="inlineStr">
        <is>
          <t>CORREOSCAN</t>
        </is>
      </c>
      <c r="F73" t="inlineStr"/>
      <c r="G73" s="50" t="n">
        <v>16.45</v>
      </c>
      <c r="H73" t="inlineStr">
        <is>
          <t>EUR</t>
        </is>
      </c>
      <c r="I73" t="inlineStr">
        <is>
          <t>EUR</t>
        </is>
      </c>
      <c r="J73" s="51" t="n">
        <v>1</v>
      </c>
      <c r="K73" s="50" t="n">
        <v>16.45</v>
      </c>
      <c r="L73" t="inlineStr">
        <is>
          <t>documents</t>
        </is>
      </c>
      <c r="M73" s="52" t="inlineStr">
        <is>
          <t>4004608216</t>
        </is>
      </c>
      <c r="N73" t="inlineStr">
        <is>
          <t>https://drive.google.com/file/d/1eD4nKiQgwGYnGZ5fv7hh4V3unZ6MIKqH/view?usp=drivesdk</t>
        </is>
      </c>
    </row>
    <row r="74" ht="12" customHeight="1">
      <c r="A74" t="inlineStr">
        <is>
          <t>202602</t>
        </is>
      </c>
      <c r="B74" t="inlineStr">
        <is>
          <t>SL</t>
        </is>
      </c>
      <c r="C74" t="inlineStr">
        <is>
          <t>cogs</t>
        </is>
      </c>
      <c r="D74" t="inlineStr">
        <is>
          <t>manufacturing</t>
        </is>
      </c>
      <c r="E74" t="inlineStr">
        <is>
          <t>DCT</t>
        </is>
      </c>
      <c r="F74" t="inlineStr"/>
      <c r="G74" s="50" t="n">
        <v>3443.83</v>
      </c>
      <c r="H74" t="inlineStr">
        <is>
          <t>EUR</t>
        </is>
      </c>
      <c r="I74" t="inlineStr">
        <is>
          <t>EUR</t>
        </is>
      </c>
      <c r="J74" s="51" t="n">
        <v>1</v>
      </c>
      <c r="K74" s="50" t="n">
        <v>3443.83</v>
      </c>
      <c r="L74" t="inlineStr">
        <is>
          <t>documents</t>
        </is>
      </c>
      <c r="M74" s="52" t="inlineStr">
        <is>
          <t>26-0281</t>
        </is>
      </c>
      <c r="N74" t="inlineStr">
        <is>
          <t>https://drive.google.com/file/d/1H2ikEjq_KT22RCYpKdLTU6AyxE-eiIW-/view?usp=drivesdk</t>
        </is>
      </c>
    </row>
    <row r="75" ht="12" customHeight="1">
      <c r="A75" t="inlineStr">
        <is>
          <t>202602</t>
        </is>
      </c>
      <c r="B75" t="inlineStr">
        <is>
          <t>SL</t>
        </is>
      </c>
      <c r="C75" t="inlineStr">
        <is>
          <t>cogs</t>
        </is>
      </c>
      <c r="D75" t="inlineStr">
        <is>
          <t>manufacturing</t>
        </is>
      </c>
      <c r="E75" t="inlineStr">
        <is>
          <t>DCT</t>
        </is>
      </c>
      <c r="F75" t="inlineStr"/>
      <c r="G75" s="50" t="n">
        <v>3438.99</v>
      </c>
      <c r="H75" t="inlineStr">
        <is>
          <t>EUR</t>
        </is>
      </c>
      <c r="I75" t="inlineStr">
        <is>
          <t>EUR</t>
        </is>
      </c>
      <c r="J75" s="51" t="n">
        <v>1</v>
      </c>
      <c r="K75" s="50" t="n">
        <v>3438.99</v>
      </c>
      <c r="L75" t="inlineStr">
        <is>
          <t>documents</t>
        </is>
      </c>
      <c r="M75" s="52" t="inlineStr">
        <is>
          <t>26-0364</t>
        </is>
      </c>
      <c r="N75" t="inlineStr">
        <is>
          <t>https://drive.google.com/file/d/1YrSUC_u5-Y5IQ7Aslne-0xU3mQfg3jDp/view?usp=drivesdk</t>
        </is>
      </c>
    </row>
    <row r="76" ht="12" customHeight="1">
      <c r="A76" t="inlineStr">
        <is>
          <t>202602</t>
        </is>
      </c>
      <c r="B76" t="inlineStr">
        <is>
          <t>SL</t>
        </is>
      </c>
      <c r="C76" t="inlineStr">
        <is>
          <t>cogs</t>
        </is>
      </c>
      <c r="D76" t="inlineStr">
        <is>
          <t>manufacturing</t>
        </is>
      </c>
      <c r="E76" t="inlineStr">
        <is>
          <t>DCT</t>
        </is>
      </c>
      <c r="F76" t="inlineStr"/>
      <c r="G76" s="50" t="n">
        <v>42.5</v>
      </c>
      <c r="H76" t="inlineStr">
        <is>
          <t>EUR</t>
        </is>
      </c>
      <c r="I76" t="inlineStr">
        <is>
          <t>EUR</t>
        </is>
      </c>
      <c r="J76" s="51" t="n">
        <v>1</v>
      </c>
      <c r="K76" s="50" t="n">
        <v>42.5</v>
      </c>
      <c r="L76" t="inlineStr">
        <is>
          <t>documents</t>
        </is>
      </c>
      <c r="M76" s="52" t="inlineStr">
        <is>
          <t>26-0365</t>
        </is>
      </c>
      <c r="N76" t="inlineStr">
        <is>
          <t>https://drive.google.com/file/d/109-KgtoaX4vV_BNFkqOESzhRasVQ1S_Q/view?usp=drivesdk</t>
        </is>
      </c>
    </row>
    <row r="77" ht="12" customHeight="1">
      <c r="A77" t="inlineStr">
        <is>
          <t>202602</t>
        </is>
      </c>
      <c r="B77" t="inlineStr">
        <is>
          <t>SL</t>
        </is>
      </c>
      <c r="C77" t="inlineStr">
        <is>
          <t>cogs</t>
        </is>
      </c>
      <c r="D77" t="inlineStr">
        <is>
          <t>logistics</t>
        </is>
      </c>
      <c r="E77" t="inlineStr">
        <is>
          <t>GLS</t>
        </is>
      </c>
      <c r="F77" t="inlineStr"/>
      <c r="G77" s="50" t="n">
        <v>15947.02</v>
      </c>
      <c r="H77" t="inlineStr">
        <is>
          <t>EUR</t>
        </is>
      </c>
      <c r="I77" t="inlineStr">
        <is>
          <t>EUR</t>
        </is>
      </c>
      <c r="J77" s="51" t="n">
        <v>1</v>
      </c>
      <c r="K77" s="50" t="n">
        <v>15947.02</v>
      </c>
      <c r="L77" t="inlineStr">
        <is>
          <t>documents</t>
        </is>
      </c>
      <c r="M77" s="52" t="inlineStr">
        <is>
          <t>20260082</t>
        </is>
      </c>
      <c r="N77" t="inlineStr">
        <is>
          <t>https://drive.google.com/file/d/1KY46ho8xsJpWU6Q3w32ZWRQ8btywV8Ax/view?usp=drivesdk</t>
        </is>
      </c>
    </row>
    <row r="78" ht="12" customHeight="1">
      <c r="A78" t="inlineStr">
        <is>
          <t>202602</t>
        </is>
      </c>
      <c r="B78" t="inlineStr">
        <is>
          <t>SL</t>
        </is>
      </c>
      <c r="C78" t="inlineStr">
        <is>
          <t>opex</t>
        </is>
      </c>
      <c r="D78" t="inlineStr">
        <is>
          <t>marketing</t>
        </is>
      </c>
      <c r="E78" t="inlineStr">
        <is>
          <t>GOOGLEADS</t>
        </is>
      </c>
      <c r="F78" t="inlineStr">
        <is>
          <t>eu</t>
        </is>
      </c>
      <c r="G78" s="50" t="n">
        <v>19199.14</v>
      </c>
      <c r="H78" t="inlineStr">
        <is>
          <t>EUR</t>
        </is>
      </c>
      <c r="I78" t="inlineStr">
        <is>
          <t>EUR</t>
        </is>
      </c>
      <c r="J78" s="51" t="n">
        <v>1</v>
      </c>
      <c r="K78" s="50" t="n">
        <v>19199.14</v>
      </c>
      <c r="L78" t="inlineStr">
        <is>
          <t>documents</t>
        </is>
      </c>
      <c r="M78" s="52" t="inlineStr">
        <is>
          <t>5509802536</t>
        </is>
      </c>
      <c r="N78" t="inlineStr">
        <is>
          <t>https://drive.google.com/file/d/192ghVBMKOyFtFrKk5lPoccixcsZlK4GH/view?usp=drivesdk</t>
        </is>
      </c>
    </row>
    <row r="79" ht="12" customHeight="1">
      <c r="A79" t="inlineStr">
        <is>
          <t>202602</t>
        </is>
      </c>
      <c r="B79" t="inlineStr">
        <is>
          <t>SL</t>
        </is>
      </c>
      <c r="C79" t="inlineStr">
        <is>
          <t>opex</t>
        </is>
      </c>
      <c r="D79" t="inlineStr">
        <is>
          <t>marketing</t>
        </is>
      </c>
      <c r="E79" t="inlineStr">
        <is>
          <t>GOOGLEADS</t>
        </is>
      </c>
      <c r="F79" t="inlineStr">
        <is>
          <t>uk</t>
        </is>
      </c>
      <c r="G79" s="50" t="n">
        <v>5006.17</v>
      </c>
      <c r="H79" t="inlineStr">
        <is>
          <t>EUR</t>
        </is>
      </c>
      <c r="I79" t="inlineStr">
        <is>
          <t>EUR</t>
        </is>
      </c>
      <c r="J79" s="51" t="n">
        <v>1</v>
      </c>
      <c r="K79" s="50" t="n">
        <v>5006.17</v>
      </c>
      <c r="L79" t="inlineStr">
        <is>
          <t>documents</t>
        </is>
      </c>
      <c r="M79" s="52" t="inlineStr">
        <is>
          <t>5509802536</t>
        </is>
      </c>
      <c r="N79" t="inlineStr">
        <is>
          <t>https://drive.google.com/file/d/192ghVBMKOyFtFrKk5lPoccixcsZlK4GH/view?usp=drivesdk</t>
        </is>
      </c>
    </row>
    <row r="80" ht="12" customHeight="1">
      <c r="A80" t="inlineStr">
        <is>
          <t>202602</t>
        </is>
      </c>
      <c r="B80" t="inlineStr">
        <is>
          <t>SL</t>
        </is>
      </c>
      <c r="C80" t="inlineStr">
        <is>
          <t>opex</t>
        </is>
      </c>
      <c r="D80" t="inlineStr">
        <is>
          <t>marketing</t>
        </is>
      </c>
      <c r="E80" t="inlineStr">
        <is>
          <t>GOOGLEADS</t>
        </is>
      </c>
      <c r="F80" t="inlineStr">
        <is>
          <t>us</t>
        </is>
      </c>
      <c r="G80" s="50" t="n">
        <v>3345.8</v>
      </c>
      <c r="H80" t="inlineStr">
        <is>
          <t>EUR</t>
        </is>
      </c>
      <c r="I80" t="inlineStr">
        <is>
          <t>EUR</t>
        </is>
      </c>
      <c r="J80" s="51" t="n">
        <v>1</v>
      </c>
      <c r="K80" s="50" t="n">
        <v>3345.8</v>
      </c>
      <c r="L80" t="inlineStr">
        <is>
          <t>documents</t>
        </is>
      </c>
      <c r="M80" s="52" t="inlineStr">
        <is>
          <t>5509802536</t>
        </is>
      </c>
      <c r="N80" t="inlineStr">
        <is>
          <t>https://drive.google.com/file/d/192ghVBMKOyFtFrKk5lPoccixcsZlK4GH/view?usp=drivesdk</t>
        </is>
      </c>
    </row>
    <row r="81" ht="12" customHeight="1">
      <c r="A81" t="inlineStr">
        <is>
          <t>202602</t>
        </is>
      </c>
      <c r="B81" t="inlineStr">
        <is>
          <t>SL</t>
        </is>
      </c>
      <c r="C81" t="inlineStr">
        <is>
          <t>opex</t>
        </is>
      </c>
      <c r="D81" t="inlineStr">
        <is>
          <t>technology</t>
        </is>
      </c>
      <c r="E81" t="inlineStr">
        <is>
          <t>GOOGLEWORKSPACE</t>
        </is>
      </c>
      <c r="F81" t="inlineStr"/>
      <c r="G81" s="50" t="n">
        <v>201.91</v>
      </c>
      <c r="H81" t="inlineStr">
        <is>
          <t>EUR</t>
        </is>
      </c>
      <c r="I81" t="inlineStr">
        <is>
          <t>EUR</t>
        </is>
      </c>
      <c r="J81" s="51" t="n">
        <v>1</v>
      </c>
      <c r="K81" s="50" t="n">
        <v>201.91</v>
      </c>
      <c r="L81" t="inlineStr">
        <is>
          <t>documents</t>
        </is>
      </c>
      <c r="M81" s="52" t="inlineStr">
        <is>
          <t>5505030303</t>
        </is>
      </c>
      <c r="N81" t="inlineStr">
        <is>
          <t>https://drive.google.com/file/d/1_odcqxdXxEYZNzgQx5UzslhIG3hh5krH/view?usp=drivesdk</t>
        </is>
      </c>
    </row>
    <row r="82" ht="12" customHeight="1">
      <c r="A82" t="inlineStr">
        <is>
          <t>202602</t>
        </is>
      </c>
      <c r="B82" t="inlineStr">
        <is>
          <t>SL</t>
        </is>
      </c>
      <c r="C82" t="inlineStr">
        <is>
          <t>opex</t>
        </is>
      </c>
      <c r="D82" t="inlineStr">
        <is>
          <t>technology</t>
        </is>
      </c>
      <c r="E82" t="inlineStr">
        <is>
          <t>GORGIAS</t>
        </is>
      </c>
      <c r="F82" t="inlineStr"/>
      <c r="G82" s="50" t="n">
        <v>120</v>
      </c>
      <c r="H82" t="inlineStr">
        <is>
          <t>USD</t>
        </is>
      </c>
      <c r="I82" t="inlineStr">
        <is>
          <t>EUR</t>
        </is>
      </c>
      <c r="J82" s="51" t="n">
        <v>0.84709869</v>
      </c>
      <c r="K82" s="50" t="n">
        <v>101.65</v>
      </c>
      <c r="L82" t="inlineStr">
        <is>
          <t>documents</t>
        </is>
      </c>
      <c r="M82" s="52" t="inlineStr">
        <is>
          <t>INC-02-2026-50341</t>
        </is>
      </c>
      <c r="N82" t="inlineStr">
        <is>
          <t>https://drive.google.com/file/d/1tAciOjLJ3-E_udDrY3cL0A7b-CfOvIlm/view?usp=drivesdk</t>
        </is>
      </c>
    </row>
    <row r="83" ht="12" customHeight="1">
      <c r="A83" t="inlineStr">
        <is>
          <t>202601</t>
        </is>
      </c>
      <c r="B83" t="inlineStr">
        <is>
          <t>SL</t>
        </is>
      </c>
      <c r="C83" t="inlineStr">
        <is>
          <t>opex</t>
        </is>
      </c>
      <c r="D83" t="inlineStr">
        <is>
          <t>administration</t>
        </is>
      </c>
      <c r="E83" t="inlineStr">
        <is>
          <t>HANNUN</t>
        </is>
      </c>
      <c r="F83" t="inlineStr">
        <is>
          <t>office</t>
        </is>
      </c>
      <c r="G83" s="50" t="n">
        <v>175</v>
      </c>
      <c r="H83" t="inlineStr">
        <is>
          <t>EUR</t>
        </is>
      </c>
      <c r="I83" t="inlineStr">
        <is>
          <t>EUR</t>
        </is>
      </c>
      <c r="J83" s="51" t="n">
        <v>1</v>
      </c>
      <c r="K83" s="50" t="n">
        <v>175</v>
      </c>
      <c r="L83" t="inlineStr">
        <is>
          <t>documents</t>
        </is>
      </c>
      <c r="M83" s="52" t="inlineStr">
        <is>
          <t>VTA/26-010327</t>
        </is>
      </c>
      <c r="N83" t="inlineStr">
        <is>
          <t>https://drive.google.com/file/d/1E8JfN7YXvjRIfPjaLKj_8zJSQJ-990YT/view?usp=drivesdk</t>
        </is>
      </c>
    </row>
    <row r="84" ht="12" customHeight="1">
      <c r="A84" t="inlineStr">
        <is>
          <t>202602</t>
        </is>
      </c>
      <c r="B84" t="inlineStr">
        <is>
          <t>SL</t>
        </is>
      </c>
      <c r="C84" t="inlineStr">
        <is>
          <t>opex</t>
        </is>
      </c>
      <c r="D84" t="inlineStr">
        <is>
          <t>administration</t>
        </is>
      </c>
      <c r="E84" t="inlineStr">
        <is>
          <t>HANNUN</t>
        </is>
      </c>
      <c r="F84" t="inlineStr">
        <is>
          <t>office</t>
        </is>
      </c>
      <c r="G84" s="50" t="n">
        <v>175</v>
      </c>
      <c r="H84" t="inlineStr">
        <is>
          <t>EUR</t>
        </is>
      </c>
      <c r="I84" t="inlineStr">
        <is>
          <t>EUR</t>
        </is>
      </c>
      <c r="J84" s="51" t="n">
        <v>1</v>
      </c>
      <c r="K84" s="50" t="n">
        <v>175</v>
      </c>
      <c r="L84" t="inlineStr">
        <is>
          <t>documents</t>
        </is>
      </c>
      <c r="M84" s="52" t="inlineStr">
        <is>
          <t>VTA/26-010329</t>
        </is>
      </c>
      <c r="N84" t="inlineStr">
        <is>
          <t>https://drive.google.com/file/d/1r2Hw0N7VZ6vvloF4IqY4SxfuvX_2VozE/view?usp=drivesdk</t>
        </is>
      </c>
    </row>
    <row r="85" ht="12" customHeight="1">
      <c r="A85" t="inlineStr">
        <is>
          <t>202601</t>
        </is>
      </c>
      <c r="B85" t="inlineStr">
        <is>
          <t>SL</t>
        </is>
      </c>
      <c r="C85" t="inlineStr">
        <is>
          <t>opex</t>
        </is>
      </c>
      <c r="D85" t="inlineStr">
        <is>
          <t>administration</t>
        </is>
      </c>
      <c r="E85" t="inlineStr">
        <is>
          <t>HANNUN</t>
        </is>
      </c>
      <c r="F85" t="inlineStr">
        <is>
          <t>services</t>
        </is>
      </c>
      <c r="G85" s="50" t="n">
        <v>1504.92</v>
      </c>
      <c r="H85" t="inlineStr">
        <is>
          <t>EUR</t>
        </is>
      </c>
      <c r="I85" t="inlineStr">
        <is>
          <t>EUR</t>
        </is>
      </c>
      <c r="J85" s="51" t="n">
        <v>1</v>
      </c>
      <c r="K85" s="50" t="n">
        <v>1504.92</v>
      </c>
      <c r="L85" t="inlineStr">
        <is>
          <t>documents</t>
        </is>
      </c>
      <c r="M85" s="52" t="inlineStr">
        <is>
          <t>VTA/26-010328</t>
        </is>
      </c>
      <c r="N85" t="inlineStr">
        <is>
          <t>https://drive.google.com/file/d/1PRJ__aaxThVGTbIcvHAJI7pgUFchpvsa/view?usp=drivesdk</t>
        </is>
      </c>
    </row>
    <row r="86" ht="12" customHeight="1">
      <c r="A86" t="inlineStr">
        <is>
          <t>202602</t>
        </is>
      </c>
      <c r="B86" t="inlineStr">
        <is>
          <t>SL</t>
        </is>
      </c>
      <c r="C86" t="inlineStr">
        <is>
          <t>opex</t>
        </is>
      </c>
      <c r="D86" t="inlineStr">
        <is>
          <t>administration</t>
        </is>
      </c>
      <c r="E86" t="inlineStr">
        <is>
          <t>HANNUN</t>
        </is>
      </c>
      <c r="F86" t="inlineStr">
        <is>
          <t>services</t>
        </is>
      </c>
      <c r="G86" s="50" t="n">
        <v>1504.92</v>
      </c>
      <c r="H86" t="inlineStr">
        <is>
          <t>EUR</t>
        </is>
      </c>
      <c r="I86" t="inlineStr">
        <is>
          <t>EUR</t>
        </is>
      </c>
      <c r="J86" s="51" t="n">
        <v>1</v>
      </c>
      <c r="K86" s="50" t="n">
        <v>1504.92</v>
      </c>
      <c r="L86" t="inlineStr">
        <is>
          <t>documents</t>
        </is>
      </c>
      <c r="M86" s="52" t="inlineStr">
        <is>
          <t>VTA/26-010330</t>
        </is>
      </c>
      <c r="N86" t="inlineStr">
        <is>
          <t>https://drive.google.com/file/d/1HgIvIqgrCSyQY0-INtfhp-GPqb5Et1eA/view?usp=drivesdk</t>
        </is>
      </c>
    </row>
    <row r="87" ht="12" customHeight="1">
      <c r="A87" t="inlineStr">
        <is>
          <t>202602</t>
        </is>
      </c>
      <c r="B87" t="inlineStr">
        <is>
          <t>SL</t>
        </is>
      </c>
      <c r="C87" t="inlineStr">
        <is>
          <t>opex</t>
        </is>
      </c>
      <c r="D87" t="inlineStr">
        <is>
          <t>technology</t>
        </is>
      </c>
      <c r="E87" t="inlineStr">
        <is>
          <t>HETZNER</t>
        </is>
      </c>
      <c r="F87" t="inlineStr"/>
      <c r="G87" s="50" t="n">
        <v>10.9</v>
      </c>
      <c r="H87" t="inlineStr">
        <is>
          <t>EUR</t>
        </is>
      </c>
      <c r="I87" t="inlineStr">
        <is>
          <t>EUR</t>
        </is>
      </c>
      <c r="J87" s="51" t="n">
        <v>1</v>
      </c>
      <c r="K87" s="50" t="n">
        <v>10.9</v>
      </c>
      <c r="L87" t="inlineStr">
        <is>
          <t>documents</t>
        </is>
      </c>
      <c r="M87" s="52" t="inlineStr">
        <is>
          <t>084000695806</t>
        </is>
      </c>
      <c r="N87" t="inlineStr">
        <is>
          <t>https://drive.google.com/file/d/1mtjFeFve-rSAPTA0bq7zwh6FvresB1tx/view?usp=drivesdk</t>
        </is>
      </c>
    </row>
    <row r="88" ht="12" customHeight="1">
      <c r="A88" t="inlineStr">
        <is>
          <t>202602</t>
        </is>
      </c>
      <c r="B88" t="inlineStr">
        <is>
          <t>SL</t>
        </is>
      </c>
      <c r="C88" t="inlineStr">
        <is>
          <t>opex</t>
        </is>
      </c>
      <c r="D88" t="inlineStr">
        <is>
          <t>technology</t>
        </is>
      </c>
      <c r="E88" t="inlineStr">
        <is>
          <t>KONVOAI</t>
        </is>
      </c>
      <c r="F88" t="inlineStr"/>
      <c r="G88" s="50" t="n">
        <v>136.96</v>
      </c>
      <c r="H88" t="inlineStr">
        <is>
          <t>EUR</t>
        </is>
      </c>
      <c r="I88" t="inlineStr">
        <is>
          <t>EUR</t>
        </is>
      </c>
      <c r="J88" s="51" t="n">
        <v>1</v>
      </c>
      <c r="K88" s="50" t="n">
        <v>136.96</v>
      </c>
      <c r="L88" t="inlineStr">
        <is>
          <t>documents</t>
        </is>
      </c>
      <c r="M88" s="52" t="inlineStr">
        <is>
          <t>B5F7DF3C-7132</t>
        </is>
      </c>
      <c r="N88" t="inlineStr">
        <is>
          <t>https://drive.google.com/file/d/1n2bq_tMI3rNE2XsFpxvWnwo1ZZV6_K21/view?usp=drivesdk</t>
        </is>
      </c>
    </row>
    <row r="89" ht="12" customHeight="1">
      <c r="A89" t="inlineStr">
        <is>
          <t>202602</t>
        </is>
      </c>
      <c r="B89" t="inlineStr">
        <is>
          <t>SL</t>
        </is>
      </c>
      <c r="C89" t="inlineStr">
        <is>
          <t>opex</t>
        </is>
      </c>
      <c r="D89" t="inlineStr">
        <is>
          <t>technology</t>
        </is>
      </c>
      <c r="E89" t="inlineStr">
        <is>
          <t>KONVOAI</t>
        </is>
      </c>
      <c r="F89" t="inlineStr"/>
      <c r="G89" s="50" t="n">
        <v>339</v>
      </c>
      <c r="H89" t="inlineStr">
        <is>
          <t>EUR</t>
        </is>
      </c>
      <c r="I89" t="inlineStr">
        <is>
          <t>EUR</t>
        </is>
      </c>
      <c r="J89" s="51" t="n">
        <v>1</v>
      </c>
      <c r="K89" s="50" t="n">
        <v>339</v>
      </c>
      <c r="L89" t="inlineStr">
        <is>
          <t>documents</t>
        </is>
      </c>
      <c r="M89" s="52" t="inlineStr">
        <is>
          <t>B5F7DF3C-7296</t>
        </is>
      </c>
      <c r="N89" t="inlineStr">
        <is>
          <t>https://drive.google.com/file/d/1Mbfxr1V40xsgbj8F0soExM05QND6zjoa/view?usp=drivesdk</t>
        </is>
      </c>
    </row>
    <row r="90" ht="12" customHeight="1">
      <c r="A90" t="inlineStr">
        <is>
          <t>202602</t>
        </is>
      </c>
      <c r="B90" t="inlineStr">
        <is>
          <t>SL</t>
        </is>
      </c>
      <c r="C90" t="inlineStr">
        <is>
          <t>opex</t>
        </is>
      </c>
      <c r="D90" t="inlineStr">
        <is>
          <t>technology</t>
        </is>
      </c>
      <c r="E90" t="inlineStr">
        <is>
          <t>MASMOVIL</t>
        </is>
      </c>
      <c r="F90" t="inlineStr"/>
      <c r="G90" s="50" t="n">
        <v>5</v>
      </c>
      <c r="H90" t="inlineStr">
        <is>
          <t>EUR</t>
        </is>
      </c>
      <c r="I90" t="inlineStr">
        <is>
          <t>EUR</t>
        </is>
      </c>
      <c r="J90" s="51" t="n">
        <v>1</v>
      </c>
      <c r="K90" s="50" t="n">
        <v>5</v>
      </c>
      <c r="L90" t="inlineStr">
        <is>
          <t>documents</t>
        </is>
      </c>
      <c r="M90" s="52" t="inlineStr">
        <is>
          <t>MC260002345804</t>
        </is>
      </c>
      <c r="N90" t="inlineStr">
        <is>
          <t>https://drive.google.com/file/d/1WOvzAAmEygTW3UfGCE2EpvFGcNYl4yVq/view?usp=drivesdk</t>
        </is>
      </c>
    </row>
    <row r="91" ht="12" customHeight="1">
      <c r="A91" t="inlineStr">
        <is>
          <t>202602</t>
        </is>
      </c>
      <c r="B91" t="inlineStr">
        <is>
          <t>SL</t>
        </is>
      </c>
      <c r="C91" t="inlineStr">
        <is>
          <t>opex</t>
        </is>
      </c>
      <c r="D91" t="inlineStr">
        <is>
          <t>marketing</t>
        </is>
      </c>
      <c r="E91" t="inlineStr">
        <is>
          <t>METAADS</t>
        </is>
      </c>
      <c r="F91" t="inlineStr">
        <is>
          <t>eu</t>
        </is>
      </c>
      <c r="G91" s="50" t="n">
        <v>15883.55</v>
      </c>
      <c r="H91" t="inlineStr">
        <is>
          <t>EUR</t>
        </is>
      </c>
      <c r="I91" t="inlineStr">
        <is>
          <t>EUR</t>
        </is>
      </c>
      <c r="J91" s="51" t="n">
        <v>1</v>
      </c>
      <c r="K91" s="50" t="n">
        <v>15883.55</v>
      </c>
      <c r="L91" t="inlineStr">
        <is>
          <t>documents</t>
        </is>
      </c>
      <c r="M91" s="52" t="inlineStr">
        <is>
          <t>251380763</t>
        </is>
      </c>
      <c r="N91" t="inlineStr">
        <is>
          <t>https://drive.google.com/file/d/1fDDyyoah7JlWMHXzqFDIqm2howZDBJMq/view?usp=drivesdk</t>
        </is>
      </c>
    </row>
    <row r="92" ht="12" customHeight="1">
      <c r="A92" t="inlineStr">
        <is>
          <t>202602</t>
        </is>
      </c>
      <c r="B92" t="inlineStr">
        <is>
          <t>SL</t>
        </is>
      </c>
      <c r="C92" t="inlineStr">
        <is>
          <t>opex</t>
        </is>
      </c>
      <c r="D92" t="inlineStr">
        <is>
          <t>marketing</t>
        </is>
      </c>
      <c r="E92" t="inlineStr">
        <is>
          <t>METAADS</t>
        </is>
      </c>
      <c r="F92" t="inlineStr">
        <is>
          <t>uk</t>
        </is>
      </c>
      <c r="G92" s="50" t="n">
        <v>2794.04</v>
      </c>
      <c r="H92" t="inlineStr">
        <is>
          <t>EUR</t>
        </is>
      </c>
      <c r="I92" t="inlineStr">
        <is>
          <t>EUR</t>
        </is>
      </c>
      <c r="J92" s="51" t="n">
        <v>1</v>
      </c>
      <c r="K92" s="50" t="n">
        <v>2794.04</v>
      </c>
      <c r="L92" t="inlineStr">
        <is>
          <t>documents</t>
        </is>
      </c>
      <c r="M92" s="52" t="inlineStr">
        <is>
          <t>251380763</t>
        </is>
      </c>
      <c r="N92" t="inlineStr">
        <is>
          <t>https://drive.google.com/file/d/1fDDyyoah7JlWMHXzqFDIqm2howZDBJMq/view?usp=drivesdk</t>
        </is>
      </c>
    </row>
    <row r="93" ht="12" customHeight="1">
      <c r="A93" t="inlineStr">
        <is>
          <t>202602</t>
        </is>
      </c>
      <c r="B93" t="inlineStr">
        <is>
          <t>SL</t>
        </is>
      </c>
      <c r="C93" t="inlineStr">
        <is>
          <t>opex</t>
        </is>
      </c>
      <c r="D93" t="inlineStr">
        <is>
          <t>marketing</t>
        </is>
      </c>
      <c r="E93" t="inlineStr">
        <is>
          <t>METAADS</t>
        </is>
      </c>
      <c r="F93" t="inlineStr">
        <is>
          <t>us</t>
        </is>
      </c>
      <c r="G93" s="50" t="n">
        <v>1397.4</v>
      </c>
      <c r="H93" t="inlineStr">
        <is>
          <t>EUR</t>
        </is>
      </c>
      <c r="I93" t="inlineStr">
        <is>
          <t>EUR</t>
        </is>
      </c>
      <c r="J93" s="51" t="n">
        <v>1</v>
      </c>
      <c r="K93" s="50" t="n">
        <v>1397.4</v>
      </c>
      <c r="L93" t="inlineStr">
        <is>
          <t>documents</t>
        </is>
      </c>
      <c r="M93" s="52" t="inlineStr">
        <is>
          <t>251380763</t>
        </is>
      </c>
      <c r="N93" t="inlineStr">
        <is>
          <t>https://drive.google.com/file/d/1fDDyyoah7JlWMHXzqFDIqm2howZDBJMq/view?usp=drivesdk</t>
        </is>
      </c>
    </row>
    <row r="94" ht="12" customHeight="1">
      <c r="A94" t="inlineStr">
        <is>
          <t>202602</t>
        </is>
      </c>
      <c r="B94" t="inlineStr">
        <is>
          <t>SL</t>
        </is>
      </c>
      <c r="C94" t="inlineStr">
        <is>
          <t>opex</t>
        </is>
      </c>
      <c r="D94" t="inlineStr">
        <is>
          <t>technology</t>
        </is>
      </c>
      <c r="E94" t="inlineStr">
        <is>
          <t>MICROSOFT</t>
        </is>
      </c>
      <c r="F94" t="inlineStr"/>
      <c r="G94" s="50" t="n">
        <v>30.87</v>
      </c>
      <c r="H94" t="inlineStr">
        <is>
          <t>EUR</t>
        </is>
      </c>
      <c r="I94" t="inlineStr">
        <is>
          <t>EUR</t>
        </is>
      </c>
      <c r="J94" s="51" t="n">
        <v>1</v>
      </c>
      <c r="K94" s="50" t="n">
        <v>30.87</v>
      </c>
      <c r="L94" t="inlineStr">
        <is>
          <t>documents</t>
        </is>
      </c>
      <c r="M94" s="52" t="inlineStr">
        <is>
          <t>G140910268</t>
        </is>
      </c>
      <c r="N94" t="inlineStr">
        <is>
          <t>https://drive.google.com/file/d/1IS2fSxolw6pxcI9vC65EJRYlFK7zyUTY/view?usp=drivesdk</t>
        </is>
      </c>
    </row>
    <row r="95" ht="12" customHeight="1">
      <c r="A95" t="inlineStr">
        <is>
          <t>202602</t>
        </is>
      </c>
      <c r="B95" t="inlineStr">
        <is>
          <t>SL</t>
        </is>
      </c>
      <c r="C95" t="inlineStr">
        <is>
          <t>opex</t>
        </is>
      </c>
      <c r="D95" t="inlineStr">
        <is>
          <t>technology</t>
        </is>
      </c>
      <c r="E95" t="inlineStr">
        <is>
          <t>MICROSOFT</t>
        </is>
      </c>
      <c r="F95" t="inlineStr"/>
      <c r="G95" s="50" t="n">
        <v>47</v>
      </c>
      <c r="H95" t="inlineStr">
        <is>
          <t>EUR</t>
        </is>
      </c>
      <c r="I95" t="inlineStr">
        <is>
          <t>EUR</t>
        </is>
      </c>
      <c r="J95" s="51" t="n">
        <v>1</v>
      </c>
      <c r="K95" s="50" t="n">
        <v>47</v>
      </c>
      <c r="L95" t="inlineStr">
        <is>
          <t>documents</t>
        </is>
      </c>
      <c r="M95" s="52" t="inlineStr">
        <is>
          <t>G141681724</t>
        </is>
      </c>
      <c r="N95" t="inlineStr">
        <is>
          <t>https://drive.google.com/file/d/1najlnApOGpucn5h6ZtquKVucfInGLQ0V/view?usp=drivesdk</t>
        </is>
      </c>
    </row>
    <row r="96" ht="12" customHeight="1">
      <c r="A96" t="inlineStr">
        <is>
          <t>202602</t>
        </is>
      </c>
      <c r="B96" t="inlineStr">
        <is>
          <t>SL</t>
        </is>
      </c>
      <c r="C96" t="inlineStr">
        <is>
          <t>opex</t>
        </is>
      </c>
      <c r="D96" t="inlineStr">
        <is>
          <t>technology</t>
        </is>
      </c>
      <c r="E96" t="inlineStr">
        <is>
          <t>OPENAI</t>
        </is>
      </c>
      <c r="F96" t="inlineStr">
        <is>
          <t>api_usage</t>
        </is>
      </c>
      <c r="G96" s="50" t="n">
        <v>10.03</v>
      </c>
      <c r="H96" t="inlineStr">
        <is>
          <t>USD</t>
        </is>
      </c>
      <c r="I96" t="inlineStr">
        <is>
          <t>EUR</t>
        </is>
      </c>
      <c r="J96" s="51" t="n">
        <v>0.84709869</v>
      </c>
      <c r="K96" s="50" t="n">
        <v>8.5</v>
      </c>
      <c r="L96" t="inlineStr">
        <is>
          <t>documents</t>
        </is>
      </c>
      <c r="M96" s="52" t="inlineStr">
        <is>
          <t>BZHJNTUB0002</t>
        </is>
      </c>
      <c r="N96" t="inlineStr">
        <is>
          <t>https://drive.google.com/file/d/1Ia49BWDccoiY0_floiPgZIOoH73-LIUQ/view?usp=drivesdk</t>
        </is>
      </c>
    </row>
    <row r="97" ht="12" customHeight="1">
      <c r="A97" t="inlineStr">
        <is>
          <t>202602</t>
        </is>
      </c>
      <c r="B97" t="inlineStr">
        <is>
          <t>SL</t>
        </is>
      </c>
      <c r="C97" t="inlineStr">
        <is>
          <t>opex</t>
        </is>
      </c>
      <c r="D97" t="inlineStr">
        <is>
          <t>technology</t>
        </is>
      </c>
      <c r="E97" t="inlineStr">
        <is>
          <t>OPENAI</t>
        </is>
      </c>
      <c r="F97" t="inlineStr">
        <is>
          <t>api_usage</t>
        </is>
      </c>
      <c r="G97" s="50" t="n">
        <v>10.12</v>
      </c>
      <c r="H97" t="inlineStr">
        <is>
          <t>USD</t>
        </is>
      </c>
      <c r="I97" t="inlineStr">
        <is>
          <t>EUR</t>
        </is>
      </c>
      <c r="J97" s="51" t="n">
        <v>0.84709869</v>
      </c>
      <c r="K97" s="50" t="n">
        <v>8.57</v>
      </c>
      <c r="L97" t="inlineStr">
        <is>
          <t>documents</t>
        </is>
      </c>
      <c r="M97" s="52" t="inlineStr">
        <is>
          <t>BZHJNTUB0003</t>
        </is>
      </c>
      <c r="N97" t="inlineStr">
        <is>
          <t>https://drive.google.com/file/d/1bbYR8-vHGj7nUKVcEnARnepPzYzNIFVw/view?usp=drivesdk</t>
        </is>
      </c>
    </row>
    <row r="98" ht="12" customHeight="1">
      <c r="A98" t="inlineStr">
        <is>
          <t>202602</t>
        </is>
      </c>
      <c r="B98" t="inlineStr">
        <is>
          <t>SL</t>
        </is>
      </c>
      <c r="C98" t="inlineStr">
        <is>
          <t>opex</t>
        </is>
      </c>
      <c r="D98" t="inlineStr">
        <is>
          <t>technology</t>
        </is>
      </c>
      <c r="E98" t="inlineStr">
        <is>
          <t>OPENAI</t>
        </is>
      </c>
      <c r="F98" t="inlineStr">
        <is>
          <t>api_usage</t>
        </is>
      </c>
      <c r="G98" s="50" t="n">
        <v>10.13</v>
      </c>
      <c r="H98" t="inlineStr">
        <is>
          <t>USD</t>
        </is>
      </c>
      <c r="I98" t="inlineStr">
        <is>
          <t>EUR</t>
        </is>
      </c>
      <c r="J98" s="51" t="n">
        <v>0.84709869</v>
      </c>
      <c r="K98" s="50" t="n">
        <v>8.58</v>
      </c>
      <c r="L98" t="inlineStr">
        <is>
          <t>documents</t>
        </is>
      </c>
      <c r="M98" s="52" t="inlineStr">
        <is>
          <t>BZHJNTUB0004</t>
        </is>
      </c>
      <c r="N98" t="inlineStr">
        <is>
          <t>https://drive.google.com/file/d/1M7IINaxBWNqY7qOSMGrLDwYHI3VnAyM4/view?usp=drivesdk</t>
        </is>
      </c>
    </row>
    <row r="99" ht="12" customHeight="1">
      <c r="A99" t="inlineStr">
        <is>
          <t>202602</t>
        </is>
      </c>
      <c r="B99" t="inlineStr">
        <is>
          <t>SL</t>
        </is>
      </c>
      <c r="C99" t="inlineStr">
        <is>
          <t>opex</t>
        </is>
      </c>
      <c r="D99" t="inlineStr">
        <is>
          <t>technology</t>
        </is>
      </c>
      <c r="E99" t="inlineStr">
        <is>
          <t>OPENAI</t>
        </is>
      </c>
      <c r="F99" t="inlineStr">
        <is>
          <t>api_usage</t>
        </is>
      </c>
      <c r="G99" s="50" t="n">
        <v>10.19</v>
      </c>
      <c r="H99" t="inlineStr">
        <is>
          <t>USD</t>
        </is>
      </c>
      <c r="I99" t="inlineStr">
        <is>
          <t>EUR</t>
        </is>
      </c>
      <c r="J99" s="51" t="n">
        <v>0.84709869</v>
      </c>
      <c r="K99" s="50" t="n">
        <v>8.630000000000001</v>
      </c>
      <c r="L99" t="inlineStr">
        <is>
          <t>documents</t>
        </is>
      </c>
      <c r="M99" s="52" t="inlineStr">
        <is>
          <t>BZHJNTUB0005</t>
        </is>
      </c>
      <c r="N99" t="inlineStr">
        <is>
          <t>https://drive.google.com/file/d/1s-Ni6ccpvcuZUGwwhFepiSbUNzPwXVDG/view?usp=drivesdk</t>
        </is>
      </c>
    </row>
    <row r="100" ht="12" customHeight="1">
      <c r="A100" t="inlineStr">
        <is>
          <t>202602</t>
        </is>
      </c>
      <c r="B100" t="inlineStr">
        <is>
          <t>SL</t>
        </is>
      </c>
      <c r="C100" t="inlineStr">
        <is>
          <t>opex</t>
        </is>
      </c>
      <c r="D100" t="inlineStr">
        <is>
          <t>technology</t>
        </is>
      </c>
      <c r="E100" t="inlineStr">
        <is>
          <t>OPENAI</t>
        </is>
      </c>
      <c r="F100" t="inlineStr">
        <is>
          <t>api_usage</t>
        </is>
      </c>
      <c r="G100" s="50" t="n">
        <v>30</v>
      </c>
      <c r="H100" t="inlineStr">
        <is>
          <t>USD</t>
        </is>
      </c>
      <c r="I100" t="inlineStr">
        <is>
          <t>EUR</t>
        </is>
      </c>
      <c r="J100" s="51" t="n">
        <v>0.84709869</v>
      </c>
      <c r="K100" s="50" t="n">
        <v>25.41</v>
      </c>
      <c r="L100" t="inlineStr">
        <is>
          <t>documents</t>
        </is>
      </c>
      <c r="M100" s="52" t="inlineStr">
        <is>
          <t>BZHJNTUB0006</t>
        </is>
      </c>
      <c r="N100" t="inlineStr">
        <is>
          <t>https://drive.google.com/file/d/1j0GTnf9iA8T0YG7zocdvmE1v-yFf-dmk/view?usp=drivesdk</t>
        </is>
      </c>
    </row>
    <row r="101" ht="12" customHeight="1">
      <c r="A101" t="inlineStr">
        <is>
          <t>202602</t>
        </is>
      </c>
      <c r="B101" t="inlineStr">
        <is>
          <t>SL</t>
        </is>
      </c>
      <c r="C101" t="inlineStr">
        <is>
          <t>opex</t>
        </is>
      </c>
      <c r="D101" t="inlineStr">
        <is>
          <t>technology</t>
        </is>
      </c>
      <c r="E101" t="inlineStr">
        <is>
          <t>OPENAI</t>
        </is>
      </c>
      <c r="F101" t="inlineStr">
        <is>
          <t>api_usage</t>
        </is>
      </c>
      <c r="G101" s="50" t="n">
        <v>10.41</v>
      </c>
      <c r="H101" t="inlineStr">
        <is>
          <t>USD</t>
        </is>
      </c>
      <c r="I101" t="inlineStr">
        <is>
          <t>EUR</t>
        </is>
      </c>
      <c r="J101" s="51" t="n">
        <v>0.84709869</v>
      </c>
      <c r="K101" s="50" t="n">
        <v>8.82</v>
      </c>
      <c r="L101" t="inlineStr">
        <is>
          <t>documents</t>
        </is>
      </c>
      <c r="M101" s="52" t="inlineStr">
        <is>
          <t>BZHJNTUB0007</t>
        </is>
      </c>
      <c r="N101" t="inlineStr">
        <is>
          <t>https://drive.google.com/file/d/1kgfYW187O8CHpqvovwje1T5Vb0O1df6d/view?usp=drivesdk</t>
        </is>
      </c>
    </row>
    <row r="102" ht="12" customHeight="1">
      <c r="A102" t="inlineStr">
        <is>
          <t>202602</t>
        </is>
      </c>
      <c r="B102" t="inlineStr">
        <is>
          <t>SL</t>
        </is>
      </c>
      <c r="C102" t="inlineStr">
        <is>
          <t>cogs</t>
        </is>
      </c>
      <c r="D102" t="inlineStr">
        <is>
          <t>manufacturing</t>
        </is>
      </c>
      <c r="E102" t="inlineStr">
        <is>
          <t>PRESSING</t>
        </is>
      </c>
      <c r="F102" t="inlineStr"/>
      <c r="G102" s="50" t="n">
        <v>33510.62</v>
      </c>
      <c r="H102" t="inlineStr">
        <is>
          <t>EUR</t>
        </is>
      </c>
      <c r="I102" t="inlineStr">
        <is>
          <t>EUR</t>
        </is>
      </c>
      <c r="J102" s="51" t="n">
        <v>1</v>
      </c>
      <c r="K102" s="50" t="n">
        <v>33510.62</v>
      </c>
      <c r="L102" t="inlineStr">
        <is>
          <t>documents</t>
        </is>
      </c>
      <c r="M102" s="52" t="inlineStr">
        <is>
          <t>FAC/2026/26100001651</t>
        </is>
      </c>
      <c r="N102" t="inlineStr">
        <is>
          <t>https://drive.google.com/file/d/1Ht3FP9y_KBG3F1Wui0f7dj36Nz4gORY9/view?usp=drivesdk</t>
        </is>
      </c>
    </row>
    <row r="103" ht="12" customHeight="1">
      <c r="A103" t="inlineStr">
        <is>
          <t>202602</t>
        </is>
      </c>
      <c r="B103" t="inlineStr">
        <is>
          <t>SL</t>
        </is>
      </c>
      <c r="C103" t="inlineStr">
        <is>
          <t>opex</t>
        </is>
      </c>
      <c r="D103" t="inlineStr">
        <is>
          <t>technology</t>
        </is>
      </c>
      <c r="E103" t="inlineStr">
        <is>
          <t>PRODUCTHERO</t>
        </is>
      </c>
      <c r="F103" t="inlineStr"/>
      <c r="G103" s="50" t="n">
        <v>134</v>
      </c>
      <c r="H103" t="inlineStr">
        <is>
          <t>EUR</t>
        </is>
      </c>
      <c r="I103" t="inlineStr">
        <is>
          <t>EUR</t>
        </is>
      </c>
      <c r="J103" s="51" t="n">
        <v>1</v>
      </c>
      <c r="K103" s="50" t="n">
        <v>134</v>
      </c>
      <c r="L103" t="inlineStr">
        <is>
          <t>documents</t>
        </is>
      </c>
      <c r="M103" s="52" t="inlineStr">
        <is>
          <t>211723</t>
        </is>
      </c>
      <c r="N103" t="inlineStr">
        <is>
          <t>https://drive.google.com/file/d/1axe5iqNHDnZKEyTVyAhJ5hBtI1BR5ejL/view?usp=drivesdk</t>
        </is>
      </c>
    </row>
    <row r="104" ht="12" customHeight="1">
      <c r="A104" t="inlineStr">
        <is>
          <t>202602</t>
        </is>
      </c>
      <c r="B104" t="inlineStr">
        <is>
          <t>SL</t>
        </is>
      </c>
      <c r="C104" t="inlineStr">
        <is>
          <t>opex</t>
        </is>
      </c>
      <c r="D104" t="inlineStr">
        <is>
          <t>technology</t>
        </is>
      </c>
      <c r="E104" t="inlineStr">
        <is>
          <t>REVER</t>
        </is>
      </c>
      <c r="F104" t="inlineStr"/>
      <c r="G104" s="50" t="n">
        <v>79</v>
      </c>
      <c r="H104" t="inlineStr">
        <is>
          <t>EUR</t>
        </is>
      </c>
      <c r="I104" t="inlineStr">
        <is>
          <t>EUR</t>
        </is>
      </c>
      <c r="J104" s="51" t="n">
        <v>1</v>
      </c>
      <c r="K104" s="50" t="n">
        <v>79</v>
      </c>
      <c r="L104" t="inlineStr">
        <is>
          <t>documents</t>
        </is>
      </c>
      <c r="M104" s="52" t="inlineStr">
        <is>
          <t>RVR-17688</t>
        </is>
      </c>
      <c r="N104" t="inlineStr">
        <is>
          <t>https://drive.google.com/file/d/1D3oOwMbnoMx_ZwdzSUQ07lRdDelVCXX6/view?usp=drivesdk</t>
        </is>
      </c>
    </row>
    <row r="105" ht="12" customHeight="1">
      <c r="A105" t="inlineStr">
        <is>
          <t>202602</t>
        </is>
      </c>
      <c r="B105" t="inlineStr">
        <is>
          <t>SL</t>
        </is>
      </c>
      <c r="C105" t="inlineStr">
        <is>
          <t>opex</t>
        </is>
      </c>
      <c r="D105" t="inlineStr">
        <is>
          <t>technology</t>
        </is>
      </c>
      <c r="E105" t="inlineStr">
        <is>
          <t>SHOPIFY</t>
        </is>
      </c>
      <c r="F105" t="inlineStr"/>
      <c r="G105" s="50" t="n">
        <v>2812.25</v>
      </c>
      <c r="H105" t="inlineStr">
        <is>
          <t>USD</t>
        </is>
      </c>
      <c r="I105" t="inlineStr">
        <is>
          <t>EUR</t>
        </is>
      </c>
      <c r="J105" s="51" t="n">
        <v>0.84709869</v>
      </c>
      <c r="K105" s="50" t="n">
        <v>2382.25</v>
      </c>
      <c r="L105" t="inlineStr">
        <is>
          <t>documents</t>
        </is>
      </c>
      <c r="M105" s="52" t="inlineStr">
        <is>
          <t>493806587</t>
        </is>
      </c>
      <c r="N105" t="inlineStr">
        <is>
          <t>https://drive.google.com/file/d/1FNZalAzXj8a7ZNUt2CefEIFu_sLZ6iOY/view?usp=drivesdk</t>
        </is>
      </c>
    </row>
    <row r="106" ht="12" customHeight="1">
      <c r="A106" t="inlineStr">
        <is>
          <t>202602</t>
        </is>
      </c>
      <c r="B106" t="inlineStr">
        <is>
          <t>SL</t>
        </is>
      </c>
      <c r="C106" t="inlineStr">
        <is>
          <t>opex</t>
        </is>
      </c>
      <c r="D106" t="inlineStr">
        <is>
          <t>technology</t>
        </is>
      </c>
      <c r="E106" t="inlineStr">
        <is>
          <t>SYNCWITH</t>
        </is>
      </c>
      <c r="F106" t="inlineStr"/>
      <c r="G106" s="50" t="n">
        <v>24.99</v>
      </c>
      <c r="H106" t="inlineStr">
        <is>
          <t>USD</t>
        </is>
      </c>
      <c r="I106" t="inlineStr">
        <is>
          <t>EUR</t>
        </is>
      </c>
      <c r="J106" s="51" t="n">
        <v>0.84709869</v>
      </c>
      <c r="K106" s="50" t="n">
        <v>21.17</v>
      </c>
      <c r="L106" t="inlineStr">
        <is>
          <t>documents</t>
        </is>
      </c>
      <c r="M106" s="52" t="inlineStr">
        <is>
          <t>TADGCDFS-0001</t>
        </is>
      </c>
      <c r="N106" t="inlineStr">
        <is>
          <t>https://drive.google.com/file/d/1PjQXXRgJWle6bvVGYUn8W3Swp9IqcBqL/view?usp=drivesdk</t>
        </is>
      </c>
    </row>
    <row r="107" ht="12" customHeight="1">
      <c r="A107" t="inlineStr">
        <is>
          <t>202602</t>
        </is>
      </c>
      <c r="B107" t="inlineStr">
        <is>
          <t>SL</t>
        </is>
      </c>
      <c r="C107" t="inlineStr">
        <is>
          <t>opex</t>
        </is>
      </c>
      <c r="D107" t="inlineStr">
        <is>
          <t>administration</t>
        </is>
      </c>
      <c r="E107" t="inlineStr">
        <is>
          <t>TORRAS</t>
        </is>
      </c>
      <c r="F107" t="inlineStr"/>
      <c r="G107" s="50" t="n">
        <v>15</v>
      </c>
      <c r="H107" t="inlineStr">
        <is>
          <t>EUR</t>
        </is>
      </c>
      <c r="I107" t="inlineStr">
        <is>
          <t>EUR</t>
        </is>
      </c>
      <c r="J107" s="51" t="n">
        <v>1</v>
      </c>
      <c r="K107" s="50" t="n">
        <v>15</v>
      </c>
      <c r="L107" t="inlineStr">
        <is>
          <t>documents</t>
        </is>
      </c>
      <c r="M107" s="52" t="inlineStr">
        <is>
          <t>7/517</t>
        </is>
      </c>
      <c r="N107" t="inlineStr">
        <is>
          <t>https://drive.google.com/file/d/1ryYPmeaeN0WBdXxhk4O9pmdF4BlNsACt/view?usp=drivesdk</t>
        </is>
      </c>
    </row>
    <row r="108" ht="12" customHeight="1">
      <c r="A108" t="inlineStr">
        <is>
          <t>202602</t>
        </is>
      </c>
      <c r="B108" t="inlineStr">
        <is>
          <t>SL</t>
        </is>
      </c>
      <c r="C108" t="inlineStr">
        <is>
          <t>cogs</t>
        </is>
      </c>
      <c r="D108" t="inlineStr">
        <is>
          <t>logistics</t>
        </is>
      </c>
      <c r="E108" t="inlineStr">
        <is>
          <t>UPS</t>
        </is>
      </c>
      <c r="F108" t="inlineStr"/>
      <c r="G108" s="50" t="n">
        <v>643.8200000000001</v>
      </c>
      <c r="H108" t="inlineStr">
        <is>
          <t>EUR</t>
        </is>
      </c>
      <c r="I108" t="inlineStr">
        <is>
          <t>EUR</t>
        </is>
      </c>
      <c r="J108" s="51" t="n">
        <v>1</v>
      </c>
      <c r="K108" s="50" t="n">
        <v>643.8200000000001</v>
      </c>
      <c r="L108" t="inlineStr">
        <is>
          <t>documents</t>
        </is>
      </c>
      <c r="M108" s="52" t="inlineStr">
        <is>
          <t>326997856</t>
        </is>
      </c>
      <c r="N108" t="inlineStr">
        <is>
          <t>https://drive.google.com/file/d/1FyBHZEA9qWMwRhMfdTuL7ySwcplaqQc2/view?usp=drivesdk</t>
        </is>
      </c>
    </row>
    <row r="109" ht="12" customHeight="1">
      <c r="A109" t="inlineStr">
        <is>
          <t>202602</t>
        </is>
      </c>
      <c r="B109" t="inlineStr">
        <is>
          <t>SL</t>
        </is>
      </c>
      <c r="C109" t="inlineStr">
        <is>
          <t>cogs</t>
        </is>
      </c>
      <c r="D109" t="inlineStr">
        <is>
          <t>logistics</t>
        </is>
      </c>
      <c r="E109" t="inlineStr">
        <is>
          <t>UPS</t>
        </is>
      </c>
      <c r="F109" t="inlineStr"/>
      <c r="G109" s="50" t="n">
        <v>629.73</v>
      </c>
      <c r="H109" t="inlineStr">
        <is>
          <t>EUR</t>
        </is>
      </c>
      <c r="I109" t="inlineStr">
        <is>
          <t>EUR</t>
        </is>
      </c>
      <c r="J109" s="51" t="n">
        <v>1</v>
      </c>
      <c r="K109" s="50" t="n">
        <v>629.73</v>
      </c>
      <c r="L109" t="inlineStr">
        <is>
          <t>documents</t>
        </is>
      </c>
      <c r="M109" s="52" t="inlineStr">
        <is>
          <t>327030108</t>
        </is>
      </c>
      <c r="N109" t="inlineStr">
        <is>
          <t>https://drive.google.com/file/d/1iPkhcnUQ6IlOI2t9Y4lt6fcN9NoE8559/view?usp=drivesdk</t>
        </is>
      </c>
    </row>
    <row r="110" ht="12" customHeight="1">
      <c r="A110" t="inlineStr">
        <is>
          <t>202602</t>
        </is>
      </c>
      <c r="B110" t="inlineStr">
        <is>
          <t>SL</t>
        </is>
      </c>
      <c r="C110" t="inlineStr">
        <is>
          <t>cogs</t>
        </is>
      </c>
      <c r="D110" t="inlineStr">
        <is>
          <t>logistics</t>
        </is>
      </c>
      <c r="E110" t="inlineStr">
        <is>
          <t>UPS</t>
        </is>
      </c>
      <c r="F110" t="inlineStr"/>
      <c r="G110" s="50" t="n">
        <v>512.62</v>
      </c>
      <c r="H110" t="inlineStr">
        <is>
          <t>EUR</t>
        </is>
      </c>
      <c r="I110" t="inlineStr">
        <is>
          <t>EUR</t>
        </is>
      </c>
      <c r="J110" s="51" t="n">
        <v>1</v>
      </c>
      <c r="K110" s="50" t="n">
        <v>512.62</v>
      </c>
      <c r="L110" t="inlineStr">
        <is>
          <t>documents</t>
        </is>
      </c>
      <c r="M110" s="52" t="inlineStr">
        <is>
          <t>327061645</t>
        </is>
      </c>
      <c r="N110" t="inlineStr">
        <is>
          <t>https://drive.google.com/file/d/1nrrH_8TfwdiHGNLlFgfu6hEx8mBDTA67/view?usp=drivesdk</t>
        </is>
      </c>
    </row>
    <row r="111" ht="12" customHeight="1">
      <c r="A111" t="inlineStr">
        <is>
          <t>202602</t>
        </is>
      </c>
      <c r="B111" t="inlineStr">
        <is>
          <t>SL</t>
        </is>
      </c>
      <c r="C111" t="inlineStr">
        <is>
          <t>cogs</t>
        </is>
      </c>
      <c r="D111" t="inlineStr">
        <is>
          <t>logistics</t>
        </is>
      </c>
      <c r="E111" t="inlineStr">
        <is>
          <t>UPS</t>
        </is>
      </c>
      <c r="F111" t="inlineStr"/>
      <c r="G111" s="50" t="n">
        <v>40.32</v>
      </c>
      <c r="H111" t="inlineStr">
        <is>
          <t>EUR</t>
        </is>
      </c>
      <c r="I111" t="inlineStr">
        <is>
          <t>EUR</t>
        </is>
      </c>
      <c r="J111" s="51" t="n">
        <v>1</v>
      </c>
      <c r="K111" s="50" t="n">
        <v>40.32</v>
      </c>
      <c r="L111" t="inlineStr">
        <is>
          <t>documents</t>
        </is>
      </c>
      <c r="M111" s="52" t="inlineStr">
        <is>
          <t>838088024</t>
        </is>
      </c>
      <c r="N111" t="inlineStr">
        <is>
          <t>https://drive.google.com/file/d/1Lq08NNbxsMBp7B7MMjUiEknDIr3kxPc0/view?usp=drivesdk</t>
        </is>
      </c>
    </row>
    <row r="112" ht="12" customHeight="1">
      <c r="A112" t="inlineStr">
        <is>
          <t>202602</t>
        </is>
      </c>
      <c r="B112" t="inlineStr">
        <is>
          <t>SL</t>
        </is>
      </c>
      <c r="C112" t="inlineStr">
        <is>
          <t>opex</t>
        </is>
      </c>
      <c r="D112" t="inlineStr">
        <is>
          <t>technology</t>
        </is>
      </c>
      <c r="E112" t="inlineStr">
        <is>
          <t>YUMAAI</t>
        </is>
      </c>
      <c r="F112" t="inlineStr"/>
      <c r="G112" s="50" t="n">
        <v>440</v>
      </c>
      <c r="H112" t="inlineStr">
        <is>
          <t>EUR</t>
        </is>
      </c>
      <c r="I112" t="inlineStr">
        <is>
          <t>EUR</t>
        </is>
      </c>
      <c r="J112" s="51" t="n">
        <v>1</v>
      </c>
      <c r="K112" s="50" t="n">
        <v>440</v>
      </c>
      <c r="L112" t="inlineStr">
        <is>
          <t>documents</t>
        </is>
      </c>
      <c r="M112" s="52" t="inlineStr">
        <is>
          <t>OQXBYXMP-0005</t>
        </is>
      </c>
      <c r="N112" t="inlineStr">
        <is>
          <t>https://drive.google.com/file/d/1y53mv0-BjFCp7Z4Tp9mguo1WuS7RRlVK/view?usp=drivesdk</t>
        </is>
      </c>
    </row>
    <row r="113" ht="12" customHeight="1">
      <c r="A113" t="inlineStr">
        <is>
          <t>202603</t>
        </is>
      </c>
      <c r="B113" t="inlineStr">
        <is>
          <t>SL</t>
        </is>
      </c>
      <c r="C113" t="inlineStr">
        <is>
          <t>opex</t>
        </is>
      </c>
      <c r="D113" t="inlineStr">
        <is>
          <t>technology</t>
        </is>
      </c>
      <c r="E113" t="inlineStr">
        <is>
          <t>ADOBE</t>
        </is>
      </c>
      <c r="F113" t="inlineStr"/>
      <c r="G113" s="50" t="n">
        <v>33.49</v>
      </c>
      <c r="H113" t="inlineStr">
        <is>
          <t>EUR</t>
        </is>
      </c>
      <c r="I113" t="inlineStr">
        <is>
          <t>EUR</t>
        </is>
      </c>
      <c r="J113" s="51" t="n">
        <v>1</v>
      </c>
      <c r="K113" s="50" t="n">
        <v>33.49</v>
      </c>
      <c r="L113" t="inlineStr">
        <is>
          <t>documents</t>
        </is>
      </c>
      <c r="M113" s="52" t="inlineStr">
        <is>
          <t>IEE2026005856850</t>
        </is>
      </c>
      <c r="N113" t="inlineStr">
        <is>
          <t>https://drive.google.com/file/d/1_QV16SfnrecVZCv19siScEIbSVNhcwQY/view?usp=drivesdk</t>
        </is>
      </c>
    </row>
    <row r="114" ht="12" customHeight="1">
      <c r="A114" t="inlineStr">
        <is>
          <t>202603</t>
        </is>
      </c>
      <c r="B114" t="inlineStr">
        <is>
          <t>SL</t>
        </is>
      </c>
      <c r="C114" t="inlineStr">
        <is>
          <t>cogs</t>
        </is>
      </c>
      <c r="D114" t="inlineStr">
        <is>
          <t>manufacturing</t>
        </is>
      </c>
      <c r="E114" t="inlineStr">
        <is>
          <t>APPHOTOCAN</t>
        </is>
      </c>
      <c r="F114" t="inlineStr"/>
      <c r="G114" s="50" t="n">
        <v>116.57</v>
      </c>
      <c r="H114" t="inlineStr">
        <is>
          <t>EUR</t>
        </is>
      </c>
      <c r="I114" t="inlineStr">
        <is>
          <t>EUR</t>
        </is>
      </c>
      <c r="J114" s="51" t="n">
        <v>1</v>
      </c>
      <c r="K114" s="50" t="n">
        <v>116.57</v>
      </c>
      <c r="L114" t="inlineStr">
        <is>
          <t>documents</t>
        </is>
      </c>
      <c r="M114" s="52" t="inlineStr">
        <is>
          <t>26-1-600</t>
        </is>
      </c>
      <c r="N114" t="inlineStr">
        <is>
          <t>https://drive.google.com/file/d/1U8O1YcuZmCf_avd7RanqWgUAXL733mJ4/view?usp=drivesdk</t>
        </is>
      </c>
    </row>
    <row r="115" ht="12" customHeight="1">
      <c r="A115" t="inlineStr">
        <is>
          <t>202603</t>
        </is>
      </c>
      <c r="B115" t="inlineStr">
        <is>
          <t>SL</t>
        </is>
      </c>
      <c r="C115" t="inlineStr">
        <is>
          <t>cogs</t>
        </is>
      </c>
      <c r="D115" t="inlineStr">
        <is>
          <t>manufacturing</t>
        </is>
      </c>
      <c r="E115" t="inlineStr">
        <is>
          <t>APPHOTOES</t>
        </is>
      </c>
      <c r="F115" t="inlineStr"/>
      <c r="G115" s="50" t="n">
        <v>697.99</v>
      </c>
      <c r="H115" t="inlineStr">
        <is>
          <t>EUR</t>
        </is>
      </c>
      <c r="I115" t="inlineStr">
        <is>
          <t>EUR</t>
        </is>
      </c>
      <c r="J115" s="51" t="n">
        <v>1</v>
      </c>
      <c r="K115" s="50" t="n">
        <v>697.99</v>
      </c>
      <c r="L115" t="inlineStr">
        <is>
          <t>documents</t>
        </is>
      </c>
      <c r="M115" s="52" t="inlineStr">
        <is>
          <t>1-2805</t>
        </is>
      </c>
      <c r="N115" t="inlineStr">
        <is>
          <t>https://drive.google.com/file/d/1n1TdGRm0xbbUrhiWxso3ucgcPhj4jbzx/view?usp=drivesdk</t>
        </is>
      </c>
    </row>
    <row r="116" ht="12" customHeight="1">
      <c r="A116" t="inlineStr">
        <is>
          <t>202603</t>
        </is>
      </c>
      <c r="B116" t="inlineStr">
        <is>
          <t>SL</t>
        </is>
      </c>
      <c r="C116" t="inlineStr">
        <is>
          <t>cogs</t>
        </is>
      </c>
      <c r="D116" t="inlineStr">
        <is>
          <t>manufacturing</t>
        </is>
      </c>
      <c r="E116" t="inlineStr">
        <is>
          <t>APPHOTOES</t>
        </is>
      </c>
      <c r="F116" t="inlineStr"/>
      <c r="G116" s="50" t="n">
        <v>26.57</v>
      </c>
      <c r="H116" t="inlineStr">
        <is>
          <t>EUR</t>
        </is>
      </c>
      <c r="I116" t="inlineStr">
        <is>
          <t>EUR</t>
        </is>
      </c>
      <c r="J116" s="51" t="n">
        <v>1</v>
      </c>
      <c r="K116" s="50" t="n">
        <v>26.57</v>
      </c>
      <c r="L116" t="inlineStr">
        <is>
          <t>documents</t>
        </is>
      </c>
      <c r="M116" s="52" t="inlineStr">
        <is>
          <t>1-2806</t>
        </is>
      </c>
      <c r="N116" t="inlineStr">
        <is>
          <t>https://drive.google.com/file/d/1ao5r16qm7GhBSrW3YeiF3erPmxlcHELA/view?usp=drivesdk</t>
        </is>
      </c>
    </row>
    <row r="117" ht="12" customHeight="1">
      <c r="A117" t="inlineStr">
        <is>
          <t>202603</t>
        </is>
      </c>
      <c r="B117" t="inlineStr">
        <is>
          <t>SL</t>
        </is>
      </c>
      <c r="C117" t="inlineStr">
        <is>
          <t>cogs</t>
        </is>
      </c>
      <c r="D117" t="inlineStr">
        <is>
          <t>manufacturing</t>
        </is>
      </c>
      <c r="E117" t="inlineStr">
        <is>
          <t>APPHOTOES</t>
        </is>
      </c>
      <c r="F117" t="inlineStr"/>
      <c r="G117" s="50" t="n">
        <v>150.61</v>
      </c>
      <c r="H117" t="inlineStr">
        <is>
          <t>EUR</t>
        </is>
      </c>
      <c r="I117" t="inlineStr">
        <is>
          <t>EUR</t>
        </is>
      </c>
      <c r="J117" s="51" t="n">
        <v>1</v>
      </c>
      <c r="K117" s="50" t="n">
        <v>150.61</v>
      </c>
      <c r="L117" t="inlineStr">
        <is>
          <t>documents</t>
        </is>
      </c>
      <c r="M117" s="52" t="inlineStr">
        <is>
          <t>1-2807</t>
        </is>
      </c>
      <c r="N117" t="inlineStr">
        <is>
          <t>https://drive.google.com/file/d/1OXbTejlLlT9SzZTWZP1D7tU57XBkfsLB/view?usp=drivesdk</t>
        </is>
      </c>
    </row>
    <row r="118" ht="12" customHeight="1">
      <c r="A118" t="inlineStr">
        <is>
          <t>202603</t>
        </is>
      </c>
      <c r="B118" t="inlineStr">
        <is>
          <t>SL</t>
        </is>
      </c>
      <c r="C118" t="inlineStr">
        <is>
          <t>cogs</t>
        </is>
      </c>
      <c r="D118" t="inlineStr">
        <is>
          <t>manufacturing</t>
        </is>
      </c>
      <c r="E118" t="inlineStr">
        <is>
          <t>APPHOTOES</t>
        </is>
      </c>
      <c r="F118" t="inlineStr"/>
      <c r="G118" s="50" t="n">
        <v>35.45</v>
      </c>
      <c r="H118" t="inlineStr">
        <is>
          <t>EUR</t>
        </is>
      </c>
      <c r="I118" t="inlineStr">
        <is>
          <t>EUR</t>
        </is>
      </c>
      <c r="J118" s="51" t="n">
        <v>1</v>
      </c>
      <c r="K118" s="50" t="n">
        <v>35.45</v>
      </c>
      <c r="L118" t="inlineStr">
        <is>
          <t>documents</t>
        </is>
      </c>
      <c r="M118" s="52" t="inlineStr">
        <is>
          <t>1-2808</t>
        </is>
      </c>
      <c r="N118" t="inlineStr">
        <is>
          <t>https://drive.google.com/file/d/1-0D2m0NVI4A5J-ddmlF3nafsBa8vGWBd/view?usp=drivesdk</t>
        </is>
      </c>
    </row>
    <row r="119" ht="12" customHeight="1">
      <c r="A119" t="inlineStr">
        <is>
          <t>202603</t>
        </is>
      </c>
      <c r="B119" t="inlineStr">
        <is>
          <t>SL</t>
        </is>
      </c>
      <c r="C119" t="inlineStr">
        <is>
          <t>cogs</t>
        </is>
      </c>
      <c r="D119" t="inlineStr">
        <is>
          <t>manufacturing</t>
        </is>
      </c>
      <c r="E119" t="inlineStr">
        <is>
          <t>APPHOTOES</t>
        </is>
      </c>
      <c r="F119" t="inlineStr"/>
      <c r="G119" s="50" t="n">
        <v>18.45</v>
      </c>
      <c r="H119" t="inlineStr">
        <is>
          <t>EUR</t>
        </is>
      </c>
      <c r="I119" t="inlineStr">
        <is>
          <t>EUR</t>
        </is>
      </c>
      <c r="J119" s="51" t="n">
        <v>1</v>
      </c>
      <c r="K119" s="50" t="n">
        <v>18.45</v>
      </c>
      <c r="L119" t="inlineStr">
        <is>
          <t>documents</t>
        </is>
      </c>
      <c r="M119" s="52" t="inlineStr">
        <is>
          <t>1-2809</t>
        </is>
      </c>
      <c r="N119" t="inlineStr">
        <is>
          <t>https://drive.google.com/file/d/109FoRS20p6fG5cg4HRHkxTwOGMiEB3AH/view?usp=drivesdk</t>
        </is>
      </c>
    </row>
    <row r="120" ht="12" customHeight="1">
      <c r="A120" t="inlineStr">
        <is>
          <t>202603</t>
        </is>
      </c>
      <c r="B120" t="inlineStr">
        <is>
          <t>SL</t>
        </is>
      </c>
      <c r="C120" t="inlineStr">
        <is>
          <t>cogs</t>
        </is>
      </c>
      <c r="D120" t="inlineStr">
        <is>
          <t>manufacturing</t>
        </is>
      </c>
      <c r="E120" t="inlineStr">
        <is>
          <t>APPHOTOES</t>
        </is>
      </c>
      <c r="F120" t="inlineStr"/>
      <c r="G120" s="50" t="n">
        <v>6244.25</v>
      </c>
      <c r="H120" t="inlineStr">
        <is>
          <t>EUR</t>
        </is>
      </c>
      <c r="I120" t="inlineStr">
        <is>
          <t>EUR</t>
        </is>
      </c>
      <c r="J120" s="51" t="n">
        <v>1</v>
      </c>
      <c r="K120" s="50" t="n">
        <v>6244.25</v>
      </c>
      <c r="L120" t="inlineStr">
        <is>
          <t>documents</t>
        </is>
      </c>
      <c r="M120" s="52" t="inlineStr">
        <is>
          <t>1-2921</t>
        </is>
      </c>
      <c r="N120" t="inlineStr">
        <is>
          <t>https://drive.google.com/file/d/1md630rqHnAw6S5fnMiH86ktIGL9wAfgF/view?usp=drivesdk</t>
        </is>
      </c>
    </row>
    <row r="121" ht="12" customHeight="1">
      <c r="A121" t="inlineStr">
        <is>
          <t>202603</t>
        </is>
      </c>
      <c r="B121" t="inlineStr">
        <is>
          <t>SL</t>
        </is>
      </c>
      <c r="C121" t="inlineStr">
        <is>
          <t>cogs</t>
        </is>
      </c>
      <c r="D121" t="inlineStr">
        <is>
          <t>manufacturing</t>
        </is>
      </c>
      <c r="E121" t="inlineStr">
        <is>
          <t>APPHOTOES</t>
        </is>
      </c>
      <c r="F121" t="inlineStr"/>
      <c r="G121" s="50" t="n">
        <v>4435.99</v>
      </c>
      <c r="H121" t="inlineStr">
        <is>
          <t>EUR</t>
        </is>
      </c>
      <c r="I121" t="inlineStr">
        <is>
          <t>EUR</t>
        </is>
      </c>
      <c r="J121" s="51" t="n">
        <v>1</v>
      </c>
      <c r="K121" s="50" t="n">
        <v>4435.99</v>
      </c>
      <c r="L121" t="inlineStr">
        <is>
          <t>documents</t>
        </is>
      </c>
      <c r="M121" s="52" t="inlineStr">
        <is>
          <t>1-3283</t>
        </is>
      </c>
      <c r="N121" t="inlineStr">
        <is>
          <t>https://drive.google.com/file/d/1MkhCT3OZenS4bJf5_J2qB8oGGw8oFzkf/view?usp=drivesdk</t>
        </is>
      </c>
    </row>
    <row r="122" ht="12" customHeight="1">
      <c r="A122" t="inlineStr">
        <is>
          <t>202603</t>
        </is>
      </c>
      <c r="B122" t="inlineStr">
        <is>
          <t>SL</t>
        </is>
      </c>
      <c r="C122" t="inlineStr">
        <is>
          <t>cogs</t>
        </is>
      </c>
      <c r="D122" t="inlineStr">
        <is>
          <t>manufacturing</t>
        </is>
      </c>
      <c r="E122" t="inlineStr">
        <is>
          <t>APPHOTOES</t>
        </is>
      </c>
      <c r="F122" t="inlineStr"/>
      <c r="G122" s="50" t="n">
        <v>3843.26</v>
      </c>
      <c r="H122" t="inlineStr">
        <is>
          <t>EUR</t>
        </is>
      </c>
      <c r="I122" t="inlineStr">
        <is>
          <t>EUR</t>
        </is>
      </c>
      <c r="J122" s="51" t="n">
        <v>1</v>
      </c>
      <c r="K122" s="50" t="n">
        <v>3843.26</v>
      </c>
      <c r="L122" t="inlineStr">
        <is>
          <t>documents</t>
        </is>
      </c>
      <c r="M122" s="52" t="inlineStr">
        <is>
          <t>1-3565</t>
        </is>
      </c>
      <c r="N122" t="inlineStr">
        <is>
          <t>https://drive.google.com/file/d/19nt9_Pc7ZLzBMkh9rxX3ashw6fPaDBG_/view?usp=drivesdk</t>
        </is>
      </c>
    </row>
    <row r="123" ht="12" customHeight="1">
      <c r="A123" t="inlineStr">
        <is>
          <t>202603</t>
        </is>
      </c>
      <c r="B123" t="inlineStr">
        <is>
          <t>SL</t>
        </is>
      </c>
      <c r="C123" t="inlineStr">
        <is>
          <t>cogs</t>
        </is>
      </c>
      <c r="D123" t="inlineStr">
        <is>
          <t>manufacturing</t>
        </is>
      </c>
      <c r="E123" t="inlineStr">
        <is>
          <t>APPHOTOES</t>
        </is>
      </c>
      <c r="F123" t="inlineStr"/>
      <c r="G123" s="50" t="n">
        <v>5825.41</v>
      </c>
      <c r="H123" t="inlineStr">
        <is>
          <t>EUR</t>
        </is>
      </c>
      <c r="I123" t="inlineStr">
        <is>
          <t>EUR</t>
        </is>
      </c>
      <c r="J123" s="51" t="n">
        <v>1</v>
      </c>
      <c r="K123" s="50" t="n">
        <v>5825.41</v>
      </c>
      <c r="L123" t="inlineStr">
        <is>
          <t>documents</t>
        </is>
      </c>
      <c r="M123" s="52" t="inlineStr">
        <is>
          <t>1-3959</t>
        </is>
      </c>
      <c r="N123" t="inlineStr">
        <is>
          <t>https://drive.google.com/file/d/1qmdVuUyZKvATz7DKzN55oORVw6pAX9mO/view?usp=drivesdk</t>
        </is>
      </c>
    </row>
    <row r="124" ht="12" customHeight="1">
      <c r="A124" t="inlineStr">
        <is>
          <t>202603</t>
        </is>
      </c>
      <c r="B124" t="inlineStr">
        <is>
          <t>SL</t>
        </is>
      </c>
      <c r="C124" t="inlineStr">
        <is>
          <t>cogs</t>
        </is>
      </c>
      <c r="D124" t="inlineStr">
        <is>
          <t>manufacturing</t>
        </is>
      </c>
      <c r="E124" t="inlineStr">
        <is>
          <t>ARTLINK</t>
        </is>
      </c>
      <c r="F124" t="inlineStr">
        <is>
          <t>manufacturing</t>
        </is>
      </c>
      <c r="G124" s="50" t="n">
        <v>570</v>
      </c>
      <c r="H124" t="inlineStr">
        <is>
          <t>EUR</t>
        </is>
      </c>
      <c r="I124" t="inlineStr">
        <is>
          <t>EUR</t>
        </is>
      </c>
      <c r="J124" s="51" t="n">
        <v>1</v>
      </c>
      <c r="K124" s="50" t="n">
        <v>570</v>
      </c>
      <c r="L124" t="inlineStr">
        <is>
          <t>documents</t>
        </is>
      </c>
      <c r="M124" s="52" t="inlineStr">
        <is>
          <t>000203570</t>
        </is>
      </c>
      <c r="N124" t="inlineStr">
        <is>
          <t>https://drive.google.com/file/d/1cfzsuLvXSAtRD2pLnRBZ59veQeIWQKjQ/view?usp=drivesdk</t>
        </is>
      </c>
    </row>
    <row r="125" ht="12" customHeight="1">
      <c r="A125" t="inlineStr">
        <is>
          <t>202603</t>
        </is>
      </c>
      <c r="B125" t="inlineStr">
        <is>
          <t>SL</t>
        </is>
      </c>
      <c r="C125" t="inlineStr">
        <is>
          <t>opex</t>
        </is>
      </c>
      <c r="D125" t="inlineStr">
        <is>
          <t>administration</t>
        </is>
      </c>
      <c r="E125" t="inlineStr">
        <is>
          <t>BBVACNC</t>
        </is>
      </c>
      <c r="F125" t="inlineStr"/>
      <c r="G125" s="50" t="n">
        <v>1644.62</v>
      </c>
      <c r="H125" t="inlineStr">
        <is>
          <t>EUR</t>
        </is>
      </c>
      <c r="I125" t="inlineStr">
        <is>
          <t>EUR</t>
        </is>
      </c>
      <c r="J125" s="51" t="n">
        <v>1</v>
      </c>
      <c r="K125" s="50" t="n">
        <v>1644.62</v>
      </c>
      <c r="L125" t="inlineStr">
        <is>
          <t>documents</t>
        </is>
      </c>
      <c r="M125" s="52" t="inlineStr">
        <is>
          <t>260992A00111734</t>
        </is>
      </c>
      <c r="N125" t="inlineStr">
        <is>
          <t>https://drive.google.com/file/d/1fSgw1oO1UaL0OokALxdVmk9Gs9s5_Vdz/view?usp=drivesdk</t>
        </is>
      </c>
    </row>
    <row r="126" ht="12" customHeight="1">
      <c r="A126" t="inlineStr">
        <is>
          <t>202603</t>
        </is>
      </c>
      <c r="B126" t="inlineStr">
        <is>
          <t>SL</t>
        </is>
      </c>
      <c r="C126" t="inlineStr">
        <is>
          <t>opex</t>
        </is>
      </c>
      <c r="D126" t="inlineStr">
        <is>
          <t>technology</t>
        </is>
      </c>
      <c r="E126" t="inlineStr">
        <is>
          <t>CANVA</t>
        </is>
      </c>
      <c r="F126" t="inlineStr"/>
      <c r="G126" s="50" t="n">
        <v>9.91</v>
      </c>
      <c r="H126" t="inlineStr">
        <is>
          <t>EUR</t>
        </is>
      </c>
      <c r="I126" t="inlineStr">
        <is>
          <t>EUR</t>
        </is>
      </c>
      <c r="J126" s="51" t="n">
        <v>1</v>
      </c>
      <c r="K126" s="50" t="n">
        <v>9.91</v>
      </c>
      <c r="L126" t="inlineStr">
        <is>
          <t>documents</t>
        </is>
      </c>
      <c r="M126" s="52" t="inlineStr">
        <is>
          <t>04824-31033212</t>
        </is>
      </c>
      <c r="N126" t="inlineStr">
        <is>
          <t>https://drive.google.com/file/d/1Bt_uYId0Ke_7yyUlyt95NlsppeCL3W_F/view?usp=drivesdk</t>
        </is>
      </c>
    </row>
    <row r="127" ht="12" customHeight="1">
      <c r="A127" t="inlineStr">
        <is>
          <t>202603</t>
        </is>
      </c>
      <c r="B127" t="inlineStr">
        <is>
          <t>SL</t>
        </is>
      </c>
      <c r="C127" t="inlineStr">
        <is>
          <t>opex</t>
        </is>
      </c>
      <c r="D127" t="inlineStr">
        <is>
          <t>administration</t>
        </is>
      </c>
      <c r="E127" t="inlineStr">
        <is>
          <t>CLARIS</t>
        </is>
      </c>
      <c r="F127" t="inlineStr"/>
      <c r="G127" s="50" t="n">
        <v>808.08</v>
      </c>
      <c r="H127" t="inlineStr">
        <is>
          <t>EUR</t>
        </is>
      </c>
      <c r="I127" t="inlineStr">
        <is>
          <t>EUR</t>
        </is>
      </c>
      <c r="J127" s="51" t="n">
        <v>1</v>
      </c>
      <c r="K127" s="50" t="n">
        <v>808.08</v>
      </c>
      <c r="L127" t="inlineStr">
        <is>
          <t>documents</t>
        </is>
      </c>
      <c r="M127" s="52" t="inlineStr">
        <is>
          <t>F00658/26</t>
        </is>
      </c>
      <c r="N127" t="inlineStr">
        <is>
          <t>https://drive.google.com/file/d/194sPXt7bz4RYudtr1LLnRSTHRD3IRfX_/view?usp=drivesdk</t>
        </is>
      </c>
    </row>
    <row r="128" ht="12" customHeight="1">
      <c r="A128" t="inlineStr">
        <is>
          <t>202603</t>
        </is>
      </c>
      <c r="B128" t="inlineStr">
        <is>
          <t>SL</t>
        </is>
      </c>
      <c r="C128" t="inlineStr">
        <is>
          <t>opex</t>
        </is>
      </c>
      <c r="D128" t="inlineStr">
        <is>
          <t>administration</t>
        </is>
      </c>
      <c r="E128" t="inlineStr">
        <is>
          <t>CONTASIMPLE</t>
        </is>
      </c>
      <c r="F128" t="inlineStr"/>
      <c r="G128" s="50" t="n">
        <v>191.4</v>
      </c>
      <c r="H128" t="inlineStr">
        <is>
          <t>EUR</t>
        </is>
      </c>
      <c r="I128" t="inlineStr">
        <is>
          <t>EUR</t>
        </is>
      </c>
      <c r="J128" s="51" t="n">
        <v>1</v>
      </c>
      <c r="K128" s="50" t="n">
        <v>191.4</v>
      </c>
      <c r="L128" t="inlineStr">
        <is>
          <t>documents</t>
        </is>
      </c>
      <c r="M128" s="52" t="inlineStr">
        <is>
          <t>ES-2026-11348</t>
        </is>
      </c>
      <c r="N128" t="inlineStr">
        <is>
          <t>https://drive.google.com/file/d/1Kf3zLbAifsK47hwsfDtdiya2nTjoZhbc/view?usp=drivesdk</t>
        </is>
      </c>
    </row>
    <row r="129" ht="12" customHeight="1">
      <c r="A129" t="inlineStr">
        <is>
          <t>202603</t>
        </is>
      </c>
      <c r="B129" t="inlineStr">
        <is>
          <t>SL</t>
        </is>
      </c>
      <c r="C129" t="inlineStr">
        <is>
          <t>cogs</t>
        </is>
      </c>
      <c r="D129" t="inlineStr">
        <is>
          <t>logistics</t>
        </is>
      </c>
      <c r="E129" t="inlineStr">
        <is>
          <t>CORREOS</t>
        </is>
      </c>
      <c r="F129" t="inlineStr"/>
      <c r="G129" s="50" t="n">
        <v>193.8</v>
      </c>
      <c r="H129" t="inlineStr">
        <is>
          <t>EUR</t>
        </is>
      </c>
      <c r="I129" t="inlineStr">
        <is>
          <t>EUR</t>
        </is>
      </c>
      <c r="J129" s="51" t="n">
        <v>1</v>
      </c>
      <c r="K129" s="50" t="n">
        <v>193.8</v>
      </c>
      <c r="L129" t="inlineStr">
        <is>
          <t>documents</t>
        </is>
      </c>
      <c r="M129" s="52" t="inlineStr">
        <is>
          <t>4004641446</t>
        </is>
      </c>
      <c r="N129" t="inlineStr">
        <is>
          <t>https://drive.google.com/file/d/19BOJcU-tZOdXNewpB9MmZXKbUeYoLmQW/view?usp=drivesdk</t>
        </is>
      </c>
    </row>
    <row r="130" ht="12" customHeight="1">
      <c r="A130" t="inlineStr">
        <is>
          <t>202603</t>
        </is>
      </c>
      <c r="B130" t="inlineStr">
        <is>
          <t>SL</t>
        </is>
      </c>
      <c r="C130" t="inlineStr">
        <is>
          <t>cogs</t>
        </is>
      </c>
      <c r="D130" t="inlineStr">
        <is>
          <t>logistics</t>
        </is>
      </c>
      <c r="E130" t="inlineStr">
        <is>
          <t>CORREOSCAN</t>
        </is>
      </c>
      <c r="F130" t="inlineStr"/>
      <c r="G130" s="50" t="n">
        <v>23.66</v>
      </c>
      <c r="H130" t="inlineStr">
        <is>
          <t>EUR</t>
        </is>
      </c>
      <c r="I130" t="inlineStr">
        <is>
          <t>EUR</t>
        </is>
      </c>
      <c r="J130" s="51" t="n">
        <v>1</v>
      </c>
      <c r="K130" s="50" t="n">
        <v>23.66</v>
      </c>
      <c r="L130" t="inlineStr">
        <is>
          <t>documents</t>
        </is>
      </c>
      <c r="M130" s="52" t="inlineStr">
        <is>
          <t>4004641447</t>
        </is>
      </c>
      <c r="N130" t="inlineStr">
        <is>
          <t>https://drive.google.com/file/d/1OSsPTK_eKr03kWPWfsduaZWbO-PcRSKN/view?usp=drivesdk</t>
        </is>
      </c>
    </row>
    <row r="131" ht="12" customHeight="1">
      <c r="A131" t="inlineStr">
        <is>
          <t>202603</t>
        </is>
      </c>
      <c r="B131" t="inlineStr">
        <is>
          <t>SL</t>
        </is>
      </c>
      <c r="C131" t="inlineStr">
        <is>
          <t>cogs</t>
        </is>
      </c>
      <c r="D131" t="inlineStr">
        <is>
          <t>manufacturing</t>
        </is>
      </c>
      <c r="E131" t="inlineStr">
        <is>
          <t>DCT</t>
        </is>
      </c>
      <c r="F131" t="inlineStr"/>
      <c r="G131" s="50" t="n">
        <v>2646.66</v>
      </c>
      <c r="H131" t="inlineStr">
        <is>
          <t>EUR</t>
        </is>
      </c>
      <c r="I131" t="inlineStr">
        <is>
          <t>EUR</t>
        </is>
      </c>
      <c r="J131" s="51" t="n">
        <v>1</v>
      </c>
      <c r="K131" s="50" t="n">
        <v>2646.66</v>
      </c>
      <c r="L131" t="inlineStr">
        <is>
          <t>documents</t>
        </is>
      </c>
      <c r="M131" s="52" t="inlineStr">
        <is>
          <t>26-0463</t>
        </is>
      </c>
      <c r="N131" t="inlineStr">
        <is>
          <t>https://drive.google.com/file/d/1d9bGOdNerfRkG8hm-9tNwNLOClNoUKV1/view?usp=drivesdk</t>
        </is>
      </c>
    </row>
    <row r="132" ht="12" customHeight="1">
      <c r="A132" t="inlineStr">
        <is>
          <t>202603</t>
        </is>
      </c>
      <c r="B132" t="inlineStr">
        <is>
          <t>SL</t>
        </is>
      </c>
      <c r="C132" t="inlineStr">
        <is>
          <t>cogs</t>
        </is>
      </c>
      <c r="D132" t="inlineStr">
        <is>
          <t>manufacturing</t>
        </is>
      </c>
      <c r="E132" t="inlineStr">
        <is>
          <t>DCT</t>
        </is>
      </c>
      <c r="F132" t="inlineStr"/>
      <c r="G132" s="50" t="n">
        <v>2854.58</v>
      </c>
      <c r="H132" t="inlineStr">
        <is>
          <t>EUR</t>
        </is>
      </c>
      <c r="I132" t="inlineStr">
        <is>
          <t>EUR</t>
        </is>
      </c>
      <c r="J132" s="51" t="n">
        <v>1</v>
      </c>
      <c r="K132" s="50" t="n">
        <v>2854.58</v>
      </c>
      <c r="L132" t="inlineStr">
        <is>
          <t>documents</t>
        </is>
      </c>
      <c r="M132" s="52" t="inlineStr">
        <is>
          <t>26-0548</t>
        </is>
      </c>
      <c r="N132" t="inlineStr">
        <is>
          <t>https://drive.google.com/file/d/1RN40IgZT0khKxDgZ1TciqcREU1AzC6iG/view?usp=drivesdk</t>
        </is>
      </c>
    </row>
    <row r="133" ht="12" customHeight="1">
      <c r="A133" t="inlineStr">
        <is>
          <t>202603</t>
        </is>
      </c>
      <c r="B133" t="inlineStr">
        <is>
          <t>SL</t>
        </is>
      </c>
      <c r="C133" t="inlineStr">
        <is>
          <t>cogs</t>
        </is>
      </c>
      <c r="D133" t="inlineStr">
        <is>
          <t>logistics</t>
        </is>
      </c>
      <c r="E133" t="inlineStr">
        <is>
          <t>GLS</t>
        </is>
      </c>
      <c r="F133" t="inlineStr"/>
      <c r="G133" s="50" t="n">
        <v>14170.85</v>
      </c>
      <c r="H133" t="inlineStr">
        <is>
          <t>EUR</t>
        </is>
      </c>
      <c r="I133" t="inlineStr">
        <is>
          <t>EUR</t>
        </is>
      </c>
      <c r="J133" s="51" t="n">
        <v>1</v>
      </c>
      <c r="K133" s="50" t="n">
        <v>14170.85</v>
      </c>
      <c r="L133" t="inlineStr">
        <is>
          <t>documents</t>
        </is>
      </c>
      <c r="M133" s="52" t="inlineStr">
        <is>
          <t>20260150</t>
        </is>
      </c>
      <c r="N133" t="inlineStr">
        <is>
          <t>https://drive.google.com/file/d/1Fys_Ke3o0S3pZkqtEQkaOmeaEm-sTj0X/view?usp=drivesdk</t>
        </is>
      </c>
    </row>
    <row r="134" ht="12" customHeight="1">
      <c r="A134" t="inlineStr">
        <is>
          <t>202603</t>
        </is>
      </c>
      <c r="B134" t="inlineStr">
        <is>
          <t>SL</t>
        </is>
      </c>
      <c r="C134" t="inlineStr">
        <is>
          <t>opex</t>
        </is>
      </c>
      <c r="D134" t="inlineStr">
        <is>
          <t>technology</t>
        </is>
      </c>
      <c r="E134" t="inlineStr">
        <is>
          <t>GODADDY</t>
        </is>
      </c>
      <c r="F134" t="inlineStr"/>
      <c r="G134" s="50" t="n">
        <v>13.11</v>
      </c>
      <c r="H134" t="inlineStr">
        <is>
          <t>EUR</t>
        </is>
      </c>
      <c r="I134" t="inlineStr">
        <is>
          <t>EUR</t>
        </is>
      </c>
      <c r="J134" s="51" t="n">
        <v>1</v>
      </c>
      <c r="K134" s="50" t="n">
        <v>13.11</v>
      </c>
      <c r="L134" t="inlineStr">
        <is>
          <t>documents</t>
        </is>
      </c>
      <c r="M134" s="52" t="inlineStr">
        <is>
          <t>4046950709</t>
        </is>
      </c>
      <c r="N134" t="inlineStr">
        <is>
          <t>https://drive.google.com/file/d/1mhP1xnzmk8CIu8lzS9UTKi1YVgQ0j5vD/view?usp=drivesdk</t>
        </is>
      </c>
    </row>
    <row r="135" ht="12" customHeight="1">
      <c r="A135" t="inlineStr">
        <is>
          <t>202603</t>
        </is>
      </c>
      <c r="B135" t="inlineStr">
        <is>
          <t>SL</t>
        </is>
      </c>
      <c r="C135" t="inlineStr">
        <is>
          <t>opex</t>
        </is>
      </c>
      <c r="D135" t="inlineStr">
        <is>
          <t>technology</t>
        </is>
      </c>
      <c r="E135" t="inlineStr">
        <is>
          <t>GODADDY</t>
        </is>
      </c>
      <c r="F135" t="inlineStr"/>
      <c r="G135" s="50" t="n">
        <v>21.99</v>
      </c>
      <c r="H135" t="inlineStr">
        <is>
          <t>EUR</t>
        </is>
      </c>
      <c r="I135" t="inlineStr">
        <is>
          <t>EUR</t>
        </is>
      </c>
      <c r="J135" s="51" t="n">
        <v>1</v>
      </c>
      <c r="K135" s="50" t="n">
        <v>21.99</v>
      </c>
      <c r="L135" t="inlineStr">
        <is>
          <t>documents</t>
        </is>
      </c>
      <c r="M135" s="52" t="inlineStr">
        <is>
          <t>4048729358</t>
        </is>
      </c>
      <c r="N135" t="inlineStr">
        <is>
          <t>https://drive.google.com/file/d/1EeQh_f0ge3L2vpmoZhGqULVvQDnFYlXt/view?usp=drivesdk</t>
        </is>
      </c>
    </row>
    <row r="136" ht="12" customHeight="1">
      <c r="A136" t="inlineStr">
        <is>
          <t>202603</t>
        </is>
      </c>
      <c r="B136" t="inlineStr">
        <is>
          <t>SL</t>
        </is>
      </c>
      <c r="C136" t="inlineStr">
        <is>
          <t>opex</t>
        </is>
      </c>
      <c r="D136" t="inlineStr">
        <is>
          <t>marketing</t>
        </is>
      </c>
      <c r="E136" t="inlineStr">
        <is>
          <t>GOOGLEADS</t>
        </is>
      </c>
      <c r="F136" t="inlineStr">
        <is>
          <t>eu</t>
        </is>
      </c>
      <c r="G136" s="50" t="n">
        <v>24360.27</v>
      </c>
      <c r="H136" t="inlineStr">
        <is>
          <t>EUR</t>
        </is>
      </c>
      <c r="I136" t="inlineStr">
        <is>
          <t>EUR</t>
        </is>
      </c>
      <c r="J136" s="51" t="n">
        <v>1</v>
      </c>
      <c r="K136" s="50" t="n">
        <v>24360.27</v>
      </c>
      <c r="L136" t="inlineStr">
        <is>
          <t>documents</t>
        </is>
      </c>
      <c r="M136" s="52" t="inlineStr">
        <is>
          <t>5538547928</t>
        </is>
      </c>
      <c r="N136" t="inlineStr">
        <is>
          <t>https://drive.google.com/file/d/1s7eUjqGV_ux0WxJrpYLtGKjjOS3f9F_q/view?usp=drivesdk</t>
        </is>
      </c>
    </row>
    <row r="137" ht="12" customHeight="1">
      <c r="A137" t="inlineStr">
        <is>
          <t>202603</t>
        </is>
      </c>
      <c r="B137" t="inlineStr">
        <is>
          <t>SL</t>
        </is>
      </c>
      <c r="C137" t="inlineStr">
        <is>
          <t>opex</t>
        </is>
      </c>
      <c r="D137" t="inlineStr">
        <is>
          <t>marketing</t>
        </is>
      </c>
      <c r="E137" t="inlineStr">
        <is>
          <t>GOOGLEADS</t>
        </is>
      </c>
      <c r="F137" t="inlineStr">
        <is>
          <t>uk</t>
        </is>
      </c>
      <c r="G137" s="50" t="n">
        <v>5956.59</v>
      </c>
      <c r="H137" t="inlineStr">
        <is>
          <t>EUR</t>
        </is>
      </c>
      <c r="I137" t="inlineStr">
        <is>
          <t>EUR</t>
        </is>
      </c>
      <c r="J137" s="51" t="n">
        <v>1</v>
      </c>
      <c r="K137" s="50" t="n">
        <v>5956.59</v>
      </c>
      <c r="L137" t="inlineStr">
        <is>
          <t>documents</t>
        </is>
      </c>
      <c r="M137" s="52" t="inlineStr">
        <is>
          <t>5538547928</t>
        </is>
      </c>
      <c r="N137" t="inlineStr">
        <is>
          <t>https://drive.google.com/file/d/1s7eUjqGV_ux0WxJrpYLtGKjjOS3f9F_q/view?usp=drivesdk</t>
        </is>
      </c>
    </row>
    <row r="138" ht="12" customHeight="1">
      <c r="A138" t="inlineStr">
        <is>
          <t>202603</t>
        </is>
      </c>
      <c r="B138" t="inlineStr">
        <is>
          <t>SL</t>
        </is>
      </c>
      <c r="C138" t="inlineStr">
        <is>
          <t>opex</t>
        </is>
      </c>
      <c r="D138" t="inlineStr">
        <is>
          <t>marketing</t>
        </is>
      </c>
      <c r="E138" t="inlineStr">
        <is>
          <t>GOOGLEADS</t>
        </is>
      </c>
      <c r="F138" t="inlineStr">
        <is>
          <t>us</t>
        </is>
      </c>
      <c r="G138" s="50" t="n">
        <v>3341.56</v>
      </c>
      <c r="H138" t="inlineStr">
        <is>
          <t>EUR</t>
        </is>
      </c>
      <c r="I138" t="inlineStr">
        <is>
          <t>EUR</t>
        </is>
      </c>
      <c r="J138" s="51" t="n">
        <v>1</v>
      </c>
      <c r="K138" s="50" t="n">
        <v>3341.56</v>
      </c>
      <c r="L138" t="inlineStr">
        <is>
          <t>documents</t>
        </is>
      </c>
      <c r="M138" s="52" t="inlineStr">
        <is>
          <t>5538547928</t>
        </is>
      </c>
      <c r="N138" t="inlineStr">
        <is>
          <t>https://drive.google.com/file/d/1s7eUjqGV_ux0WxJrpYLtGKjjOS3f9F_q/view?usp=drivesdk</t>
        </is>
      </c>
    </row>
    <row r="139" ht="12" customHeight="1">
      <c r="A139" t="inlineStr">
        <is>
          <t>202603</t>
        </is>
      </c>
      <c r="B139" t="inlineStr">
        <is>
          <t>SL</t>
        </is>
      </c>
      <c r="C139" t="inlineStr">
        <is>
          <t>opex</t>
        </is>
      </c>
      <c r="D139" t="inlineStr">
        <is>
          <t>technology</t>
        </is>
      </c>
      <c r="E139" t="inlineStr">
        <is>
          <t>GOOGLEWORKSPACE</t>
        </is>
      </c>
      <c r="F139" t="inlineStr"/>
      <c r="G139" s="50" t="n">
        <v>210.6</v>
      </c>
      <c r="H139" t="inlineStr">
        <is>
          <t>EUR</t>
        </is>
      </c>
      <c r="I139" t="inlineStr">
        <is>
          <t>EUR</t>
        </is>
      </c>
      <c r="J139" s="51" t="n">
        <v>1</v>
      </c>
      <c r="K139" s="50" t="n">
        <v>210.6</v>
      </c>
      <c r="L139" t="inlineStr">
        <is>
          <t>documents</t>
        </is>
      </c>
      <c r="M139" s="52" t="inlineStr">
        <is>
          <t>5528949048</t>
        </is>
      </c>
      <c r="N139" t="inlineStr">
        <is>
          <t>https://drive.google.com/file/d/1l-tObm8vyP3XyPss2x7ZU0ypwypzolZi/view?usp=drivesdk</t>
        </is>
      </c>
    </row>
    <row r="140" ht="12" customHeight="1">
      <c r="A140" t="inlineStr">
        <is>
          <t>202603</t>
        </is>
      </c>
      <c r="B140" t="inlineStr">
        <is>
          <t>SL</t>
        </is>
      </c>
      <c r="C140" t="inlineStr">
        <is>
          <t>opex</t>
        </is>
      </c>
      <c r="D140" t="inlineStr">
        <is>
          <t>technology</t>
        </is>
      </c>
      <c r="E140" t="inlineStr">
        <is>
          <t>GORGIAS</t>
        </is>
      </c>
      <c r="F140" t="inlineStr"/>
      <c r="G140" s="50" t="n">
        <v>126.4</v>
      </c>
      <c r="H140" t="inlineStr">
        <is>
          <t>USD</t>
        </is>
      </c>
      <c r="I140" t="inlineStr">
        <is>
          <t>EUR</t>
        </is>
      </c>
      <c r="J140" s="51" t="n">
        <v>0.86971647</v>
      </c>
      <c r="K140" s="50" t="n">
        <v>109.93</v>
      </c>
      <c r="L140" t="inlineStr">
        <is>
          <t>documents</t>
        </is>
      </c>
      <c r="M140" s="52" t="inlineStr">
        <is>
          <t>INC-03-2026-64889</t>
        </is>
      </c>
      <c r="N140" t="inlineStr">
        <is>
          <t>https://drive.google.com/file/d/1r5NeAkt6BuK7stM77wMD2GmwfOkmyuaE/view?usp=drivesdk</t>
        </is>
      </c>
    </row>
    <row r="141" ht="12" customHeight="1">
      <c r="A141" t="inlineStr">
        <is>
          <t>202603</t>
        </is>
      </c>
      <c r="B141" t="inlineStr">
        <is>
          <t>SL</t>
        </is>
      </c>
      <c r="C141" t="inlineStr">
        <is>
          <t>opex</t>
        </is>
      </c>
      <c r="D141" t="inlineStr">
        <is>
          <t>administration</t>
        </is>
      </c>
      <c r="E141" t="inlineStr">
        <is>
          <t>HANNUN</t>
        </is>
      </c>
      <c r="F141" t="inlineStr">
        <is>
          <t>administration</t>
        </is>
      </c>
      <c r="G141" s="50" t="n">
        <v>30</v>
      </c>
      <c r="H141" t="inlineStr">
        <is>
          <t>EUR</t>
        </is>
      </c>
      <c r="I141" t="inlineStr">
        <is>
          <t>EUR</t>
        </is>
      </c>
      <c r="J141" s="51" t="n">
        <v>1</v>
      </c>
      <c r="K141" s="50" t="n">
        <v>30</v>
      </c>
      <c r="L141" t="inlineStr">
        <is>
          <t>documents</t>
        </is>
      </c>
      <c r="M141" s="52" t="inlineStr">
        <is>
          <t>VTA/26-010337</t>
        </is>
      </c>
      <c r="N141" t="inlineStr">
        <is>
          <t>https://drive.google.com/file/d/1jBhJD7kS5_SPwJKWbOaHjrF8mX4mpiT8/view?usp=drivesdk</t>
        </is>
      </c>
    </row>
    <row r="142" ht="12" customHeight="1">
      <c r="A142" t="inlineStr">
        <is>
          <t>202603</t>
        </is>
      </c>
      <c r="B142" t="inlineStr">
        <is>
          <t>SL</t>
        </is>
      </c>
      <c r="C142" t="inlineStr">
        <is>
          <t>opex</t>
        </is>
      </c>
      <c r="D142" t="inlineStr">
        <is>
          <t>administration</t>
        </is>
      </c>
      <c r="E142" t="inlineStr">
        <is>
          <t>HANNUN</t>
        </is>
      </c>
      <c r="F142" t="inlineStr">
        <is>
          <t>office</t>
        </is>
      </c>
      <c r="G142" s="50" t="n">
        <v>175</v>
      </c>
      <c r="H142" t="inlineStr">
        <is>
          <t>EUR</t>
        </is>
      </c>
      <c r="I142" t="inlineStr">
        <is>
          <t>EUR</t>
        </is>
      </c>
      <c r="J142" s="51" t="n">
        <v>1</v>
      </c>
      <c r="K142" s="50" t="n">
        <v>175</v>
      </c>
      <c r="L142" t="inlineStr">
        <is>
          <t>documents</t>
        </is>
      </c>
      <c r="M142" s="52" t="inlineStr">
        <is>
          <t>VTA/26-012333</t>
        </is>
      </c>
      <c r="N142" t="inlineStr">
        <is>
          <t>https://drive.google.com/file/d/1y_VFTA5on6ReO79xvnlu0N3xL-BbnpEM/view?usp=drivesdk</t>
        </is>
      </c>
    </row>
    <row r="143" ht="12" customHeight="1">
      <c r="A143" t="inlineStr">
        <is>
          <t>202603</t>
        </is>
      </c>
      <c r="B143" t="inlineStr">
        <is>
          <t>SL</t>
        </is>
      </c>
      <c r="C143" t="inlineStr">
        <is>
          <t>opex</t>
        </is>
      </c>
      <c r="D143" t="inlineStr">
        <is>
          <t>administration</t>
        </is>
      </c>
      <c r="E143" t="inlineStr">
        <is>
          <t>HANNUN</t>
        </is>
      </c>
      <c r="F143" t="inlineStr">
        <is>
          <t>services</t>
        </is>
      </c>
      <c r="G143" s="50" t="n">
        <v>1165.1</v>
      </c>
      <c r="H143" t="inlineStr">
        <is>
          <t>EUR</t>
        </is>
      </c>
      <c r="I143" t="inlineStr">
        <is>
          <t>EUR</t>
        </is>
      </c>
      <c r="J143" s="51" t="n">
        <v>1</v>
      </c>
      <c r="K143" s="50" t="n">
        <v>1165.1</v>
      </c>
      <c r="L143" t="inlineStr">
        <is>
          <t>documents</t>
        </is>
      </c>
      <c r="M143" s="52" t="inlineStr">
        <is>
          <t>VTA/26-012334</t>
        </is>
      </c>
      <c r="N143" t="inlineStr">
        <is>
          <t>https://drive.google.com/file/d/1BXJcbamEE34UrEHgJabkn3cuDfiFSgXJ/view?usp=drivesdk</t>
        </is>
      </c>
    </row>
    <row r="144" ht="12" customHeight="1">
      <c r="A144" t="inlineStr">
        <is>
          <t>202603</t>
        </is>
      </c>
      <c r="B144" t="inlineStr">
        <is>
          <t>SL</t>
        </is>
      </c>
      <c r="C144" t="inlineStr">
        <is>
          <t>opex</t>
        </is>
      </c>
      <c r="D144" t="inlineStr">
        <is>
          <t>technology</t>
        </is>
      </c>
      <c r="E144" t="inlineStr">
        <is>
          <t>HETZNER</t>
        </is>
      </c>
      <c r="F144" t="inlineStr"/>
      <c r="G144" s="50" t="n">
        <v>10.9</v>
      </c>
      <c r="H144" t="inlineStr">
        <is>
          <t>EUR</t>
        </is>
      </c>
      <c r="I144" t="inlineStr">
        <is>
          <t>EUR</t>
        </is>
      </c>
      <c r="J144" s="51" t="n">
        <v>1</v>
      </c>
      <c r="K144" s="50" t="n">
        <v>10.9</v>
      </c>
      <c r="L144" t="inlineStr">
        <is>
          <t>documents</t>
        </is>
      </c>
      <c r="M144" s="52" t="inlineStr">
        <is>
          <t>086000751422</t>
        </is>
      </c>
      <c r="N144" t="inlineStr">
        <is>
          <t>https://drive.google.com/file/d/1bMdMTYSXLytnvUKxINvo3C-fdr43SmgJ/view?usp=drivesdk</t>
        </is>
      </c>
    </row>
    <row r="145" ht="12" customHeight="1">
      <c r="A145" t="inlineStr">
        <is>
          <t>202603</t>
        </is>
      </c>
      <c r="B145" t="inlineStr">
        <is>
          <t>SL</t>
        </is>
      </c>
      <c r="C145" t="inlineStr">
        <is>
          <t>opex</t>
        </is>
      </c>
      <c r="D145" t="inlineStr">
        <is>
          <t>technology</t>
        </is>
      </c>
      <c r="E145" t="inlineStr">
        <is>
          <t>KONVOAI</t>
        </is>
      </c>
      <c r="F145" t="inlineStr"/>
      <c r="G145" s="50" t="n">
        <v>182.45</v>
      </c>
      <c r="H145" t="inlineStr">
        <is>
          <t>EUR</t>
        </is>
      </c>
      <c r="I145" t="inlineStr">
        <is>
          <t>EUR</t>
        </is>
      </c>
      <c r="J145" s="51" t="n">
        <v>1</v>
      </c>
      <c r="K145" s="50" t="n">
        <v>182.45</v>
      </c>
      <c r="L145" t="inlineStr">
        <is>
          <t>documents</t>
        </is>
      </c>
      <c r="M145" s="52" t="inlineStr">
        <is>
          <t>B5F7DF3C-7472</t>
        </is>
      </c>
      <c r="N145" t="inlineStr">
        <is>
          <t>https://drive.google.com/file/d/1nWo-mNGMmMRAWJEGmVLJaMtqo73kBgzv/view?usp=drivesdk</t>
        </is>
      </c>
    </row>
    <row r="146" ht="12" customHeight="1">
      <c r="A146" t="inlineStr">
        <is>
          <t>202603</t>
        </is>
      </c>
      <c r="B146" t="inlineStr">
        <is>
          <t>SL</t>
        </is>
      </c>
      <c r="C146" t="inlineStr">
        <is>
          <t>opex</t>
        </is>
      </c>
      <c r="D146" t="inlineStr">
        <is>
          <t>technology</t>
        </is>
      </c>
      <c r="E146" t="inlineStr">
        <is>
          <t>KONVOAI</t>
        </is>
      </c>
      <c r="F146" t="inlineStr"/>
      <c r="G146" s="50" t="n">
        <v>339</v>
      </c>
      <c r="H146" t="inlineStr">
        <is>
          <t>EUR</t>
        </is>
      </c>
      <c r="I146" t="inlineStr">
        <is>
          <t>EUR</t>
        </is>
      </c>
      <c r="J146" s="51" t="n">
        <v>1</v>
      </c>
      <c r="K146" s="50" t="n">
        <v>339</v>
      </c>
      <c r="L146" t="inlineStr">
        <is>
          <t>documents</t>
        </is>
      </c>
      <c r="M146" s="52" t="inlineStr">
        <is>
          <t>B5F7DF3C-7629</t>
        </is>
      </c>
      <c r="N146" t="inlineStr">
        <is>
          <t>https://drive.google.com/file/d/1CqOn2Zx8mbhJOVhiMIiGbOghQnA3vTDp/view?usp=drivesdk</t>
        </is>
      </c>
    </row>
    <row r="147" ht="12" customHeight="1">
      <c r="A147" t="inlineStr">
        <is>
          <t>202603</t>
        </is>
      </c>
      <c r="B147" t="inlineStr">
        <is>
          <t>SL</t>
        </is>
      </c>
      <c r="C147" t="inlineStr">
        <is>
          <t>opex</t>
        </is>
      </c>
      <c r="D147" t="inlineStr">
        <is>
          <t>technology</t>
        </is>
      </c>
      <c r="E147" t="inlineStr">
        <is>
          <t>KONVOAI</t>
        </is>
      </c>
      <c r="F147" t="inlineStr"/>
      <c r="G147" s="50" t="n">
        <v>60.44</v>
      </c>
      <c r="H147" t="inlineStr">
        <is>
          <t>EUR</t>
        </is>
      </c>
      <c r="I147" t="inlineStr">
        <is>
          <t>EUR</t>
        </is>
      </c>
      <c r="J147" s="51" t="n">
        <v>1</v>
      </c>
      <c r="K147" s="50" t="n">
        <v>60.44</v>
      </c>
      <c r="L147" t="inlineStr">
        <is>
          <t>documents</t>
        </is>
      </c>
      <c r="M147" s="52" t="inlineStr">
        <is>
          <t>B5F7DF3C-7709</t>
        </is>
      </c>
      <c r="N147" t="inlineStr">
        <is>
          <t>https://drive.google.com/file/d/1ECBhz1VCwbBVoxwkdm3YFSwEGxpN8nXX/view?usp=drivesdk</t>
        </is>
      </c>
    </row>
    <row r="148" ht="12" customHeight="1">
      <c r="A148" t="inlineStr">
        <is>
          <t>202603</t>
        </is>
      </c>
      <c r="B148" t="inlineStr">
        <is>
          <t>SL</t>
        </is>
      </c>
      <c r="C148" t="inlineStr">
        <is>
          <t>opex</t>
        </is>
      </c>
      <c r="D148" t="inlineStr">
        <is>
          <t>administration</t>
        </is>
      </c>
      <c r="E148" t="inlineStr">
        <is>
          <t>LIZENZERO</t>
        </is>
      </c>
      <c r="F148" t="inlineStr"/>
      <c r="G148" s="50" t="n">
        <v>100.88</v>
      </c>
      <c r="H148" t="inlineStr">
        <is>
          <t>EUR</t>
        </is>
      </c>
      <c r="I148" t="inlineStr">
        <is>
          <t>EUR</t>
        </is>
      </c>
      <c r="J148" s="51" t="n">
        <v>1</v>
      </c>
      <c r="K148" s="50" t="n">
        <v>100.88</v>
      </c>
      <c r="L148" t="inlineStr">
        <is>
          <t>documents</t>
        </is>
      </c>
      <c r="M148" s="52" t="inlineStr">
        <is>
          <t>465344</t>
        </is>
      </c>
      <c r="N148" t="inlineStr">
        <is>
          <t>https://drive.google.com/file/d/1UbnHgZczRgp4sJnXfFK7Cmrj-YHdESk5/view?usp=drivesdk</t>
        </is>
      </c>
    </row>
    <row r="149" ht="12" customHeight="1">
      <c r="A149" t="inlineStr">
        <is>
          <t>202603</t>
        </is>
      </c>
      <c r="B149" t="inlineStr">
        <is>
          <t>SL</t>
        </is>
      </c>
      <c r="C149" t="inlineStr">
        <is>
          <t>opex</t>
        </is>
      </c>
      <c r="D149" t="inlineStr">
        <is>
          <t>technology</t>
        </is>
      </c>
      <c r="E149" t="inlineStr">
        <is>
          <t>MASMOVIL</t>
        </is>
      </c>
      <c r="F149" t="inlineStr"/>
      <c r="G149" s="50" t="n">
        <v>8.83</v>
      </c>
      <c r="H149" t="inlineStr">
        <is>
          <t>EUR</t>
        </is>
      </c>
      <c r="I149" t="inlineStr">
        <is>
          <t>EUR</t>
        </is>
      </c>
      <c r="J149" s="51" t="n">
        <v>1</v>
      </c>
      <c r="K149" s="50" t="n">
        <v>8.83</v>
      </c>
      <c r="L149" t="inlineStr">
        <is>
          <t>documents</t>
        </is>
      </c>
      <c r="M149" s="52" t="inlineStr">
        <is>
          <t>MC260003336170</t>
        </is>
      </c>
      <c r="N149" t="inlineStr">
        <is>
          <t>https://drive.google.com/file/d/18aHMUoONC6SlndhHYF_AWRN3TCOoVrvg/view?usp=drivesdk</t>
        </is>
      </c>
    </row>
    <row r="150" ht="12" customHeight="1">
      <c r="A150" t="inlineStr">
        <is>
          <t>202603</t>
        </is>
      </c>
      <c r="B150" t="inlineStr">
        <is>
          <t>SL</t>
        </is>
      </c>
      <c r="C150" t="inlineStr">
        <is>
          <t>opex</t>
        </is>
      </c>
      <c r="D150" t="inlineStr">
        <is>
          <t>marketing</t>
        </is>
      </c>
      <c r="E150" t="inlineStr">
        <is>
          <t>METAADS</t>
        </is>
      </c>
      <c r="F150" t="inlineStr">
        <is>
          <t>eu</t>
        </is>
      </c>
      <c r="G150" s="50" t="n">
        <v>17635.61</v>
      </c>
      <c r="H150" t="inlineStr">
        <is>
          <t>EUR</t>
        </is>
      </c>
      <c r="I150" t="inlineStr">
        <is>
          <t>EUR</t>
        </is>
      </c>
      <c r="J150" s="51" t="n">
        <v>1</v>
      </c>
      <c r="K150" s="50" t="n">
        <v>17635.61</v>
      </c>
      <c r="L150" t="inlineStr">
        <is>
          <t>documents</t>
        </is>
      </c>
      <c r="M150" s="52" t="inlineStr">
        <is>
          <t>251912684</t>
        </is>
      </c>
      <c r="N150" t="inlineStr">
        <is>
          <t>https://drive.google.com/file/d/1g1NqMXMRnrd3ujXFvvHnpVryss1CmF5D/view?usp=drivesdk</t>
        </is>
      </c>
    </row>
    <row r="151" ht="12" customHeight="1">
      <c r="A151" t="inlineStr">
        <is>
          <t>202603</t>
        </is>
      </c>
      <c r="B151" t="inlineStr">
        <is>
          <t>SL</t>
        </is>
      </c>
      <c r="C151" t="inlineStr">
        <is>
          <t>opex</t>
        </is>
      </c>
      <c r="D151" t="inlineStr">
        <is>
          <t>marketing</t>
        </is>
      </c>
      <c r="E151" t="inlineStr">
        <is>
          <t>METAADS</t>
        </is>
      </c>
      <c r="F151" t="inlineStr">
        <is>
          <t>uk</t>
        </is>
      </c>
      <c r="G151" s="50" t="n">
        <v>2970.18</v>
      </c>
      <c r="H151" t="inlineStr">
        <is>
          <t>EUR</t>
        </is>
      </c>
      <c r="I151" t="inlineStr">
        <is>
          <t>EUR</t>
        </is>
      </c>
      <c r="J151" s="51" t="n">
        <v>1</v>
      </c>
      <c r="K151" s="50" t="n">
        <v>2970.18</v>
      </c>
      <c r="L151" t="inlineStr">
        <is>
          <t>documents</t>
        </is>
      </c>
      <c r="M151" s="52" t="inlineStr">
        <is>
          <t>251912684</t>
        </is>
      </c>
      <c r="N151" t="inlineStr">
        <is>
          <t>https://drive.google.com/file/d/1g1NqMXMRnrd3ujXFvvHnpVryss1CmF5D/view?usp=drivesdk</t>
        </is>
      </c>
    </row>
    <row r="152" ht="12" customHeight="1">
      <c r="A152" t="inlineStr">
        <is>
          <t>202603</t>
        </is>
      </c>
      <c r="B152" t="inlineStr">
        <is>
          <t>SL</t>
        </is>
      </c>
      <c r="C152" t="inlineStr">
        <is>
          <t>opex</t>
        </is>
      </c>
      <c r="D152" t="inlineStr">
        <is>
          <t>marketing</t>
        </is>
      </c>
      <c r="E152" t="inlineStr">
        <is>
          <t>METAADS</t>
        </is>
      </c>
      <c r="F152" t="inlineStr">
        <is>
          <t>us</t>
        </is>
      </c>
      <c r="G152" s="50" t="n">
        <v>1317.27</v>
      </c>
      <c r="H152" t="inlineStr">
        <is>
          <t>EUR</t>
        </is>
      </c>
      <c r="I152" t="inlineStr">
        <is>
          <t>EUR</t>
        </is>
      </c>
      <c r="J152" s="51" t="n">
        <v>1</v>
      </c>
      <c r="K152" s="50" t="n">
        <v>1317.27</v>
      </c>
      <c r="L152" t="inlineStr">
        <is>
          <t>documents</t>
        </is>
      </c>
      <c r="M152" s="52" t="inlineStr">
        <is>
          <t>251912684</t>
        </is>
      </c>
      <c r="N152" t="inlineStr">
        <is>
          <t>https://drive.google.com/file/d/1g1NqMXMRnrd3ujXFvvHnpVryss1CmF5D/view?usp=drivesdk</t>
        </is>
      </c>
    </row>
    <row r="153" ht="12" customHeight="1">
      <c r="A153" t="inlineStr">
        <is>
          <t>202603</t>
        </is>
      </c>
      <c r="B153" t="inlineStr">
        <is>
          <t>SL</t>
        </is>
      </c>
      <c r="C153" t="inlineStr">
        <is>
          <t>opex</t>
        </is>
      </c>
      <c r="D153" t="inlineStr">
        <is>
          <t>technology</t>
        </is>
      </c>
      <c r="E153" t="inlineStr">
        <is>
          <t>MICROSOFT</t>
        </is>
      </c>
      <c r="F153" t="inlineStr"/>
      <c r="G153" s="50" t="n">
        <v>30.87</v>
      </c>
      <c r="H153" t="inlineStr">
        <is>
          <t>EUR</t>
        </is>
      </c>
      <c r="I153" t="inlineStr">
        <is>
          <t>EUR</t>
        </is>
      </c>
      <c r="J153" s="51" t="n">
        <v>1</v>
      </c>
      <c r="K153" s="50" t="n">
        <v>30.87</v>
      </c>
      <c r="L153" t="inlineStr">
        <is>
          <t>documents</t>
        </is>
      </c>
      <c r="M153" s="52" t="inlineStr">
        <is>
          <t>G146754373</t>
        </is>
      </c>
      <c r="N153" t="inlineStr">
        <is>
          <t>https://drive.google.com/file/d/1DCPq5CCQbxKn8xbE5ConsRttwki8sRoJ/view?usp=drivesdk</t>
        </is>
      </c>
    </row>
    <row r="154" ht="12" customHeight="1">
      <c r="A154" t="inlineStr">
        <is>
          <t>202603</t>
        </is>
      </c>
      <c r="B154" t="inlineStr">
        <is>
          <t>SL</t>
        </is>
      </c>
      <c r="C154" t="inlineStr">
        <is>
          <t>opex</t>
        </is>
      </c>
      <c r="D154" t="inlineStr">
        <is>
          <t>technology</t>
        </is>
      </c>
      <c r="E154" t="inlineStr">
        <is>
          <t>MICROSOFT</t>
        </is>
      </c>
      <c r="F154" t="inlineStr"/>
      <c r="G154" s="50" t="n">
        <v>45.7</v>
      </c>
      <c r="H154" t="inlineStr">
        <is>
          <t>EUR</t>
        </is>
      </c>
      <c r="I154" t="inlineStr">
        <is>
          <t>EUR</t>
        </is>
      </c>
      <c r="J154" s="51" t="n">
        <v>1</v>
      </c>
      <c r="K154" s="50" t="n">
        <v>45.7</v>
      </c>
      <c r="L154" t="inlineStr">
        <is>
          <t>documents</t>
        </is>
      </c>
      <c r="M154" s="52" t="inlineStr">
        <is>
          <t>G147511406</t>
        </is>
      </c>
      <c r="N154" t="inlineStr">
        <is>
          <t>https://drive.google.com/file/d/1j0AP8BcSvjbMkHqbG0jNHzXuXksgaBTp/view?usp=drivesdk</t>
        </is>
      </c>
    </row>
    <row r="155" ht="12" customHeight="1">
      <c r="A155" t="inlineStr">
        <is>
          <t>202603</t>
        </is>
      </c>
      <c r="B155" t="inlineStr">
        <is>
          <t>SL</t>
        </is>
      </c>
      <c r="C155" t="inlineStr">
        <is>
          <t>opex</t>
        </is>
      </c>
      <c r="D155" t="inlineStr">
        <is>
          <t>technology</t>
        </is>
      </c>
      <c r="E155" t="inlineStr">
        <is>
          <t>OPENAI</t>
        </is>
      </c>
      <c r="F155" t="inlineStr">
        <is>
          <t>api_usage</t>
        </is>
      </c>
      <c r="G155" s="50" t="n">
        <v>15</v>
      </c>
      <c r="H155" t="inlineStr">
        <is>
          <t>USD</t>
        </is>
      </c>
      <c r="I155" t="inlineStr">
        <is>
          <t>EUR</t>
        </is>
      </c>
      <c r="J155" s="51" t="n">
        <v>0.86971647</v>
      </c>
      <c r="K155" s="50" t="n">
        <v>13.05</v>
      </c>
      <c r="L155" t="inlineStr">
        <is>
          <t>documents</t>
        </is>
      </c>
      <c r="M155" s="52" t="inlineStr">
        <is>
          <t>BZHJNTUB0008</t>
        </is>
      </c>
      <c r="N155" t="inlineStr">
        <is>
          <t>https://drive.google.com/file/d/14mLVYewapKRBwsNP7f6wLOc4WRmROQLm/view?usp=drivesdk</t>
        </is>
      </c>
    </row>
    <row r="156" ht="12" customHeight="1">
      <c r="A156" t="inlineStr">
        <is>
          <t>202603</t>
        </is>
      </c>
      <c r="B156" t="inlineStr">
        <is>
          <t>SL</t>
        </is>
      </c>
      <c r="C156" t="inlineStr">
        <is>
          <t>cogs</t>
        </is>
      </c>
      <c r="D156" t="inlineStr">
        <is>
          <t>manufacturing</t>
        </is>
      </c>
      <c r="E156" t="inlineStr">
        <is>
          <t>PRESSING</t>
        </is>
      </c>
      <c r="F156" t="inlineStr"/>
      <c r="G156" s="50" t="n">
        <v>30382.03</v>
      </c>
      <c r="H156" t="inlineStr">
        <is>
          <t>EUR</t>
        </is>
      </c>
      <c r="I156" t="inlineStr">
        <is>
          <t>EUR</t>
        </is>
      </c>
      <c r="J156" s="51" t="n">
        <v>1</v>
      </c>
      <c r="K156" s="50" t="n">
        <v>30382.03</v>
      </c>
      <c r="L156" t="inlineStr">
        <is>
          <t>documents</t>
        </is>
      </c>
      <c r="M156" s="52" t="inlineStr">
        <is>
          <t>FAC/2026/26100002919</t>
        </is>
      </c>
      <c r="N156" t="inlineStr">
        <is>
          <t>https://drive.google.com/file/d/1NnctdjrWo_YQUOWmOChF9VEkLKCvwH7r/view?usp=drivesdk</t>
        </is>
      </c>
    </row>
    <row r="157" ht="12" customHeight="1">
      <c r="A157" t="inlineStr">
        <is>
          <t>202603</t>
        </is>
      </c>
      <c r="B157" t="inlineStr">
        <is>
          <t>SL</t>
        </is>
      </c>
      <c r="C157" t="inlineStr">
        <is>
          <t>cogs</t>
        </is>
      </c>
      <c r="D157" t="inlineStr">
        <is>
          <t>manufacturing</t>
        </is>
      </c>
      <c r="E157" t="inlineStr">
        <is>
          <t>PRESSING</t>
        </is>
      </c>
      <c r="F157" t="inlineStr"/>
      <c r="G157" s="50" t="n">
        <v>-15135.51</v>
      </c>
      <c r="H157" t="inlineStr">
        <is>
          <t>EUR</t>
        </is>
      </c>
      <c r="I157" t="inlineStr">
        <is>
          <t>EUR</t>
        </is>
      </c>
      <c r="J157" s="51" t="n">
        <v>1</v>
      </c>
      <c r="K157" s="50" t="n">
        <v>-15135.51</v>
      </c>
      <c r="L157" t="inlineStr">
        <is>
          <t>documents</t>
        </is>
      </c>
      <c r="M157" s="52" t="inlineStr">
        <is>
          <t>REC/2026/26200000052</t>
        </is>
      </c>
      <c r="N157" t="inlineStr">
        <is>
          <t>https://drive.google.com/file/d/1AS6ZaTkoyH52MXQbp1lIDdFsAOEBnPum/view</t>
        </is>
      </c>
    </row>
    <row r="158" ht="12" customHeight="1">
      <c r="A158" t="inlineStr">
        <is>
          <t>202603</t>
        </is>
      </c>
      <c r="B158" t="inlineStr">
        <is>
          <t>SL</t>
        </is>
      </c>
      <c r="C158" t="inlineStr">
        <is>
          <t>opex</t>
        </is>
      </c>
      <c r="D158" t="inlineStr">
        <is>
          <t>technology</t>
        </is>
      </c>
      <c r="E158" t="inlineStr">
        <is>
          <t>PRODUCTHERO</t>
        </is>
      </c>
      <c r="F158" t="inlineStr"/>
      <c r="G158" s="50" t="n">
        <v>134</v>
      </c>
      <c r="H158" t="inlineStr">
        <is>
          <t>EUR</t>
        </is>
      </c>
      <c r="I158" t="inlineStr">
        <is>
          <t>EUR</t>
        </is>
      </c>
      <c r="J158" s="51" t="n">
        <v>1</v>
      </c>
      <c r="K158" s="50" t="n">
        <v>134</v>
      </c>
      <c r="L158" t="inlineStr">
        <is>
          <t>documents</t>
        </is>
      </c>
      <c r="M158" s="52" t="inlineStr">
        <is>
          <t>217905</t>
        </is>
      </c>
      <c r="N158" t="inlineStr">
        <is>
          <t>https://drive.google.com/file/d/1q5GM5mcOxTlAfTEBbnsDgygc2l8igChV/view?usp=drivesdk</t>
        </is>
      </c>
    </row>
    <row r="159" ht="12" customHeight="1">
      <c r="A159" t="inlineStr">
        <is>
          <t>202603</t>
        </is>
      </c>
      <c r="B159" t="inlineStr">
        <is>
          <t>SL</t>
        </is>
      </c>
      <c r="C159" t="inlineStr">
        <is>
          <t>opex</t>
        </is>
      </c>
      <c r="D159" t="inlineStr">
        <is>
          <t>technology</t>
        </is>
      </c>
      <c r="E159" t="inlineStr">
        <is>
          <t>RAILWAY</t>
        </is>
      </c>
      <c r="F159" t="inlineStr"/>
      <c r="G159" s="50" t="n">
        <v>21.36</v>
      </c>
      <c r="H159" t="inlineStr">
        <is>
          <t>USD</t>
        </is>
      </c>
      <c r="I159" t="inlineStr">
        <is>
          <t>EUR</t>
        </is>
      </c>
      <c r="J159" s="51" t="n">
        <v>0.86971647</v>
      </c>
      <c r="K159" s="50" t="n">
        <v>18.58</v>
      </c>
      <c r="L159" t="inlineStr">
        <is>
          <t>documents</t>
        </is>
      </c>
      <c r="M159" s="52" t="inlineStr">
        <is>
          <t>1602C2F5-0017</t>
        </is>
      </c>
      <c r="N159" t="inlineStr">
        <is>
          <t>https://drive.google.com/file/d/1_zSaGhAEICAUBmqreT7FKVxXgv2-r3jW/view?usp=drivesdk</t>
        </is>
      </c>
    </row>
    <row r="160" ht="12" customHeight="1">
      <c r="A160" t="inlineStr">
        <is>
          <t>202603</t>
        </is>
      </c>
      <c r="B160" t="inlineStr">
        <is>
          <t>SL</t>
        </is>
      </c>
      <c r="C160" t="inlineStr">
        <is>
          <t>opex</t>
        </is>
      </c>
      <c r="D160" t="inlineStr">
        <is>
          <t>technology</t>
        </is>
      </c>
      <c r="E160" t="inlineStr">
        <is>
          <t>REVER</t>
        </is>
      </c>
      <c r="F160" t="inlineStr"/>
      <c r="G160" s="50" t="n">
        <v>436.38</v>
      </c>
      <c r="H160" t="inlineStr">
        <is>
          <t>EUR</t>
        </is>
      </c>
      <c r="I160" t="inlineStr">
        <is>
          <t>EUR</t>
        </is>
      </c>
      <c r="J160" s="51" t="n">
        <v>1</v>
      </c>
      <c r="K160" s="50" t="n">
        <v>436.38</v>
      </c>
      <c r="L160" t="inlineStr">
        <is>
          <t>documents</t>
        </is>
      </c>
      <c r="M160" s="52" t="inlineStr">
        <is>
          <t>RVR-17393</t>
        </is>
      </c>
      <c r="N160" t="inlineStr">
        <is>
          <t>https://drive.google.com/file/d/1CWhfJHSOw1n7f9t5k-dWx1KXNq0OtlHl/view?usp=drivesdk</t>
        </is>
      </c>
    </row>
    <row r="161" ht="12" customHeight="1">
      <c r="A161" t="inlineStr">
        <is>
          <t>202603</t>
        </is>
      </c>
      <c r="B161" t="inlineStr">
        <is>
          <t>SL</t>
        </is>
      </c>
      <c r="C161" t="inlineStr">
        <is>
          <t>opex</t>
        </is>
      </c>
      <c r="D161" t="inlineStr">
        <is>
          <t>technology</t>
        </is>
      </c>
      <c r="E161" t="inlineStr">
        <is>
          <t>REVER</t>
        </is>
      </c>
      <c r="F161" t="inlineStr"/>
      <c r="G161" s="50" t="n">
        <v>299.89</v>
      </c>
      <c r="H161" t="inlineStr">
        <is>
          <t>EUR</t>
        </is>
      </c>
      <c r="I161" t="inlineStr">
        <is>
          <t>EUR</t>
        </is>
      </c>
      <c r="J161" s="51" t="n">
        <v>1</v>
      </c>
      <c r="K161" s="50" t="n">
        <v>299.89</v>
      </c>
      <c r="L161" t="inlineStr">
        <is>
          <t>documents</t>
        </is>
      </c>
      <c r="M161" s="52" t="inlineStr">
        <is>
          <t>RVR-18216</t>
        </is>
      </c>
      <c r="N161" t="inlineStr">
        <is>
          <t>https://drive.google.com/file/d/1ugF3jSpFNoCK5W7nlv4RnQWYri-rwsCH/view?usp=drivesdk</t>
        </is>
      </c>
    </row>
    <row r="162" ht="12" customHeight="1">
      <c r="A162" t="inlineStr">
        <is>
          <t>202603</t>
        </is>
      </c>
      <c r="B162" t="inlineStr">
        <is>
          <t>SL</t>
        </is>
      </c>
      <c r="C162" t="inlineStr">
        <is>
          <t>opex</t>
        </is>
      </c>
      <c r="D162" t="inlineStr">
        <is>
          <t>technology</t>
        </is>
      </c>
      <c r="E162" t="inlineStr">
        <is>
          <t>REVER</t>
        </is>
      </c>
      <c r="F162" t="inlineStr"/>
      <c r="G162" s="50" t="n">
        <v>79</v>
      </c>
      <c r="H162" t="inlineStr">
        <is>
          <t>EUR</t>
        </is>
      </c>
      <c r="I162" t="inlineStr">
        <is>
          <t>EUR</t>
        </is>
      </c>
      <c r="J162" s="51" t="n">
        <v>1</v>
      </c>
      <c r="K162" s="50" t="n">
        <v>79</v>
      </c>
      <c r="L162" t="inlineStr">
        <is>
          <t>documents</t>
        </is>
      </c>
      <c r="M162" s="52" t="inlineStr">
        <is>
          <t>RVR-18566</t>
        </is>
      </c>
      <c r="N162" t="inlineStr">
        <is>
          <t>https://drive.google.com/file/d/1dHhK1m1wSqKZeeNradd6kO_U1yP4OEZx/view?usp=drivesdk</t>
        </is>
      </c>
    </row>
    <row r="163" ht="12" customHeight="1">
      <c r="A163" t="inlineStr">
        <is>
          <t>202603</t>
        </is>
      </c>
      <c r="B163" t="inlineStr">
        <is>
          <t>SL</t>
        </is>
      </c>
      <c r="C163" t="inlineStr">
        <is>
          <t>opex</t>
        </is>
      </c>
      <c r="D163" t="inlineStr">
        <is>
          <t>technology</t>
        </is>
      </c>
      <c r="E163" t="inlineStr">
        <is>
          <t>SHOPIFY</t>
        </is>
      </c>
      <c r="F163" t="inlineStr"/>
      <c r="G163" s="50" t="n">
        <v>3223.43</v>
      </c>
      <c r="H163" t="inlineStr">
        <is>
          <t>USD</t>
        </is>
      </c>
      <c r="I163" t="inlineStr">
        <is>
          <t>EUR</t>
        </is>
      </c>
      <c r="J163" s="51" t="n">
        <v>0.86971647</v>
      </c>
      <c r="K163" s="50" t="n">
        <v>2803.47</v>
      </c>
      <c r="L163" t="inlineStr">
        <is>
          <t>documents</t>
        </is>
      </c>
      <c r="M163" s="52" t="inlineStr">
        <is>
          <t>506718743</t>
        </is>
      </c>
      <c r="N163" t="inlineStr">
        <is>
          <t>https://drive.google.com/file/d/1ZCs5X4Qp9kY8mI50ovA19IzFEuYf6xco/view?usp=drivesdk</t>
        </is>
      </c>
    </row>
    <row r="164" ht="12" customHeight="1">
      <c r="A164" t="inlineStr">
        <is>
          <t>202603</t>
        </is>
      </c>
      <c r="B164" t="inlineStr">
        <is>
          <t>SL</t>
        </is>
      </c>
      <c r="C164" t="inlineStr">
        <is>
          <t>opex</t>
        </is>
      </c>
      <c r="D164" t="inlineStr">
        <is>
          <t>technology</t>
        </is>
      </c>
      <c r="E164" t="inlineStr">
        <is>
          <t>SYNCWITH</t>
        </is>
      </c>
      <c r="F164" t="inlineStr"/>
      <c r="G164" s="50" t="n">
        <v>24.99</v>
      </c>
      <c r="H164" t="inlineStr">
        <is>
          <t>USD</t>
        </is>
      </c>
      <c r="I164" t="inlineStr">
        <is>
          <t>EUR</t>
        </is>
      </c>
      <c r="J164" s="51" t="n">
        <v>0.86971647</v>
      </c>
      <c r="K164" s="50" t="n">
        <v>21.73</v>
      </c>
      <c r="L164" t="inlineStr">
        <is>
          <t>documents</t>
        </is>
      </c>
      <c r="M164" s="52" t="inlineStr">
        <is>
          <t>TADGCDFS-0002</t>
        </is>
      </c>
      <c r="N164" t="inlineStr">
        <is>
          <t>https://drive.google.com/file/d/1dZC3fsBfen5iERm3x2JFrd1LGddt0qLb/view?usp=drivesdk</t>
        </is>
      </c>
    </row>
    <row r="165" ht="12" customHeight="1">
      <c r="A165" t="inlineStr">
        <is>
          <t>202603</t>
        </is>
      </c>
      <c r="B165" t="inlineStr">
        <is>
          <t>SL</t>
        </is>
      </c>
      <c r="C165" t="inlineStr">
        <is>
          <t>opex</t>
        </is>
      </c>
      <c r="D165" t="inlineStr">
        <is>
          <t>administration</t>
        </is>
      </c>
      <c r="E165" t="inlineStr">
        <is>
          <t>TORRAS</t>
        </is>
      </c>
      <c r="F165" t="inlineStr"/>
      <c r="G165" s="50" t="n">
        <v>15</v>
      </c>
      <c r="H165" t="inlineStr">
        <is>
          <t>EUR</t>
        </is>
      </c>
      <c r="I165" t="inlineStr">
        <is>
          <t>EUR</t>
        </is>
      </c>
      <c r="J165" s="51" t="n">
        <v>1</v>
      </c>
      <c r="K165" s="50" t="n">
        <v>15</v>
      </c>
      <c r="L165" t="inlineStr">
        <is>
          <t>documents</t>
        </is>
      </c>
      <c r="M165" s="52" t="inlineStr">
        <is>
          <t>7/800</t>
        </is>
      </c>
      <c r="N165" t="inlineStr">
        <is>
          <t>https://drive.google.com/file/d/1qLKvi2Ja2apUNKYZBiLqZTt00IfYF7J2/view?usp=drivesdk</t>
        </is>
      </c>
    </row>
    <row r="166" ht="12" customHeight="1">
      <c r="A166" t="inlineStr">
        <is>
          <t>202603</t>
        </is>
      </c>
      <c r="B166" t="inlineStr">
        <is>
          <t>SL</t>
        </is>
      </c>
      <c r="C166" t="inlineStr">
        <is>
          <t>cogs</t>
        </is>
      </c>
      <c r="D166" t="inlineStr">
        <is>
          <t>logistics</t>
        </is>
      </c>
      <c r="E166" t="inlineStr">
        <is>
          <t>UPS</t>
        </is>
      </c>
      <c r="F166" t="inlineStr"/>
      <c r="G166" s="50" t="n">
        <v>723.1799999999999</v>
      </c>
      <c r="H166" t="inlineStr">
        <is>
          <t>EUR</t>
        </is>
      </c>
      <c r="I166" t="inlineStr">
        <is>
          <t>EUR</t>
        </is>
      </c>
      <c r="J166" s="51" t="n">
        <v>1</v>
      </c>
      <c r="K166" s="50" t="n">
        <v>723.1799999999999</v>
      </c>
      <c r="L166" t="inlineStr">
        <is>
          <t>documents</t>
        </is>
      </c>
      <c r="M166" s="52" t="inlineStr">
        <is>
          <t>327127415</t>
        </is>
      </c>
      <c r="N166" t="inlineStr">
        <is>
          <t>https://drive.google.com/file/d/1szeFukWcwJsTpYUKLKIKWZXLhy2sel8E/view?usp=drivesdk</t>
        </is>
      </c>
    </row>
    <row r="167" ht="12" customHeight="1">
      <c r="A167" t="inlineStr">
        <is>
          <t>202603</t>
        </is>
      </c>
      <c r="B167" t="inlineStr">
        <is>
          <t>SL</t>
        </is>
      </c>
      <c r="C167" t="inlineStr">
        <is>
          <t>cogs</t>
        </is>
      </c>
      <c r="D167" t="inlineStr">
        <is>
          <t>logistics</t>
        </is>
      </c>
      <c r="E167" t="inlineStr">
        <is>
          <t>UPS</t>
        </is>
      </c>
      <c r="F167" t="inlineStr"/>
      <c r="G167" s="50" t="n">
        <v>401.71</v>
      </c>
      <c r="H167" t="inlineStr">
        <is>
          <t>EUR</t>
        </is>
      </c>
      <c r="I167" t="inlineStr">
        <is>
          <t>EUR</t>
        </is>
      </c>
      <c r="J167" s="51" t="n">
        <v>1</v>
      </c>
      <c r="K167" s="50" t="n">
        <v>401.71</v>
      </c>
      <c r="L167" t="inlineStr">
        <is>
          <t>documents</t>
        </is>
      </c>
      <c r="M167" s="52" t="inlineStr">
        <is>
          <t>327158453</t>
        </is>
      </c>
      <c r="N167" t="inlineStr">
        <is>
          <t>https://drive.google.com/file/d/1w16eZ2iuW4dPbkomePY18LR7CPlxsdYp/view?usp=drivesdk</t>
        </is>
      </c>
    </row>
    <row r="168" ht="12" customHeight="1">
      <c r="A168" t="inlineStr">
        <is>
          <t>202603</t>
        </is>
      </c>
      <c r="B168" t="inlineStr">
        <is>
          <t>SL</t>
        </is>
      </c>
      <c r="C168" t="inlineStr">
        <is>
          <t>cogs</t>
        </is>
      </c>
      <c r="D168" t="inlineStr">
        <is>
          <t>logistics</t>
        </is>
      </c>
      <c r="E168" t="inlineStr">
        <is>
          <t>UPS</t>
        </is>
      </c>
      <c r="F168" t="inlineStr"/>
      <c r="G168" s="50" t="n">
        <v>580.51</v>
      </c>
      <c r="H168" t="inlineStr">
        <is>
          <t>EUR</t>
        </is>
      </c>
      <c r="I168" t="inlineStr">
        <is>
          <t>EUR</t>
        </is>
      </c>
      <c r="J168" s="51" t="n">
        <v>1</v>
      </c>
      <c r="K168" s="50" t="n">
        <v>580.51</v>
      </c>
      <c r="L168" t="inlineStr">
        <is>
          <t>documents</t>
        </is>
      </c>
      <c r="M168" s="52" t="inlineStr">
        <is>
          <t>327190672</t>
        </is>
      </c>
      <c r="N168" t="inlineStr">
        <is>
          <t>https://drive.google.com/file/d/1YGt6D24m8-UdGBL3aaHOe0wVC7k4qghi/view?usp=drivesdk</t>
        </is>
      </c>
    </row>
    <row r="169" ht="12" customHeight="1">
      <c r="A169" t="inlineStr">
        <is>
          <t>202603</t>
        </is>
      </c>
      <c r="B169" t="inlineStr">
        <is>
          <t>SL</t>
        </is>
      </c>
      <c r="C169" t="inlineStr">
        <is>
          <t>cogs</t>
        </is>
      </c>
      <c r="D169" t="inlineStr">
        <is>
          <t>logistics</t>
        </is>
      </c>
      <c r="E169" t="inlineStr">
        <is>
          <t>UPS</t>
        </is>
      </c>
      <c r="F169" t="inlineStr"/>
      <c r="G169" s="50" t="n">
        <v>477.74</v>
      </c>
      <c r="H169" t="inlineStr">
        <is>
          <t>EUR</t>
        </is>
      </c>
      <c r="I169" t="inlineStr">
        <is>
          <t>EUR</t>
        </is>
      </c>
      <c r="J169" s="51" t="n">
        <v>1</v>
      </c>
      <c r="K169" s="50" t="n">
        <v>477.74</v>
      </c>
      <c r="L169" t="inlineStr">
        <is>
          <t>documents</t>
        </is>
      </c>
      <c r="M169" s="52" t="inlineStr">
        <is>
          <t>327222730</t>
        </is>
      </c>
      <c r="N169" t="inlineStr">
        <is>
          <t>https://drive.google.com/file/d/1QhIFR8zEdSkOGtyWcVp6DgfqwsZajitQ/view?usp=drivesdk</t>
        </is>
      </c>
    </row>
    <row r="170" ht="12" customHeight="1">
      <c r="A170" t="inlineStr">
        <is>
          <t>202603</t>
        </is>
      </c>
      <c r="B170" t="inlineStr">
        <is>
          <t>SL</t>
        </is>
      </c>
      <c r="C170" t="inlineStr">
        <is>
          <t>cogs</t>
        </is>
      </c>
      <c r="D170" t="inlineStr">
        <is>
          <t>logistics</t>
        </is>
      </c>
      <c r="E170" t="inlineStr">
        <is>
          <t>UPS</t>
        </is>
      </c>
      <c r="F170" t="inlineStr"/>
      <c r="G170" s="50" t="n">
        <v>43.12</v>
      </c>
      <c r="H170" t="inlineStr">
        <is>
          <t>EUR</t>
        </is>
      </c>
      <c r="I170" t="inlineStr">
        <is>
          <t>EUR</t>
        </is>
      </c>
      <c r="J170" s="51" t="n">
        <v>1</v>
      </c>
      <c r="K170" s="50" t="n">
        <v>43.12</v>
      </c>
      <c r="L170" t="inlineStr">
        <is>
          <t>documents</t>
        </is>
      </c>
      <c r="M170" s="52" t="inlineStr">
        <is>
          <t>838164415</t>
        </is>
      </c>
      <c r="N170" t="inlineStr">
        <is>
          <t>https://drive.google.com/file/d/1y_hZpMa4BT8BhTHlM8bSxgLKo9pitazV/view</t>
        </is>
      </c>
    </row>
    <row r="171" ht="12" customHeight="1">
      <c r="A171" t="inlineStr">
        <is>
          <t>202603</t>
        </is>
      </c>
      <c r="B171" t="inlineStr">
        <is>
          <t>SL</t>
        </is>
      </c>
      <c r="C171" t="inlineStr">
        <is>
          <t>cogs</t>
        </is>
      </c>
      <c r="D171" t="inlineStr">
        <is>
          <t>logistics</t>
        </is>
      </c>
      <c r="E171" t="inlineStr">
        <is>
          <t>UPS</t>
        </is>
      </c>
      <c r="F171" t="inlineStr"/>
      <c r="G171" s="50" t="n">
        <v>9.69</v>
      </c>
      <c r="H171" t="inlineStr">
        <is>
          <t>EUR</t>
        </is>
      </c>
      <c r="I171" t="inlineStr">
        <is>
          <t>EUR</t>
        </is>
      </c>
      <c r="J171" s="51" t="n">
        <v>1</v>
      </c>
      <c r="K171" s="50" t="n">
        <v>9.69</v>
      </c>
      <c r="L171" t="inlineStr">
        <is>
          <t>documents</t>
        </is>
      </c>
      <c r="M171" s="52" t="inlineStr">
        <is>
          <t>838205738</t>
        </is>
      </c>
      <c r="N171" t="inlineStr">
        <is>
          <t>https://drive.google.com/file/d/1dZEE0UiuWN9_6DFQnvULQmJU6vHwjGGQ/view</t>
        </is>
      </c>
    </row>
    <row r="172" ht="12" customHeight="1">
      <c r="A172" t="inlineStr">
        <is>
          <t>202603</t>
        </is>
      </c>
      <c r="B172" t="inlineStr">
        <is>
          <t>SL</t>
        </is>
      </c>
      <c r="C172" t="inlineStr">
        <is>
          <t>cogs</t>
        </is>
      </c>
      <c r="D172" t="inlineStr">
        <is>
          <t>logistics</t>
        </is>
      </c>
      <c r="E172" t="inlineStr">
        <is>
          <t>UPS</t>
        </is>
      </c>
      <c r="F172" t="inlineStr"/>
      <c r="G172" s="50" t="n">
        <v>7.91</v>
      </c>
      <c r="H172" t="inlineStr">
        <is>
          <t>EUR</t>
        </is>
      </c>
      <c r="I172" t="inlineStr">
        <is>
          <t>EUR</t>
        </is>
      </c>
      <c r="J172" s="51" t="n">
        <v>1</v>
      </c>
      <c r="K172" s="50" t="n">
        <v>7.91</v>
      </c>
      <c r="L172" t="inlineStr">
        <is>
          <t>documents</t>
        </is>
      </c>
      <c r="M172" s="52" t="inlineStr">
        <is>
          <t>838283238</t>
        </is>
      </c>
      <c r="N172" t="inlineStr">
        <is>
          <t>https://drive.google.com/file/d/1enWtjyf2SUswvIm0_3r2ARUO4Nc_9Jd0/view?usp=drivesdk</t>
        </is>
      </c>
    </row>
    <row r="173" ht="12" customHeight="1">
      <c r="A173" t="inlineStr">
        <is>
          <t>202603</t>
        </is>
      </c>
      <c r="B173" t="inlineStr">
        <is>
          <t>SL</t>
        </is>
      </c>
      <c r="C173" t="inlineStr">
        <is>
          <t>cogs</t>
        </is>
      </c>
      <c r="D173" t="inlineStr">
        <is>
          <t>logistics</t>
        </is>
      </c>
      <c r="E173" t="inlineStr">
        <is>
          <t>UPS</t>
        </is>
      </c>
      <c r="F173" t="inlineStr"/>
      <c r="G173" s="50" t="n">
        <v>8.15</v>
      </c>
      <c r="H173" t="inlineStr">
        <is>
          <t>EUR</t>
        </is>
      </c>
      <c r="I173" t="inlineStr">
        <is>
          <t>EUR</t>
        </is>
      </c>
      <c r="J173" s="51" t="n">
        <v>1</v>
      </c>
      <c r="K173" s="50" t="n">
        <v>8.15</v>
      </c>
      <c r="L173" t="inlineStr">
        <is>
          <t>documents</t>
        </is>
      </c>
      <c r="M173" s="52" t="inlineStr">
        <is>
          <t>838321717</t>
        </is>
      </c>
      <c r="N173" t="inlineStr">
        <is>
          <t>https://drive.google.com/file/d/1KcT0lhE7w43XLBdBTq1BZ9Zohol9cqev/view?usp=drivesdk</t>
        </is>
      </c>
    </row>
    <row r="174" ht="12" customHeight="1">
      <c r="A174" t="inlineStr">
        <is>
          <t>202603</t>
        </is>
      </c>
      <c r="B174" t="inlineStr">
        <is>
          <t>SL</t>
        </is>
      </c>
      <c r="C174" t="inlineStr">
        <is>
          <t>opex</t>
        </is>
      </c>
      <c r="D174" t="inlineStr">
        <is>
          <t>administration</t>
        </is>
      </c>
      <c r="E174" t="inlineStr">
        <is>
          <t>VITALY</t>
        </is>
      </c>
      <c r="F174" t="inlineStr"/>
      <c r="G174" s="50" t="n">
        <v>369</v>
      </c>
      <c r="H174" t="inlineStr">
        <is>
          <t>EUR</t>
        </is>
      </c>
      <c r="I174" t="inlineStr">
        <is>
          <t>EUR</t>
        </is>
      </c>
      <c r="J174" s="51" t="n">
        <v>1</v>
      </c>
      <c r="K174" s="50" t="n">
        <v>369</v>
      </c>
      <c r="L174" t="inlineStr">
        <is>
          <t>documents</t>
        </is>
      </c>
      <c r="M174" s="52" t="inlineStr">
        <is>
          <t>IFC2603-18831</t>
        </is>
      </c>
      <c r="N174" t="inlineStr">
        <is>
          <t>https://drive.google.com/file/d/1YylC1UsF8Mmxn_K1BFQWDm5IBpU5pT4S/view?usp=drivesdk</t>
        </is>
      </c>
    </row>
    <row r="175" ht="12" customHeight="1">
      <c r="A175" t="inlineStr">
        <is>
          <t>202603</t>
        </is>
      </c>
      <c r="B175" t="inlineStr">
        <is>
          <t>SL</t>
        </is>
      </c>
      <c r="C175" t="inlineStr">
        <is>
          <t>opex</t>
        </is>
      </c>
      <c r="D175" t="inlineStr">
        <is>
          <t>technology</t>
        </is>
      </c>
      <c r="E175" t="inlineStr">
        <is>
          <t>YUMAAI</t>
        </is>
      </c>
      <c r="F175" t="inlineStr"/>
      <c r="G175" s="50" t="n">
        <v>440</v>
      </c>
      <c r="H175" t="inlineStr">
        <is>
          <t>EUR</t>
        </is>
      </c>
      <c r="I175" t="inlineStr">
        <is>
          <t>EUR</t>
        </is>
      </c>
      <c r="J175" s="51" t="n">
        <v>1</v>
      </c>
      <c r="K175" s="50" t="n">
        <v>440</v>
      </c>
      <c r="L175" t="inlineStr">
        <is>
          <t>documents</t>
        </is>
      </c>
      <c r="M175" s="52" t="inlineStr">
        <is>
          <t>OQXBYXMP-0006</t>
        </is>
      </c>
      <c r="N175" t="inlineStr">
        <is>
          <t>https://drive.google.com/file/d/1Dfe3TUTMjwwXhP0sW7OA-brj3bzdreVa/view?usp=drivesdk</t>
        </is>
      </c>
    </row>
    <row r="176" ht="12" customHeight="1">
      <c r="A176" t="inlineStr">
        <is>
          <t>202604</t>
        </is>
      </c>
      <c r="B176" t="inlineStr">
        <is>
          <t>SL</t>
        </is>
      </c>
      <c r="C176" t="inlineStr">
        <is>
          <t>opex</t>
        </is>
      </c>
      <c r="D176" t="inlineStr">
        <is>
          <t>technology</t>
        </is>
      </c>
      <c r="E176" t="inlineStr">
        <is>
          <t>ADOBE</t>
        </is>
      </c>
      <c r="F176" t="inlineStr"/>
      <c r="G176" s="50" t="n">
        <v>33.49</v>
      </c>
      <c r="H176" t="inlineStr">
        <is>
          <t>EUR</t>
        </is>
      </c>
      <c r="I176" t="inlineStr">
        <is>
          <t>EUR</t>
        </is>
      </c>
      <c r="J176" s="51" t="n">
        <v>1</v>
      </c>
      <c r="K176" s="50" t="n">
        <v>33.49</v>
      </c>
      <c r="L176" t="inlineStr">
        <is>
          <t>documents</t>
        </is>
      </c>
      <c r="M176" s="52" t="inlineStr">
        <is>
          <t>IEE2026007927833</t>
        </is>
      </c>
      <c r="N176" t="inlineStr">
        <is>
          <t>https://drive.google.com/file/d/137vtSAURnNq0lo2-2WeVg0AhuOrEsAZq/view?usp=drivesdk</t>
        </is>
      </c>
    </row>
    <row r="177" ht="12" customHeight="1">
      <c r="A177" t="inlineStr">
        <is>
          <t>202604</t>
        </is>
      </c>
      <c r="B177" t="inlineStr">
        <is>
          <t>SL</t>
        </is>
      </c>
      <c r="C177" t="inlineStr">
        <is>
          <t>cogs</t>
        </is>
      </c>
      <c r="D177" t="inlineStr">
        <is>
          <t>manufacturing</t>
        </is>
      </c>
      <c r="E177" t="inlineStr">
        <is>
          <t>APPHOTOCAN</t>
        </is>
      </c>
      <c r="F177" t="inlineStr"/>
      <c r="G177" s="50" t="n">
        <v>78.45</v>
      </c>
      <c r="H177" t="inlineStr">
        <is>
          <t>EUR</t>
        </is>
      </c>
      <c r="I177" t="inlineStr">
        <is>
          <t>EUR</t>
        </is>
      </c>
      <c r="J177" s="51" t="n">
        <v>1</v>
      </c>
      <c r="K177" s="50" t="n">
        <v>78.45</v>
      </c>
      <c r="L177" t="inlineStr">
        <is>
          <t>documents</t>
        </is>
      </c>
      <c r="M177" s="52" t="inlineStr">
        <is>
          <t>26-1-838</t>
        </is>
      </c>
      <c r="N177" t="inlineStr">
        <is>
          <t>https://drive.google.com/file/d/1tK12_snGAqgo3ElAmCRk8OybEVwqohia/view?usp=drivesdk</t>
        </is>
      </c>
    </row>
    <row r="178" ht="12" customHeight="1">
      <c r="A178" t="inlineStr">
        <is>
          <t>202604</t>
        </is>
      </c>
      <c r="B178" t="inlineStr">
        <is>
          <t>SL</t>
        </is>
      </c>
      <c r="C178" t="inlineStr">
        <is>
          <t>cogs</t>
        </is>
      </c>
      <c r="D178" t="inlineStr">
        <is>
          <t>manufacturing</t>
        </is>
      </c>
      <c r="E178" t="inlineStr">
        <is>
          <t>APPHOTOES</t>
        </is>
      </c>
      <c r="F178" t="inlineStr"/>
      <c r="G178" s="50" t="n">
        <v>5759.93</v>
      </c>
      <c r="H178" t="inlineStr">
        <is>
          <t>EUR</t>
        </is>
      </c>
      <c r="I178" t="inlineStr">
        <is>
          <t>EUR</t>
        </is>
      </c>
      <c r="J178" s="51" t="n">
        <v>1</v>
      </c>
      <c r="K178" s="50" t="n">
        <v>5759.93</v>
      </c>
      <c r="L178" t="inlineStr">
        <is>
          <t>documents</t>
        </is>
      </c>
      <c r="M178" s="52" t="inlineStr">
        <is>
          <t>1-4602</t>
        </is>
      </c>
      <c r="N178" t="inlineStr">
        <is>
          <t>https://drive.google.com/file/d/1IiVVkNBHHpO1SKwAMXgkQ7xAlDvvJHGm/view?usp=drivesdk</t>
        </is>
      </c>
    </row>
    <row r="179" ht="12" customHeight="1">
      <c r="A179" t="inlineStr">
        <is>
          <t>202604</t>
        </is>
      </c>
      <c r="B179" t="inlineStr">
        <is>
          <t>SL</t>
        </is>
      </c>
      <c r="C179" t="inlineStr">
        <is>
          <t>cogs</t>
        </is>
      </c>
      <c r="D179" t="inlineStr">
        <is>
          <t>manufacturing</t>
        </is>
      </c>
      <c r="E179" t="inlineStr">
        <is>
          <t>APPHOTOES</t>
        </is>
      </c>
      <c r="F179" t="inlineStr"/>
      <c r="G179" s="50" t="n">
        <v>450</v>
      </c>
      <c r="H179" t="inlineStr">
        <is>
          <t>EUR</t>
        </is>
      </c>
      <c r="I179" t="inlineStr">
        <is>
          <t>EUR</t>
        </is>
      </c>
      <c r="J179" s="51" t="n">
        <v>1</v>
      </c>
      <c r="K179" s="50" t="n">
        <v>450</v>
      </c>
      <c r="L179" t="inlineStr">
        <is>
          <t>documents</t>
        </is>
      </c>
      <c r="M179" s="52" t="inlineStr">
        <is>
          <t>1-4870</t>
        </is>
      </c>
      <c r="N179" t="inlineStr">
        <is>
          <t>https://drive.google.com/file/d/1ZrmXENXWje11a0Xs1zuLjyoaYT49GYdD/view?usp=drivesdk</t>
        </is>
      </c>
    </row>
    <row r="180" ht="12" customHeight="1">
      <c r="A180" t="inlineStr">
        <is>
          <t>202604</t>
        </is>
      </c>
      <c r="B180" t="inlineStr">
        <is>
          <t>SL</t>
        </is>
      </c>
      <c r="C180" t="inlineStr">
        <is>
          <t>cogs</t>
        </is>
      </c>
      <c r="D180" t="inlineStr">
        <is>
          <t>manufacturing</t>
        </is>
      </c>
      <c r="E180" t="inlineStr">
        <is>
          <t>APPHOTOES</t>
        </is>
      </c>
      <c r="F180" t="inlineStr"/>
      <c r="G180" s="50" t="n">
        <v>8611.610000000001</v>
      </c>
      <c r="H180" t="inlineStr">
        <is>
          <t>EUR</t>
        </is>
      </c>
      <c r="I180" t="inlineStr">
        <is>
          <t>EUR</t>
        </is>
      </c>
      <c r="J180" s="51" t="n">
        <v>1</v>
      </c>
      <c r="K180" s="50" t="n">
        <v>8611.610000000001</v>
      </c>
      <c r="L180" t="inlineStr">
        <is>
          <t>documents</t>
        </is>
      </c>
      <c r="M180" s="52" t="inlineStr">
        <is>
          <t>1-4917</t>
        </is>
      </c>
      <c r="N180" t="inlineStr">
        <is>
          <t>https://drive.google.com/file/d/1d9J8SfYBT9zuLpyqY8KWrZ9A69JqhZne/view?usp=drivesdk</t>
        </is>
      </c>
    </row>
    <row r="181" ht="12" customHeight="1">
      <c r="A181" t="inlineStr">
        <is>
          <t>202604</t>
        </is>
      </c>
      <c r="B181" t="inlineStr">
        <is>
          <t>SL</t>
        </is>
      </c>
      <c r="C181" t="inlineStr">
        <is>
          <t>cogs</t>
        </is>
      </c>
      <c r="D181" t="inlineStr">
        <is>
          <t>manufacturing</t>
        </is>
      </c>
      <c r="E181" t="inlineStr">
        <is>
          <t>APPHOTOES</t>
        </is>
      </c>
      <c r="F181" t="inlineStr"/>
      <c r="G181" s="50" t="n">
        <v>1122.2</v>
      </c>
      <c r="H181" t="inlineStr">
        <is>
          <t>EUR</t>
        </is>
      </c>
      <c r="I181" t="inlineStr">
        <is>
          <t>EUR</t>
        </is>
      </c>
      <c r="J181" s="51" t="n">
        <v>1</v>
      </c>
      <c r="K181" s="50" t="n">
        <v>1122.2</v>
      </c>
      <c r="L181" t="inlineStr">
        <is>
          <t>documents</t>
        </is>
      </c>
      <c r="M181" s="52" t="inlineStr">
        <is>
          <t>1-5015</t>
        </is>
      </c>
      <c r="N181" t="inlineStr">
        <is>
          <t>https://drive.google.com/file/d/1Mi7tTWHrGk4_xv5bAeOff-4VPA1ITkSZ/view?usp=drivesdk</t>
        </is>
      </c>
    </row>
    <row r="182" ht="12" customHeight="1">
      <c r="A182" t="inlineStr">
        <is>
          <t>202604</t>
        </is>
      </c>
      <c r="B182" t="inlineStr">
        <is>
          <t>SL</t>
        </is>
      </c>
      <c r="C182" t="inlineStr">
        <is>
          <t>cogs</t>
        </is>
      </c>
      <c r="D182" t="inlineStr">
        <is>
          <t>manufacturing</t>
        </is>
      </c>
      <c r="E182" t="inlineStr">
        <is>
          <t>APPHOTOES</t>
        </is>
      </c>
      <c r="F182" t="inlineStr"/>
      <c r="G182" s="50" t="n">
        <v>6486.86</v>
      </c>
      <c r="H182" t="inlineStr">
        <is>
          <t>EUR</t>
        </is>
      </c>
      <c r="I182" t="inlineStr">
        <is>
          <t>EUR</t>
        </is>
      </c>
      <c r="J182" s="51" t="n">
        <v>1</v>
      </c>
      <c r="K182" s="50" t="n">
        <v>6486.86</v>
      </c>
      <c r="L182" t="inlineStr">
        <is>
          <t>documents</t>
        </is>
      </c>
      <c r="M182" s="52" t="inlineStr">
        <is>
          <t>1-5305</t>
        </is>
      </c>
      <c r="N182" t="inlineStr">
        <is>
          <t>https://drive.google.com/file/d/1k4EkWUe1QzE0u4rHvCLGPIxazKKONDS_/view?usp=drivesdk</t>
        </is>
      </c>
    </row>
    <row r="183" ht="12" customHeight="1">
      <c r="A183" t="inlineStr">
        <is>
          <t>202604</t>
        </is>
      </c>
      <c r="B183" t="inlineStr">
        <is>
          <t>SL</t>
        </is>
      </c>
      <c r="C183" t="inlineStr">
        <is>
          <t>opex</t>
        </is>
      </c>
      <c r="D183" t="inlineStr">
        <is>
          <t>administration</t>
        </is>
      </c>
      <c r="E183" t="inlineStr">
        <is>
          <t>BBVACNC</t>
        </is>
      </c>
      <c r="F183" t="inlineStr"/>
      <c r="G183" s="50" t="n">
        <v>1644.62</v>
      </c>
      <c r="H183" t="inlineStr">
        <is>
          <t>EUR</t>
        </is>
      </c>
      <c r="I183" t="inlineStr">
        <is>
          <t>EUR</t>
        </is>
      </c>
      <c r="J183" s="51" t="n">
        <v>1</v>
      </c>
      <c r="K183" s="50" t="n">
        <v>1644.62</v>
      </c>
      <c r="L183" t="inlineStr">
        <is>
          <t>documents</t>
        </is>
      </c>
      <c r="M183" s="52" t="inlineStr">
        <is>
          <t>260992A00164042</t>
        </is>
      </c>
      <c r="N183" t="inlineStr">
        <is>
          <t>https://drive.google.com/file/d/1wiIr--grhCOwwraj-uSzl6iuHZe-BAnj/view?usp=drivesdk</t>
        </is>
      </c>
    </row>
    <row r="184" ht="12" customHeight="1">
      <c r="A184" t="inlineStr">
        <is>
          <t>202604</t>
        </is>
      </c>
      <c r="B184" t="inlineStr">
        <is>
          <t>SL</t>
        </is>
      </c>
      <c r="C184" t="inlineStr">
        <is>
          <t>opex</t>
        </is>
      </c>
      <c r="D184" t="inlineStr">
        <is>
          <t>technology</t>
        </is>
      </c>
      <c r="E184" t="inlineStr">
        <is>
          <t>CANVA</t>
        </is>
      </c>
      <c r="F184" t="inlineStr"/>
      <c r="G184" s="50" t="n">
        <v>9.91</v>
      </c>
      <c r="H184" t="inlineStr">
        <is>
          <t>EUR</t>
        </is>
      </c>
      <c r="I184" t="inlineStr">
        <is>
          <t>EUR</t>
        </is>
      </c>
      <c r="J184" s="51" t="n">
        <v>1</v>
      </c>
      <c r="K184" s="50" t="n">
        <v>9.91</v>
      </c>
      <c r="L184" t="inlineStr">
        <is>
          <t>documents</t>
        </is>
      </c>
      <c r="M184" s="52" t="inlineStr">
        <is>
          <t>04855-17204824</t>
        </is>
      </c>
      <c r="N184" t="inlineStr">
        <is>
          <t>https://drive.google.com/file/d/1Iej5j0arIBtLDQjTdIrgaRUdw4csV78Y/view?usp=drivesdk</t>
        </is>
      </c>
    </row>
    <row r="185" ht="12" customHeight="1">
      <c r="A185" t="inlineStr">
        <is>
          <t>202604</t>
        </is>
      </c>
      <c r="B185" t="inlineStr">
        <is>
          <t>SL</t>
        </is>
      </c>
      <c r="C185" t="inlineStr">
        <is>
          <t>opex</t>
        </is>
      </c>
      <c r="D185" t="inlineStr">
        <is>
          <t>administration</t>
        </is>
      </c>
      <c r="E185" t="inlineStr">
        <is>
          <t>CLARIS</t>
        </is>
      </c>
      <c r="F185" t="inlineStr"/>
      <c r="G185" s="50" t="n">
        <v>808.08</v>
      </c>
      <c r="H185" t="inlineStr">
        <is>
          <t>EUR</t>
        </is>
      </c>
      <c r="I185" t="inlineStr">
        <is>
          <t>EUR</t>
        </is>
      </c>
      <c r="J185" s="51" t="n">
        <v>1</v>
      </c>
      <c r="K185" s="50" t="n">
        <v>808.08</v>
      </c>
      <c r="L185" t="inlineStr">
        <is>
          <t>documents</t>
        </is>
      </c>
      <c r="M185" s="52" t="inlineStr">
        <is>
          <t>F01033/26</t>
        </is>
      </c>
      <c r="N185" t="inlineStr">
        <is>
          <t>https://drive.google.com/file/d/1YU4Rv32gQWRnZltbnXYoiABaHUadZkPC/view?usp=drivesdk</t>
        </is>
      </c>
    </row>
    <row r="186" ht="12" customHeight="1">
      <c r="A186" t="inlineStr">
        <is>
          <t>202604</t>
        </is>
      </c>
      <c r="B186" t="inlineStr">
        <is>
          <t>SL</t>
        </is>
      </c>
      <c r="C186" t="inlineStr">
        <is>
          <t>cogs</t>
        </is>
      </c>
      <c r="D186" t="inlineStr">
        <is>
          <t>logistics</t>
        </is>
      </c>
      <c r="E186" t="inlineStr">
        <is>
          <t>CORREOS</t>
        </is>
      </c>
      <c r="F186" t="inlineStr"/>
      <c r="G186" s="50" t="n">
        <v>129.36</v>
      </c>
      <c r="H186" t="inlineStr">
        <is>
          <t>EUR</t>
        </is>
      </c>
      <c r="I186" t="inlineStr">
        <is>
          <t>EUR</t>
        </is>
      </c>
      <c r="J186" s="51" t="n">
        <v>1</v>
      </c>
      <c r="K186" s="50" t="n">
        <v>129.36</v>
      </c>
      <c r="L186" t="inlineStr">
        <is>
          <t>documents</t>
        </is>
      </c>
      <c r="M186" s="52" t="inlineStr">
        <is>
          <t>4004673697</t>
        </is>
      </c>
      <c r="N186" t="inlineStr">
        <is>
          <t>https://drive.google.com/file/d/1_ZSBLc2T5RQFSA6g-kEsXc5iRZOuOX-t/view?usp=drivesdk</t>
        </is>
      </c>
    </row>
    <row r="187" ht="12" customHeight="1">
      <c r="A187" t="inlineStr">
        <is>
          <t>202604</t>
        </is>
      </c>
      <c r="B187" t="inlineStr">
        <is>
          <t>SL</t>
        </is>
      </c>
      <c r="C187" t="inlineStr">
        <is>
          <t>cogs</t>
        </is>
      </c>
      <c r="D187" t="inlineStr">
        <is>
          <t>logistics</t>
        </is>
      </c>
      <c r="E187" t="inlineStr">
        <is>
          <t>CORREOSCAN</t>
        </is>
      </c>
      <c r="F187" t="inlineStr"/>
      <c r="G187" s="50" t="n">
        <v>12.98</v>
      </c>
      <c r="H187" t="inlineStr">
        <is>
          <t>EUR</t>
        </is>
      </c>
      <c r="I187" t="inlineStr">
        <is>
          <t>EUR</t>
        </is>
      </c>
      <c r="J187" s="51" t="n">
        <v>1</v>
      </c>
      <c r="K187" s="50" t="n">
        <v>12.98</v>
      </c>
      <c r="L187" t="inlineStr">
        <is>
          <t>documents</t>
        </is>
      </c>
      <c r="M187" s="52" t="inlineStr">
        <is>
          <t>4004673698</t>
        </is>
      </c>
      <c r="N187" t="inlineStr">
        <is>
          <t>https://drive.google.com/file/d/1rAt4AT0dB1Q7jTLCXdpabG0G8qJCZTCO/view?usp=drivesdk</t>
        </is>
      </c>
    </row>
    <row r="188" ht="12" customHeight="1">
      <c r="A188" t="inlineStr">
        <is>
          <t>202604</t>
        </is>
      </c>
      <c r="B188" t="inlineStr">
        <is>
          <t>SL</t>
        </is>
      </c>
      <c r="C188" t="inlineStr">
        <is>
          <t>cogs</t>
        </is>
      </c>
      <c r="D188" t="inlineStr">
        <is>
          <t>manufacturing</t>
        </is>
      </c>
      <c r="E188" t="inlineStr">
        <is>
          <t>DCT</t>
        </is>
      </c>
      <c r="F188" t="inlineStr"/>
      <c r="G188" s="50" t="n">
        <v>5459.08</v>
      </c>
      <c r="H188" t="inlineStr">
        <is>
          <t>EUR</t>
        </is>
      </c>
      <c r="I188" t="inlineStr">
        <is>
          <t>EUR</t>
        </is>
      </c>
      <c r="J188" s="51" t="n">
        <v>1</v>
      </c>
      <c r="K188" s="50" t="n">
        <v>5459.08</v>
      </c>
      <c r="L188" t="inlineStr">
        <is>
          <t>documents</t>
        </is>
      </c>
      <c r="M188" s="52" t="inlineStr">
        <is>
          <t>26-0781</t>
        </is>
      </c>
      <c r="N188" t="inlineStr">
        <is>
          <t>https://drive.google.com/file/d/1bczSdhqB_SLGanlHlvtkHPwjnmVE7gZl/view?usp=drivesdk</t>
        </is>
      </c>
    </row>
    <row r="189" ht="12" customHeight="1">
      <c r="A189" t="inlineStr">
        <is>
          <t>202604</t>
        </is>
      </c>
      <c r="B189" t="inlineStr">
        <is>
          <t>SL</t>
        </is>
      </c>
      <c r="C189" t="inlineStr">
        <is>
          <t>cogs</t>
        </is>
      </c>
      <c r="D189" t="inlineStr">
        <is>
          <t>manufacturing</t>
        </is>
      </c>
      <c r="E189" t="inlineStr">
        <is>
          <t>DCT</t>
        </is>
      </c>
      <c r="F189" t="inlineStr"/>
      <c r="G189" s="50" t="n">
        <v>40</v>
      </c>
      <c r="H189" t="inlineStr">
        <is>
          <t>EUR</t>
        </is>
      </c>
      <c r="I189" t="inlineStr">
        <is>
          <t>EUR</t>
        </is>
      </c>
      <c r="J189" s="51" t="n">
        <v>1</v>
      </c>
      <c r="K189" s="50" t="n">
        <v>40</v>
      </c>
      <c r="L189" t="inlineStr">
        <is>
          <t>documents</t>
        </is>
      </c>
      <c r="M189" s="52" t="inlineStr">
        <is>
          <t>26-0782</t>
        </is>
      </c>
      <c r="N189" t="inlineStr">
        <is>
          <t>https://drive.google.com/file/d/1VuGJqMszuqN8s1b53HuSZnKDUUGQM3mS/view?usp=drivesdk</t>
        </is>
      </c>
    </row>
    <row r="190" ht="12" customHeight="1">
      <c r="A190" t="inlineStr">
        <is>
          <t>202604</t>
        </is>
      </c>
      <c r="B190" t="inlineStr">
        <is>
          <t>SL</t>
        </is>
      </c>
      <c r="C190" t="inlineStr">
        <is>
          <t>cogs</t>
        </is>
      </c>
      <c r="D190" t="inlineStr">
        <is>
          <t>logistics</t>
        </is>
      </c>
      <c r="E190" t="inlineStr">
        <is>
          <t>GLS</t>
        </is>
      </c>
      <c r="F190" t="inlineStr"/>
      <c r="G190" s="50" t="n">
        <v>13931.03</v>
      </c>
      <c r="H190" t="inlineStr">
        <is>
          <t>EUR</t>
        </is>
      </c>
      <c r="I190" t="inlineStr">
        <is>
          <t>EUR</t>
        </is>
      </c>
      <c r="J190" s="51" t="n">
        <v>1</v>
      </c>
      <c r="K190" s="50" t="n">
        <v>13931.03</v>
      </c>
      <c r="L190" t="inlineStr">
        <is>
          <t>documents</t>
        </is>
      </c>
      <c r="M190" s="52" t="inlineStr">
        <is>
          <t>20260216</t>
        </is>
      </c>
      <c r="N190" t="inlineStr">
        <is>
          <t>https://drive.google.com/file/d/1LslEZAfUCwFAOXA2gAgYKUvZGbS0P1UO/view?usp=drivesdk</t>
        </is>
      </c>
    </row>
    <row r="191" ht="12" customHeight="1">
      <c r="A191" t="inlineStr">
        <is>
          <t>202604</t>
        </is>
      </c>
      <c r="B191" t="inlineStr">
        <is>
          <t>SL</t>
        </is>
      </c>
      <c r="C191" t="inlineStr">
        <is>
          <t>opex</t>
        </is>
      </c>
      <c r="D191" t="inlineStr">
        <is>
          <t>marketing</t>
        </is>
      </c>
      <c r="E191" t="inlineStr">
        <is>
          <t>GOOGLEADS</t>
        </is>
      </c>
      <c r="F191" t="inlineStr">
        <is>
          <t>eu</t>
        </is>
      </c>
      <c r="G191" s="50" t="n">
        <v>21998.51</v>
      </c>
      <c r="H191" t="inlineStr">
        <is>
          <t>EUR</t>
        </is>
      </c>
      <c r="I191" t="inlineStr">
        <is>
          <t>EUR</t>
        </is>
      </c>
      <c r="J191" s="51" t="n">
        <v>1</v>
      </c>
      <c r="K191" s="50" t="n">
        <v>21998.51</v>
      </c>
      <c r="L191" t="inlineStr">
        <is>
          <t>documents</t>
        </is>
      </c>
      <c r="M191" s="52" t="inlineStr">
        <is>
          <t>5564350439</t>
        </is>
      </c>
      <c r="N191" t="inlineStr">
        <is>
          <t>https://drive.google.com/file/d/1dauw8a38vEytQd5EMcPJ91ZIoDLh-P4P/view?usp=drivesdk</t>
        </is>
      </c>
    </row>
    <row r="192" ht="12" customHeight="1">
      <c r="A192" t="inlineStr">
        <is>
          <t>202604</t>
        </is>
      </c>
      <c r="B192" t="inlineStr">
        <is>
          <t>SL</t>
        </is>
      </c>
      <c r="C192" t="inlineStr">
        <is>
          <t>opex</t>
        </is>
      </c>
      <c r="D192" t="inlineStr">
        <is>
          <t>marketing</t>
        </is>
      </c>
      <c r="E192" t="inlineStr">
        <is>
          <t>GOOGLEADS</t>
        </is>
      </c>
      <c r="F192" t="inlineStr">
        <is>
          <t>uk</t>
        </is>
      </c>
      <c r="G192" s="50" t="n">
        <v>5039.03</v>
      </c>
      <c r="H192" t="inlineStr">
        <is>
          <t>EUR</t>
        </is>
      </c>
      <c r="I192" t="inlineStr">
        <is>
          <t>EUR</t>
        </is>
      </c>
      <c r="J192" s="51" t="n">
        <v>1</v>
      </c>
      <c r="K192" s="50" t="n">
        <v>5039.03</v>
      </c>
      <c r="L192" t="inlineStr">
        <is>
          <t>documents</t>
        </is>
      </c>
      <c r="M192" s="52" t="inlineStr">
        <is>
          <t>5564350439</t>
        </is>
      </c>
      <c r="N192" t="inlineStr">
        <is>
          <t>https://drive.google.com/file/d/1xLUiuyvbp7JDCs41qOWmziDIKnYQOb1p/view?usp=drivesdk</t>
        </is>
      </c>
    </row>
    <row r="193" ht="12" customHeight="1">
      <c r="A193" t="inlineStr">
        <is>
          <t>202604</t>
        </is>
      </c>
      <c r="B193" t="inlineStr">
        <is>
          <t>SL</t>
        </is>
      </c>
      <c r="C193" t="inlineStr">
        <is>
          <t>opex</t>
        </is>
      </c>
      <c r="D193" t="inlineStr">
        <is>
          <t>marketing</t>
        </is>
      </c>
      <c r="E193" t="inlineStr">
        <is>
          <t>GOOGLEADS</t>
        </is>
      </c>
      <c r="F193" t="inlineStr">
        <is>
          <t>us</t>
        </is>
      </c>
      <c r="G193" s="50" t="n">
        <v>2252.46</v>
      </c>
      <c r="H193" t="inlineStr">
        <is>
          <t>EUR</t>
        </is>
      </c>
      <c r="I193" t="inlineStr">
        <is>
          <t>EUR</t>
        </is>
      </c>
      <c r="J193" s="51" t="n">
        <v>1</v>
      </c>
      <c r="K193" s="50" t="n">
        <v>2252.46</v>
      </c>
      <c r="L193" t="inlineStr">
        <is>
          <t>documents</t>
        </is>
      </c>
      <c r="M193" s="52" t="inlineStr">
        <is>
          <t>5564350439</t>
        </is>
      </c>
      <c r="N193" t="inlineStr">
        <is>
          <t>https://drive.google.com/file/d/1c0VjX1cWSAdy331Zta_fyYCvWZUyaQ4E/view?usp=drivesdk</t>
        </is>
      </c>
    </row>
    <row r="194" ht="12" customHeight="1">
      <c r="A194" t="inlineStr">
        <is>
          <t>202604</t>
        </is>
      </c>
      <c r="B194" t="inlineStr">
        <is>
          <t>SL</t>
        </is>
      </c>
      <c r="C194" t="inlineStr">
        <is>
          <t>opex</t>
        </is>
      </c>
      <c r="D194" t="inlineStr">
        <is>
          <t>technology</t>
        </is>
      </c>
      <c r="E194" t="inlineStr">
        <is>
          <t>GOOGLEWORKSPACE</t>
        </is>
      </c>
      <c r="F194" t="inlineStr"/>
      <c r="G194" s="50" t="n">
        <v>210.6</v>
      </c>
      <c r="H194" t="inlineStr">
        <is>
          <t>EUR</t>
        </is>
      </c>
      <c r="I194" t="inlineStr">
        <is>
          <t>EUR</t>
        </is>
      </c>
      <c r="J194" s="51" t="n">
        <v>1</v>
      </c>
      <c r="K194" s="50" t="n">
        <v>210.6</v>
      </c>
      <c r="L194" t="inlineStr">
        <is>
          <t>documents</t>
        </is>
      </c>
      <c r="M194" s="52" t="inlineStr">
        <is>
          <t>5561073043</t>
        </is>
      </c>
      <c r="N194" t="inlineStr">
        <is>
          <t>https://drive.google.com/file/d/1F-M1iIXOHxm1oEdMUvNgf7LUH0xtukI-/view?usp=drivesdk</t>
        </is>
      </c>
    </row>
    <row r="195" ht="12" customHeight="1">
      <c r="A195" t="inlineStr">
        <is>
          <t>202604</t>
        </is>
      </c>
      <c r="B195" t="inlineStr">
        <is>
          <t>SL</t>
        </is>
      </c>
      <c r="C195" t="inlineStr">
        <is>
          <t>opex</t>
        </is>
      </c>
      <c r="D195" t="inlineStr">
        <is>
          <t>technology</t>
        </is>
      </c>
      <c r="E195" t="inlineStr">
        <is>
          <t>GORGIAS</t>
        </is>
      </c>
      <c r="F195" t="inlineStr"/>
      <c r="G195" s="50" t="n">
        <v>120</v>
      </c>
      <c r="H195" t="inlineStr">
        <is>
          <t>USD</t>
        </is>
      </c>
      <c r="I195" t="inlineStr">
        <is>
          <t>EUR</t>
        </is>
      </c>
      <c r="J195" s="51" t="n">
        <v>0.85455478</v>
      </c>
      <c r="K195" s="50" t="n">
        <v>102.55</v>
      </c>
      <c r="L195" t="inlineStr">
        <is>
          <t>documents</t>
        </is>
      </c>
      <c r="M195" s="52" t="inlineStr">
        <is>
          <t>INC-04-2026-79756</t>
        </is>
      </c>
      <c r="N195" t="inlineStr">
        <is>
          <t>https://drive.google.com/file/d/1f_1Fb8T0U0veHzjvaxYms6nv1llStKYd/view?usp=drivesdk</t>
        </is>
      </c>
    </row>
    <row r="196" ht="12" customHeight="1">
      <c r="A196" t="inlineStr">
        <is>
          <t>202604</t>
        </is>
      </c>
      <c r="B196" t="inlineStr">
        <is>
          <t>SL</t>
        </is>
      </c>
      <c r="C196" t="inlineStr">
        <is>
          <t>opex</t>
        </is>
      </c>
      <c r="D196" t="inlineStr">
        <is>
          <t>administration</t>
        </is>
      </c>
      <c r="E196" t="inlineStr">
        <is>
          <t>HANNUN</t>
        </is>
      </c>
      <c r="F196" t="inlineStr">
        <is>
          <t>office</t>
        </is>
      </c>
      <c r="G196" s="50" t="n">
        <v>175</v>
      </c>
      <c r="H196" t="inlineStr">
        <is>
          <t>EUR</t>
        </is>
      </c>
      <c r="I196" t="inlineStr">
        <is>
          <t>EUR</t>
        </is>
      </c>
      <c r="J196" s="51" t="n">
        <v>1</v>
      </c>
      <c r="K196" s="50" t="n">
        <v>175</v>
      </c>
      <c r="L196" t="inlineStr">
        <is>
          <t>documents</t>
        </is>
      </c>
      <c r="M196" s="52" t="inlineStr">
        <is>
          <t>VTA/26-015944</t>
        </is>
      </c>
      <c r="N196" t="inlineStr">
        <is>
          <t>https://drive.google.com/file/d/1iVx9NWFkdW2w5j1hem9iffHzx51T3r1P/view?usp=drivesdk</t>
        </is>
      </c>
    </row>
    <row r="197" ht="12" customHeight="1">
      <c r="A197" t="inlineStr">
        <is>
          <t>202604</t>
        </is>
      </c>
      <c r="B197" t="inlineStr">
        <is>
          <t>SL</t>
        </is>
      </c>
      <c r="C197" t="inlineStr">
        <is>
          <t>opex</t>
        </is>
      </c>
      <c r="D197" t="inlineStr">
        <is>
          <t>technology</t>
        </is>
      </c>
      <c r="E197" t="inlineStr">
        <is>
          <t>HETZNER</t>
        </is>
      </c>
      <c r="F197" t="inlineStr"/>
      <c r="G197" s="50" t="n">
        <v>10.9</v>
      </c>
      <c r="H197" t="inlineStr">
        <is>
          <t>EUR</t>
        </is>
      </c>
      <c r="I197" t="inlineStr">
        <is>
          <t>EUR</t>
        </is>
      </c>
      <c r="J197" s="51" t="n">
        <v>1</v>
      </c>
      <c r="K197" s="50" t="n">
        <v>10.9</v>
      </c>
      <c r="L197" t="inlineStr">
        <is>
          <t>documents</t>
        </is>
      </c>
      <c r="M197" s="52" t="inlineStr">
        <is>
          <t>083000821086</t>
        </is>
      </c>
      <c r="N197" t="inlineStr">
        <is>
          <t>https://drive.google.com/file/d/1wXG3i4XinZlCfzkkTD_yhKZTOHTc06ap/view?usp=drivesdk</t>
        </is>
      </c>
    </row>
    <row r="198" ht="12" customHeight="1">
      <c r="A198" t="inlineStr">
        <is>
          <t>202604</t>
        </is>
      </c>
      <c r="B198" t="inlineStr">
        <is>
          <t>SL</t>
        </is>
      </c>
      <c r="C198" t="inlineStr">
        <is>
          <t>opex</t>
        </is>
      </c>
      <c r="D198" t="inlineStr">
        <is>
          <t>technology</t>
        </is>
      </c>
      <c r="E198" t="inlineStr">
        <is>
          <t>KONVOAI</t>
        </is>
      </c>
      <c r="F198" t="inlineStr"/>
      <c r="G198" s="50" t="n">
        <v>581.47</v>
      </c>
      <c r="H198" t="inlineStr">
        <is>
          <t>EUR</t>
        </is>
      </c>
      <c r="I198" t="inlineStr">
        <is>
          <t>EUR</t>
        </is>
      </c>
      <c r="J198" s="51" t="n">
        <v>1</v>
      </c>
      <c r="K198" s="50" t="n">
        <v>581.47</v>
      </c>
      <c r="L198" t="inlineStr">
        <is>
          <t>documents</t>
        </is>
      </c>
      <c r="M198" s="52" t="inlineStr">
        <is>
          <t>B5F7DF3C-7847</t>
        </is>
      </c>
      <c r="N198" t="inlineStr">
        <is>
          <t>https://drive.google.com/file/d/16zY4aZZBzNQouNtkzatsS8Qaj2ekpw4D/view?usp=drivesdk</t>
        </is>
      </c>
    </row>
    <row r="199" ht="12" customHeight="1">
      <c r="A199" t="inlineStr">
        <is>
          <t>202604</t>
        </is>
      </c>
      <c r="B199" t="inlineStr">
        <is>
          <t>SL</t>
        </is>
      </c>
      <c r="C199" t="inlineStr">
        <is>
          <t>opex</t>
        </is>
      </c>
      <c r="D199" t="inlineStr">
        <is>
          <t>technology</t>
        </is>
      </c>
      <c r="E199" t="inlineStr">
        <is>
          <t>KONVOAI</t>
        </is>
      </c>
      <c r="F199" t="inlineStr"/>
      <c r="G199" s="50" t="n">
        <v>429</v>
      </c>
      <c r="H199" t="inlineStr">
        <is>
          <t>EUR</t>
        </is>
      </c>
      <c r="I199" t="inlineStr">
        <is>
          <t>EUR</t>
        </is>
      </c>
      <c r="J199" s="51" t="n">
        <v>1</v>
      </c>
      <c r="K199" s="50" t="n">
        <v>429</v>
      </c>
      <c r="L199" t="inlineStr">
        <is>
          <t>documents</t>
        </is>
      </c>
      <c r="M199" s="52" t="inlineStr">
        <is>
          <t>B5F7DF3C-8035</t>
        </is>
      </c>
      <c r="N199" t="inlineStr">
        <is>
          <t>https://drive.google.com/file/d/1-xq4IUPRTpB5ivXBffuRjE8_-UmzkzOy/view?usp=drivesdk</t>
        </is>
      </c>
    </row>
    <row r="200" ht="12" customHeight="1">
      <c r="A200" t="inlineStr">
        <is>
          <t>202604</t>
        </is>
      </c>
      <c r="B200" t="inlineStr">
        <is>
          <t>SL</t>
        </is>
      </c>
      <c r="C200" t="inlineStr">
        <is>
          <t>opex</t>
        </is>
      </c>
      <c r="D200" t="inlineStr">
        <is>
          <t>technology</t>
        </is>
      </c>
      <c r="E200" t="inlineStr">
        <is>
          <t>MASMOVIL</t>
        </is>
      </c>
      <c r="F200" t="inlineStr"/>
      <c r="G200" s="50" t="n">
        <v>10</v>
      </c>
      <c r="H200" t="inlineStr">
        <is>
          <t>EUR</t>
        </is>
      </c>
      <c r="I200" t="inlineStr">
        <is>
          <t>EUR</t>
        </is>
      </c>
      <c r="J200" s="51" t="n">
        <v>1</v>
      </c>
      <c r="K200" s="50" t="n">
        <v>10</v>
      </c>
      <c r="L200" t="inlineStr">
        <is>
          <t>documents</t>
        </is>
      </c>
      <c r="M200" s="52" t="inlineStr">
        <is>
          <t>MC260004902726</t>
        </is>
      </c>
      <c r="N200" t="inlineStr">
        <is>
          <t>https://drive.google.com/file/d/1j6ufi7_TLT24Ofa1BO4zW1oEOXQHTwEx/view?usp=drivesdk</t>
        </is>
      </c>
    </row>
    <row r="201" ht="12" customHeight="1">
      <c r="A201" t="inlineStr">
        <is>
          <t>202604</t>
        </is>
      </c>
      <c r="B201" t="inlineStr">
        <is>
          <t>SL</t>
        </is>
      </c>
      <c r="C201" t="inlineStr">
        <is>
          <t>opex</t>
        </is>
      </c>
      <c r="D201" t="inlineStr">
        <is>
          <t>marketing</t>
        </is>
      </c>
      <c r="E201" t="inlineStr">
        <is>
          <t>METAADS</t>
        </is>
      </c>
      <c r="F201" t="inlineStr">
        <is>
          <t>eu</t>
        </is>
      </c>
      <c r="G201" s="50" t="n">
        <v>16314.71</v>
      </c>
      <c r="H201" t="inlineStr">
        <is>
          <t>EUR</t>
        </is>
      </c>
      <c r="I201" t="inlineStr">
        <is>
          <t>EUR</t>
        </is>
      </c>
      <c r="J201" s="51" t="n">
        <v>1</v>
      </c>
      <c r="K201" s="50" t="n">
        <v>16314.71</v>
      </c>
      <c r="L201" t="inlineStr">
        <is>
          <t>documents</t>
        </is>
      </c>
      <c r="M201" s="52" t="inlineStr">
        <is>
          <t>252182479</t>
        </is>
      </c>
      <c r="N201" t="inlineStr">
        <is>
          <t>https://drive.google.com/file/d/1JeIcHyLpXJoeawXb4HBa-8UbGkCM5w3z/view?usp=drivesdk</t>
        </is>
      </c>
    </row>
    <row r="202" ht="12" customHeight="1">
      <c r="A202" t="inlineStr">
        <is>
          <t>202604</t>
        </is>
      </c>
      <c r="B202" t="inlineStr">
        <is>
          <t>SL</t>
        </is>
      </c>
      <c r="C202" t="inlineStr">
        <is>
          <t>opex</t>
        </is>
      </c>
      <c r="D202" t="inlineStr">
        <is>
          <t>marketing</t>
        </is>
      </c>
      <c r="E202" t="inlineStr">
        <is>
          <t>METAADS</t>
        </is>
      </c>
      <c r="F202" t="inlineStr">
        <is>
          <t>uk</t>
        </is>
      </c>
      <c r="G202" s="50" t="n">
        <v>2696.8</v>
      </c>
      <c r="H202" t="inlineStr">
        <is>
          <t>EUR</t>
        </is>
      </c>
      <c r="I202" t="inlineStr">
        <is>
          <t>EUR</t>
        </is>
      </c>
      <c r="J202" s="51" t="n">
        <v>1</v>
      </c>
      <c r="K202" s="50" t="n">
        <v>2696.8</v>
      </c>
      <c r="L202" t="inlineStr">
        <is>
          <t>documents</t>
        </is>
      </c>
      <c r="M202" s="52" t="inlineStr">
        <is>
          <t>252182479</t>
        </is>
      </c>
      <c r="N202" t="inlineStr">
        <is>
          <t>https://drive.google.com/file/d/1JeIcHyLpXJoeawXb4HBa-8UbGkCM5w3z/view?usp=drivesdk</t>
        </is>
      </c>
    </row>
    <row r="203" ht="12" customHeight="1">
      <c r="A203" t="inlineStr">
        <is>
          <t>202604</t>
        </is>
      </c>
      <c r="B203" t="inlineStr">
        <is>
          <t>SL</t>
        </is>
      </c>
      <c r="C203" t="inlineStr">
        <is>
          <t>opex</t>
        </is>
      </c>
      <c r="D203" t="inlineStr">
        <is>
          <t>marketing</t>
        </is>
      </c>
      <c r="E203" t="inlineStr">
        <is>
          <t>METAADS</t>
        </is>
      </c>
      <c r="F203" t="inlineStr">
        <is>
          <t>us</t>
        </is>
      </c>
      <c r="G203" s="50" t="n">
        <v>901.51</v>
      </c>
      <c r="H203" t="inlineStr">
        <is>
          <t>EUR</t>
        </is>
      </c>
      <c r="I203" t="inlineStr">
        <is>
          <t>EUR</t>
        </is>
      </c>
      <c r="J203" s="51" t="n">
        <v>1</v>
      </c>
      <c r="K203" s="50" t="n">
        <v>901.51</v>
      </c>
      <c r="L203" t="inlineStr">
        <is>
          <t>documents</t>
        </is>
      </c>
      <c r="M203" s="52" t="inlineStr">
        <is>
          <t>252182479</t>
        </is>
      </c>
      <c r="N203" t="inlineStr">
        <is>
          <t>https://drive.google.com/file/d/1JeIcHyLpXJoeawXb4HBa-8UbGkCM5w3z/view?usp=drivesdk</t>
        </is>
      </c>
    </row>
    <row r="204" ht="12" customHeight="1">
      <c r="A204" t="inlineStr">
        <is>
          <t>202604</t>
        </is>
      </c>
      <c r="B204" t="inlineStr">
        <is>
          <t>SL</t>
        </is>
      </c>
      <c r="C204" t="inlineStr">
        <is>
          <t>opex</t>
        </is>
      </c>
      <c r="D204" t="inlineStr">
        <is>
          <t>technology</t>
        </is>
      </c>
      <c r="E204" t="inlineStr">
        <is>
          <t>MICROSOFT</t>
        </is>
      </c>
      <c r="F204" t="inlineStr"/>
      <c r="G204" s="50" t="n">
        <v>30.87</v>
      </c>
      <c r="H204" t="inlineStr">
        <is>
          <t>EUR</t>
        </is>
      </c>
      <c r="I204" t="inlineStr">
        <is>
          <t>EUR</t>
        </is>
      </c>
      <c r="J204" s="51" t="n">
        <v>1</v>
      </c>
      <c r="K204" s="50" t="n">
        <v>30.87</v>
      </c>
      <c r="L204" t="inlineStr">
        <is>
          <t>documents</t>
        </is>
      </c>
      <c r="M204" s="52" t="inlineStr">
        <is>
          <t>G152674751</t>
        </is>
      </c>
      <c r="N204" t="inlineStr">
        <is>
          <t>https://drive.google.com/file/d/10IgWWHTwFL_5OGbdwIFQpiX2oXl3Kv26/view?usp=drivesdk</t>
        </is>
      </c>
    </row>
    <row r="205" ht="12" customHeight="1">
      <c r="A205" t="inlineStr">
        <is>
          <t>202604</t>
        </is>
      </c>
      <c r="B205" t="inlineStr">
        <is>
          <t>SL</t>
        </is>
      </c>
      <c r="C205" t="inlineStr">
        <is>
          <t>opex</t>
        </is>
      </c>
      <c r="D205" t="inlineStr">
        <is>
          <t>technology</t>
        </is>
      </c>
      <c r="E205" t="inlineStr">
        <is>
          <t>MICROSOFT</t>
        </is>
      </c>
      <c r="F205" t="inlineStr"/>
      <c r="G205" s="50" t="n">
        <v>45.7</v>
      </c>
      <c r="H205" t="inlineStr">
        <is>
          <t>EUR</t>
        </is>
      </c>
      <c r="I205" t="inlineStr">
        <is>
          <t>EUR</t>
        </is>
      </c>
      <c r="J205" s="51" t="n">
        <v>1</v>
      </c>
      <c r="K205" s="50" t="n">
        <v>45.7</v>
      </c>
      <c r="L205" t="inlineStr">
        <is>
          <t>documents</t>
        </is>
      </c>
      <c r="M205" s="52" t="inlineStr">
        <is>
          <t>G153533640</t>
        </is>
      </c>
      <c r="N205" t="inlineStr">
        <is>
          <t>https://drive.google.com/file/d/1_Pxvtaj7PulcHVGKDDp450Lbxc2VtzcI/view?usp=drivesdk</t>
        </is>
      </c>
    </row>
    <row r="206" ht="12" customHeight="1">
      <c r="A206" t="inlineStr">
        <is>
          <t>202604</t>
        </is>
      </c>
      <c r="B206" t="inlineStr">
        <is>
          <t>SL</t>
        </is>
      </c>
      <c r="C206" t="inlineStr">
        <is>
          <t>opex</t>
        </is>
      </c>
      <c r="D206" t="inlineStr">
        <is>
          <t>administration</t>
        </is>
      </c>
      <c r="E206" t="inlineStr">
        <is>
          <t>NODA</t>
        </is>
      </c>
      <c r="F206" t="inlineStr"/>
      <c r="G206" s="50" t="n">
        <v>180</v>
      </c>
      <c r="H206" t="inlineStr">
        <is>
          <t>EUR</t>
        </is>
      </c>
      <c r="I206" t="inlineStr">
        <is>
          <t>EUR</t>
        </is>
      </c>
      <c r="J206" s="51" t="n">
        <v>1</v>
      </c>
      <c r="K206" s="50" t="n">
        <v>180</v>
      </c>
      <c r="L206" t="inlineStr">
        <is>
          <t>documents</t>
        </is>
      </c>
      <c r="M206" s="52" t="inlineStr">
        <is>
          <t>081/26</t>
        </is>
      </c>
      <c r="N206" t="inlineStr">
        <is>
          <t>https://drive.google.com/file/d/1pVYnUK3sxsHvnSRpqTfGc0eX8SC-YHad/view?usp=drivesdk</t>
        </is>
      </c>
    </row>
    <row r="207" ht="12" customHeight="1">
      <c r="A207" t="inlineStr">
        <is>
          <t>202604</t>
        </is>
      </c>
      <c r="B207" t="inlineStr">
        <is>
          <t>SL</t>
        </is>
      </c>
      <c r="C207" t="inlineStr">
        <is>
          <t>opex</t>
        </is>
      </c>
      <c r="D207" t="inlineStr">
        <is>
          <t>technology</t>
        </is>
      </c>
      <c r="E207" t="inlineStr">
        <is>
          <t>OPENAI</t>
        </is>
      </c>
      <c r="F207" t="inlineStr">
        <is>
          <t>api_usage</t>
        </is>
      </c>
      <c r="G207" s="50" t="n">
        <v>10.04</v>
      </c>
      <c r="H207" t="inlineStr">
        <is>
          <t>USD</t>
        </is>
      </c>
      <c r="I207" t="inlineStr">
        <is>
          <t>EUR</t>
        </is>
      </c>
      <c r="J207" s="51" t="n">
        <v>0.85455478</v>
      </c>
      <c r="K207" s="50" t="n">
        <v>8.58</v>
      </c>
      <c r="L207" t="inlineStr">
        <is>
          <t>documents</t>
        </is>
      </c>
      <c r="M207" s="52" t="inlineStr">
        <is>
          <t>BZHJNTUB0009</t>
        </is>
      </c>
      <c r="N207" t="inlineStr">
        <is>
          <t>https://drive.google.com/file/d/1jemgW-7NC6EPj20YLgpPms3scIFsf_id/view?usp=drivesdk</t>
        </is>
      </c>
    </row>
    <row r="208" ht="12" customHeight="1">
      <c r="A208" t="inlineStr">
        <is>
          <t>202604</t>
        </is>
      </c>
      <c r="B208" t="inlineStr">
        <is>
          <t>SL</t>
        </is>
      </c>
      <c r="C208" t="inlineStr">
        <is>
          <t>opex</t>
        </is>
      </c>
      <c r="D208" t="inlineStr">
        <is>
          <t>technology</t>
        </is>
      </c>
      <c r="E208" t="inlineStr">
        <is>
          <t>OPENAI</t>
        </is>
      </c>
      <c r="F208" t="inlineStr">
        <is>
          <t>api_usage</t>
        </is>
      </c>
      <c r="G208" s="50" t="n">
        <v>10.29</v>
      </c>
      <c r="H208" t="inlineStr">
        <is>
          <t>USD</t>
        </is>
      </c>
      <c r="I208" t="inlineStr">
        <is>
          <t>EUR</t>
        </is>
      </c>
      <c r="J208" s="51" t="n">
        <v>0.85455478</v>
      </c>
      <c r="K208" s="50" t="n">
        <v>8.789999999999999</v>
      </c>
      <c r="L208" t="inlineStr">
        <is>
          <t>documents</t>
        </is>
      </c>
      <c r="M208" s="52" t="inlineStr">
        <is>
          <t>BZHJNTUB0010</t>
        </is>
      </c>
      <c r="N208" t="inlineStr">
        <is>
          <t>https://drive.google.com/file/d/1dQgxbuJbEL0KlXrKc_5-oVaiyCBsCYnN/view?usp=drivesdk</t>
        </is>
      </c>
    </row>
    <row r="209" ht="12" customHeight="1">
      <c r="A209" t="inlineStr">
        <is>
          <t>202604</t>
        </is>
      </c>
      <c r="B209" t="inlineStr">
        <is>
          <t>SL</t>
        </is>
      </c>
      <c r="C209" t="inlineStr">
        <is>
          <t>opex</t>
        </is>
      </c>
      <c r="D209" t="inlineStr">
        <is>
          <t>technology</t>
        </is>
      </c>
      <c r="E209" t="inlineStr">
        <is>
          <t>OPENAI</t>
        </is>
      </c>
      <c r="F209" t="inlineStr">
        <is>
          <t>api_usage</t>
        </is>
      </c>
      <c r="G209" s="50" t="n">
        <v>10.16</v>
      </c>
      <c r="H209" t="inlineStr">
        <is>
          <t>USD</t>
        </is>
      </c>
      <c r="I209" t="inlineStr">
        <is>
          <t>EUR</t>
        </is>
      </c>
      <c r="J209" s="51" t="n">
        <v>0.85455478</v>
      </c>
      <c r="K209" s="50" t="n">
        <v>8.68</v>
      </c>
      <c r="L209" t="inlineStr">
        <is>
          <t>documents</t>
        </is>
      </c>
      <c r="M209" s="52" t="inlineStr">
        <is>
          <t>BZHJNTUB0011</t>
        </is>
      </c>
      <c r="N209" t="inlineStr">
        <is>
          <t>https://drive.google.com/file/d/1dw1bGbU9pHhTsDW2TEd2Ea7DXq1sf3ry/view?usp=drivesdk</t>
        </is>
      </c>
    </row>
    <row r="210" ht="12" customHeight="1">
      <c r="A210" t="inlineStr">
        <is>
          <t>202604</t>
        </is>
      </c>
      <c r="B210" t="inlineStr">
        <is>
          <t>SL</t>
        </is>
      </c>
      <c r="C210" t="inlineStr">
        <is>
          <t>opex</t>
        </is>
      </c>
      <c r="D210" t="inlineStr">
        <is>
          <t>technology</t>
        </is>
      </c>
      <c r="E210" t="inlineStr">
        <is>
          <t>OPENAI</t>
        </is>
      </c>
      <c r="F210" t="inlineStr">
        <is>
          <t>api_usage</t>
        </is>
      </c>
      <c r="G210" s="50" t="n">
        <v>10.05</v>
      </c>
      <c r="H210" t="inlineStr">
        <is>
          <t>USD</t>
        </is>
      </c>
      <c r="I210" t="inlineStr">
        <is>
          <t>EUR</t>
        </is>
      </c>
      <c r="J210" s="51" t="n">
        <v>0.85455478</v>
      </c>
      <c r="K210" s="50" t="n">
        <v>8.59</v>
      </c>
      <c r="L210" t="inlineStr">
        <is>
          <t>documents</t>
        </is>
      </c>
      <c r="M210" s="52" t="inlineStr">
        <is>
          <t>BZHJNTUB0012</t>
        </is>
      </c>
      <c r="N210" t="inlineStr">
        <is>
          <t>https://drive.google.com/file/d/1CTJssZdhaTfXfclPKvs-wjM5DJmgRYOm/view?usp=drivesdk</t>
        </is>
      </c>
    </row>
    <row r="211" ht="12" customHeight="1">
      <c r="A211" t="inlineStr">
        <is>
          <t>202604</t>
        </is>
      </c>
      <c r="B211" t="inlineStr">
        <is>
          <t>SL</t>
        </is>
      </c>
      <c r="C211" t="inlineStr">
        <is>
          <t>cogs</t>
        </is>
      </c>
      <c r="D211" t="inlineStr">
        <is>
          <t>manufacturing</t>
        </is>
      </c>
      <c r="E211" t="inlineStr">
        <is>
          <t>PRESSING</t>
        </is>
      </c>
      <c r="F211" t="inlineStr"/>
      <c r="G211" s="50" t="n">
        <v>26725.51</v>
      </c>
      <c r="H211" t="inlineStr">
        <is>
          <t>EUR</t>
        </is>
      </c>
      <c r="I211" t="inlineStr">
        <is>
          <t>EUR</t>
        </is>
      </c>
      <c r="J211" s="51" t="n">
        <v>1</v>
      </c>
      <c r="K211" s="50" t="n">
        <v>26725.51</v>
      </c>
      <c r="L211" t="inlineStr">
        <is>
          <t>documents</t>
        </is>
      </c>
      <c r="M211" s="52" t="inlineStr">
        <is>
          <t>FAC/2026/26100003948</t>
        </is>
      </c>
      <c r="N211" t="inlineStr">
        <is>
          <t>https://drive.google.com/file/d/1X1B58njCpyc9anU293QeVeYg1lgqDJ6f/view?usp=drivesdk</t>
        </is>
      </c>
    </row>
    <row r="212" ht="12" customHeight="1">
      <c r="A212" t="inlineStr">
        <is>
          <t>202604</t>
        </is>
      </c>
      <c r="B212" t="inlineStr">
        <is>
          <t>SL</t>
        </is>
      </c>
      <c r="C212" t="inlineStr">
        <is>
          <t>opex</t>
        </is>
      </c>
      <c r="D212" t="inlineStr">
        <is>
          <t>technology</t>
        </is>
      </c>
      <c r="E212" t="inlineStr">
        <is>
          <t>PRODUCTHERO</t>
        </is>
      </c>
      <c r="F212" t="inlineStr"/>
      <c r="G212" s="50" t="n">
        <v>134</v>
      </c>
      <c r="H212" t="inlineStr">
        <is>
          <t>EUR</t>
        </is>
      </c>
      <c r="I212" t="inlineStr">
        <is>
          <t>EUR</t>
        </is>
      </c>
      <c r="J212" s="51" t="n">
        <v>1</v>
      </c>
      <c r="K212" s="50" t="n">
        <v>134</v>
      </c>
      <c r="L212" t="inlineStr">
        <is>
          <t>documents</t>
        </is>
      </c>
      <c r="M212" s="52" t="inlineStr">
        <is>
          <t>224292</t>
        </is>
      </c>
      <c r="N212" t="inlineStr">
        <is>
          <t>https://drive.google.com/file/d/1G_eZ_DOu5bIMNbn4c0pEbSBAjVFFU-aV/view?usp=drivesdk</t>
        </is>
      </c>
    </row>
    <row r="213" ht="12" customHeight="1">
      <c r="A213" t="inlineStr">
        <is>
          <t>202604</t>
        </is>
      </c>
      <c r="B213" t="inlineStr">
        <is>
          <t>SL</t>
        </is>
      </c>
      <c r="C213" t="inlineStr">
        <is>
          <t>opex</t>
        </is>
      </c>
      <c r="D213" t="inlineStr">
        <is>
          <t>technology</t>
        </is>
      </c>
      <c r="E213" t="inlineStr">
        <is>
          <t>RAILWAY</t>
        </is>
      </c>
      <c r="F213" t="inlineStr"/>
      <c r="G213" s="50" t="n">
        <v>32.14</v>
      </c>
      <c r="H213" t="inlineStr">
        <is>
          <t>USD</t>
        </is>
      </c>
      <c r="I213" t="inlineStr">
        <is>
          <t>EUR</t>
        </is>
      </c>
      <c r="J213" s="51" t="n">
        <v>0.85455478</v>
      </c>
      <c r="K213" s="50" t="n">
        <v>27.47</v>
      </c>
      <c r="L213" t="inlineStr">
        <is>
          <t>documents</t>
        </is>
      </c>
      <c r="M213" s="52" t="inlineStr">
        <is>
          <t>1602C2F5-0018</t>
        </is>
      </c>
      <c r="N213" t="inlineStr">
        <is>
          <t>https://drive.google.com/file/d/1CAMDKbnRLAc0BtTnaayjMCU0RGZ6dmCJ/view?usp=drivesdk</t>
        </is>
      </c>
    </row>
    <row r="214" ht="12" customHeight="1">
      <c r="A214" t="inlineStr">
        <is>
          <t>202604</t>
        </is>
      </c>
      <c r="B214" t="inlineStr">
        <is>
          <t>SL</t>
        </is>
      </c>
      <c r="C214" t="inlineStr">
        <is>
          <t>opex</t>
        </is>
      </c>
      <c r="D214" t="inlineStr">
        <is>
          <t>technology</t>
        </is>
      </c>
      <c r="E214" t="inlineStr">
        <is>
          <t>REVER</t>
        </is>
      </c>
      <c r="F214" t="inlineStr"/>
      <c r="G214" s="50" t="n">
        <v>135.59</v>
      </c>
      <c r="H214" t="inlineStr">
        <is>
          <t>EUR</t>
        </is>
      </c>
      <c r="I214" t="inlineStr">
        <is>
          <t>EUR</t>
        </is>
      </c>
      <c r="J214" s="51" t="n">
        <v>1</v>
      </c>
      <c r="K214" s="50" t="n">
        <v>135.59</v>
      </c>
      <c r="L214" t="inlineStr">
        <is>
          <t>documents</t>
        </is>
      </c>
      <c r="M214" s="52" t="inlineStr">
        <is>
          <t>RVR-19093</t>
        </is>
      </c>
      <c r="N214" t="inlineStr">
        <is>
          <t>https://drive.google.com/file/d/1a9PDsbMBEl6jr1J063Bas9xJ16j0K-Vt/view?usp=drivesdk</t>
        </is>
      </c>
    </row>
    <row r="215" ht="12" customHeight="1">
      <c r="A215" t="inlineStr">
        <is>
          <t>202604</t>
        </is>
      </c>
      <c r="B215" t="inlineStr">
        <is>
          <t>SL</t>
        </is>
      </c>
      <c r="C215" t="inlineStr">
        <is>
          <t>opex</t>
        </is>
      </c>
      <c r="D215" t="inlineStr">
        <is>
          <t>technology</t>
        </is>
      </c>
      <c r="E215" t="inlineStr">
        <is>
          <t>REVER</t>
        </is>
      </c>
      <c r="F215" t="inlineStr"/>
      <c r="G215" s="50" t="n">
        <v>79</v>
      </c>
      <c r="H215" t="inlineStr">
        <is>
          <t>EUR</t>
        </is>
      </c>
      <c r="I215" t="inlineStr">
        <is>
          <t>EUR</t>
        </is>
      </c>
      <c r="J215" s="51" t="n">
        <v>1</v>
      </c>
      <c r="K215" s="50" t="n">
        <v>79</v>
      </c>
      <c r="L215" t="inlineStr">
        <is>
          <t>documents</t>
        </is>
      </c>
      <c r="M215" s="52" t="inlineStr">
        <is>
          <t>RVR-19435</t>
        </is>
      </c>
      <c r="N215" t="inlineStr">
        <is>
          <t>https://drive.google.com/file/d/1lqJU7hbkPONqsUch2Pdbx86gwKK54SJa/view?usp=drivesdk</t>
        </is>
      </c>
    </row>
    <row r="216" ht="12" customHeight="1">
      <c r="A216" t="inlineStr">
        <is>
          <t>202604</t>
        </is>
      </c>
      <c r="B216" t="inlineStr">
        <is>
          <t>SL</t>
        </is>
      </c>
      <c r="C216" t="inlineStr">
        <is>
          <t>opex</t>
        </is>
      </c>
      <c r="D216" t="inlineStr">
        <is>
          <t>technology</t>
        </is>
      </c>
      <c r="E216" t="inlineStr">
        <is>
          <t>SHOPIFY</t>
        </is>
      </c>
      <c r="F216" t="inlineStr"/>
      <c r="G216" s="50" t="n">
        <v>3571.02</v>
      </c>
      <c r="H216" t="inlineStr">
        <is>
          <t>USD</t>
        </is>
      </c>
      <c r="I216" t="inlineStr">
        <is>
          <t>EUR</t>
        </is>
      </c>
      <c r="J216" s="51" t="n">
        <v>0.85455478</v>
      </c>
      <c r="K216" s="50" t="n">
        <v>3051.63</v>
      </c>
      <c r="L216" t="inlineStr">
        <is>
          <t>documents</t>
        </is>
      </c>
      <c r="M216" s="52" t="inlineStr">
        <is>
          <t>520917799</t>
        </is>
      </c>
      <c r="N216" t="inlineStr">
        <is>
          <t>https://drive.google.com/file/d/1d_U84uWevK2oMCPjUSvzZ7NO5khPgC-P/view?usp=drivesdk</t>
        </is>
      </c>
    </row>
    <row r="217" ht="12" customHeight="1">
      <c r="A217" t="inlineStr">
        <is>
          <t>202604</t>
        </is>
      </c>
      <c r="B217" t="inlineStr">
        <is>
          <t>SL</t>
        </is>
      </c>
      <c r="C217" t="inlineStr">
        <is>
          <t>opex</t>
        </is>
      </c>
      <c r="D217" t="inlineStr">
        <is>
          <t>technology</t>
        </is>
      </c>
      <c r="E217" t="inlineStr">
        <is>
          <t>SYNCWITH</t>
        </is>
      </c>
      <c r="F217" t="inlineStr"/>
      <c r="G217" s="50" t="n">
        <v>24.99</v>
      </c>
      <c r="H217" t="inlineStr">
        <is>
          <t>USD</t>
        </is>
      </c>
      <c r="I217" t="inlineStr">
        <is>
          <t>EUR</t>
        </is>
      </c>
      <c r="J217" s="51" t="n">
        <v>0.85455478</v>
      </c>
      <c r="K217" s="50" t="n">
        <v>21.36</v>
      </c>
      <c r="L217" t="inlineStr">
        <is>
          <t>documents</t>
        </is>
      </c>
      <c r="M217" s="52" t="inlineStr">
        <is>
          <t>TADGCDFS-0003</t>
        </is>
      </c>
      <c r="N217" t="inlineStr">
        <is>
          <t>https://drive.google.com/file/d/19CqsBdkfVuCtWYJwUtZxWcPjUVgdtwXa/view?usp=drivesdk</t>
        </is>
      </c>
    </row>
    <row r="218" ht="12" customHeight="1">
      <c r="A218" t="inlineStr">
        <is>
          <t>202604</t>
        </is>
      </c>
      <c r="B218" t="inlineStr">
        <is>
          <t>SL</t>
        </is>
      </c>
      <c r="C218" t="inlineStr">
        <is>
          <t>opex</t>
        </is>
      </c>
      <c r="D218" t="inlineStr">
        <is>
          <t>administration</t>
        </is>
      </c>
      <c r="E218" t="inlineStr">
        <is>
          <t>TORRAS</t>
        </is>
      </c>
      <c r="F218" t="inlineStr"/>
      <c r="G218" s="50" t="n">
        <v>15</v>
      </c>
      <c r="H218" t="inlineStr">
        <is>
          <t>EUR</t>
        </is>
      </c>
      <c r="I218" t="inlineStr">
        <is>
          <t>EUR</t>
        </is>
      </c>
      <c r="J218" s="51" t="n">
        <v>1</v>
      </c>
      <c r="K218" s="50" t="n">
        <v>15</v>
      </c>
      <c r="L218" t="inlineStr">
        <is>
          <t>documents</t>
        </is>
      </c>
      <c r="M218" s="52" t="inlineStr">
        <is>
          <t>7/1074</t>
        </is>
      </c>
      <c r="N218" t="inlineStr">
        <is>
          <t>https://drive.google.com/file/d/11QFEdz-ALQYNgRguLCU4q390nTPxudFV/view?usp=drivesdk</t>
        </is>
      </c>
    </row>
    <row r="219" ht="12" customHeight="1">
      <c r="A219" t="inlineStr">
        <is>
          <t>202604</t>
        </is>
      </c>
      <c r="B219" t="inlineStr">
        <is>
          <t>SL</t>
        </is>
      </c>
      <c r="C219" t="inlineStr">
        <is>
          <t>cogs</t>
        </is>
      </c>
      <c r="D219" t="inlineStr">
        <is>
          <t>logistics</t>
        </is>
      </c>
      <c r="E219" t="inlineStr">
        <is>
          <t>UPS</t>
        </is>
      </c>
      <c r="F219" t="inlineStr"/>
      <c r="G219" s="50" t="n">
        <v>-2.13</v>
      </c>
      <c r="H219" t="inlineStr">
        <is>
          <t>EUR</t>
        </is>
      </c>
      <c r="I219" t="inlineStr">
        <is>
          <t>EUR</t>
        </is>
      </c>
      <c r="J219" s="51" t="n">
        <v>1</v>
      </c>
      <c r="K219" s="50" t="n">
        <v>-2.13</v>
      </c>
      <c r="L219" t="inlineStr">
        <is>
          <t>documents</t>
        </is>
      </c>
      <c r="M219" s="52" t="inlineStr">
        <is>
          <t>2003610362</t>
        </is>
      </c>
      <c r="N219" t="inlineStr">
        <is>
          <t>https://drive.google.com/file/d/1xEFaJxCuSetNuU_c1vkj7d6aUgi53glp/view?usp=drivesdk</t>
        </is>
      </c>
    </row>
    <row r="220" ht="12" customHeight="1">
      <c r="A220" t="inlineStr">
        <is>
          <t>202604</t>
        </is>
      </c>
      <c r="B220" t="inlineStr">
        <is>
          <t>SL</t>
        </is>
      </c>
      <c r="C220" t="inlineStr">
        <is>
          <t>cogs</t>
        </is>
      </c>
      <c r="D220" t="inlineStr">
        <is>
          <t>logistics</t>
        </is>
      </c>
      <c r="E220" t="inlineStr">
        <is>
          <t>UPS</t>
        </is>
      </c>
      <c r="F220" t="inlineStr"/>
      <c r="G220" s="50" t="n">
        <v>445.8</v>
      </c>
      <c r="H220" t="inlineStr">
        <is>
          <t>EUR</t>
        </is>
      </c>
      <c r="I220" t="inlineStr">
        <is>
          <t>EUR</t>
        </is>
      </c>
      <c r="J220" s="51" t="n">
        <v>1</v>
      </c>
      <c r="K220" s="50" t="n">
        <v>445.8</v>
      </c>
      <c r="L220" t="inlineStr">
        <is>
          <t>documents</t>
        </is>
      </c>
      <c r="M220" s="52" t="inlineStr">
        <is>
          <t>327254805</t>
        </is>
      </c>
      <c r="N220" t="inlineStr">
        <is>
          <t>https://drive.google.com/file/d/1Clt_1oayWTe_uKMWHSxF11W3Hku20TeM/view?usp=drivesdk</t>
        </is>
      </c>
    </row>
    <row r="221" ht="12" customHeight="1">
      <c r="A221" t="inlineStr">
        <is>
          <t>202604</t>
        </is>
      </c>
      <c r="B221" t="inlineStr">
        <is>
          <t>SL</t>
        </is>
      </c>
      <c r="C221" t="inlineStr">
        <is>
          <t>cogs</t>
        </is>
      </c>
      <c r="D221" t="inlineStr">
        <is>
          <t>logistics</t>
        </is>
      </c>
      <c r="E221" t="inlineStr">
        <is>
          <t>UPS</t>
        </is>
      </c>
      <c r="F221" t="inlineStr"/>
      <c r="G221" s="50" t="n">
        <v>349.41</v>
      </c>
      <c r="H221" t="inlineStr">
        <is>
          <t>EUR</t>
        </is>
      </c>
      <c r="I221" t="inlineStr">
        <is>
          <t>EUR</t>
        </is>
      </c>
      <c r="J221" s="51" t="n">
        <v>1</v>
      </c>
      <c r="K221" s="50" t="n">
        <v>349.41</v>
      </c>
      <c r="L221" t="inlineStr">
        <is>
          <t>documents</t>
        </is>
      </c>
      <c r="M221" s="52" t="inlineStr">
        <is>
          <t>327321600</t>
        </is>
      </c>
      <c r="N221" t="inlineStr">
        <is>
          <t>https://drive.google.com/file/d/1sdJO0RvMRxwltlSxDMjH9VJBJL3fNAbd/view?usp=drivesdk</t>
        </is>
      </c>
    </row>
    <row r="222" ht="12" customHeight="1">
      <c r="A222" t="inlineStr">
        <is>
          <t>202604</t>
        </is>
      </c>
      <c r="B222" t="inlineStr">
        <is>
          <t>SL</t>
        </is>
      </c>
      <c r="C222" t="inlineStr">
        <is>
          <t>cogs</t>
        </is>
      </c>
      <c r="D222" t="inlineStr">
        <is>
          <t>logistics</t>
        </is>
      </c>
      <c r="E222" t="inlineStr">
        <is>
          <t>UPS</t>
        </is>
      </c>
      <c r="F222" t="inlineStr"/>
      <c r="G222" s="50" t="n">
        <v>600.98</v>
      </c>
      <c r="H222" t="inlineStr">
        <is>
          <t>EUR</t>
        </is>
      </c>
      <c r="I222" t="inlineStr">
        <is>
          <t>EUR</t>
        </is>
      </c>
      <c r="J222" s="51" t="n">
        <v>1</v>
      </c>
      <c r="K222" s="50" t="n">
        <v>600.98</v>
      </c>
      <c r="L222" t="inlineStr">
        <is>
          <t>documents</t>
        </is>
      </c>
      <c r="M222" s="52" t="inlineStr">
        <is>
          <t>327353607</t>
        </is>
      </c>
      <c r="N222" t="inlineStr">
        <is>
          <t>https://drive.google.com/file/d/1PNaUFC5xahzY51kiiYKZL_S5miIADx75/view?usp=drivesdk</t>
        </is>
      </c>
    </row>
    <row r="223" ht="12" customHeight="1">
      <c r="A223" t="inlineStr">
        <is>
          <t>202604</t>
        </is>
      </c>
      <c r="B223" t="inlineStr">
        <is>
          <t>SL</t>
        </is>
      </c>
      <c r="C223" t="inlineStr">
        <is>
          <t>cogs</t>
        </is>
      </c>
      <c r="D223" t="inlineStr">
        <is>
          <t>logistics</t>
        </is>
      </c>
      <c r="E223" t="inlineStr">
        <is>
          <t>UPS</t>
        </is>
      </c>
      <c r="F223" t="inlineStr"/>
      <c r="G223" s="50" t="n">
        <v>451.18</v>
      </c>
      <c r="H223" t="inlineStr">
        <is>
          <t>EUR</t>
        </is>
      </c>
      <c r="I223" t="inlineStr">
        <is>
          <t>EUR</t>
        </is>
      </c>
      <c r="J223" s="51" t="n">
        <v>1</v>
      </c>
      <c r="K223" s="50" t="n">
        <v>451.18</v>
      </c>
      <c r="L223" t="inlineStr">
        <is>
          <t>documents</t>
        </is>
      </c>
      <c r="M223" s="52" t="inlineStr">
        <is>
          <t>327384591</t>
        </is>
      </c>
      <c r="N223" t="inlineStr">
        <is>
          <t>https://drive.google.com/file/d/1pBkGZaOF08uOTUdOZ4ZJRd2iUXLBS9PX/view?usp=drivesdk</t>
        </is>
      </c>
    </row>
    <row r="224" ht="12" customHeight="1">
      <c r="A224" t="inlineStr">
        <is>
          <t>202604</t>
        </is>
      </c>
      <c r="B224" t="inlineStr">
        <is>
          <t>SL</t>
        </is>
      </c>
      <c r="C224" t="inlineStr">
        <is>
          <t>cogs</t>
        </is>
      </c>
      <c r="D224" t="inlineStr">
        <is>
          <t>logistics</t>
        </is>
      </c>
      <c r="E224" t="inlineStr">
        <is>
          <t>UPS</t>
        </is>
      </c>
      <c r="F224" t="inlineStr"/>
      <c r="G224" s="50" t="n">
        <v>509.21</v>
      </c>
      <c r="H224" t="inlineStr">
        <is>
          <t>EUR</t>
        </is>
      </c>
      <c r="I224" t="inlineStr">
        <is>
          <t>EUR</t>
        </is>
      </c>
      <c r="J224" s="51" t="n">
        <v>1</v>
      </c>
      <c r="K224" s="50" t="n">
        <v>509.21</v>
      </c>
      <c r="L224" t="inlineStr">
        <is>
          <t>documents</t>
        </is>
      </c>
      <c r="M224" s="52" t="inlineStr">
        <is>
          <t>327417134</t>
        </is>
      </c>
      <c r="N224" t="inlineStr">
        <is>
          <t>https://drive.google.com/file/d/1fUSIlYoTBhn7TAaHCd788D_8xidQ3ig6/view?usp=drivesdk</t>
        </is>
      </c>
    </row>
    <row r="225" ht="12" customHeight="1">
      <c r="A225" t="inlineStr">
        <is>
          <t>202604</t>
        </is>
      </c>
      <c r="B225" t="inlineStr">
        <is>
          <t>SL</t>
        </is>
      </c>
      <c r="C225" t="inlineStr">
        <is>
          <t>cogs</t>
        </is>
      </c>
      <c r="D225" t="inlineStr">
        <is>
          <t>logistics</t>
        </is>
      </c>
      <c r="E225" t="inlineStr">
        <is>
          <t>UPS</t>
        </is>
      </c>
      <c r="F225" t="inlineStr"/>
      <c r="G225" s="50" t="n">
        <v>13.91</v>
      </c>
      <c r="H225" t="inlineStr">
        <is>
          <t>EUR</t>
        </is>
      </c>
      <c r="I225" t="inlineStr">
        <is>
          <t>EUR</t>
        </is>
      </c>
      <c r="J225" s="51" t="n">
        <v>1</v>
      </c>
      <c r="K225" s="50" t="n">
        <v>13.91</v>
      </c>
      <c r="L225" t="inlineStr">
        <is>
          <t>documents</t>
        </is>
      </c>
      <c r="M225" s="52" t="inlineStr">
        <is>
          <t>838365520</t>
        </is>
      </c>
      <c r="N225" t="inlineStr">
        <is>
          <t>https://drive.google.com/file/d/1tM1bdI2BnQJKVbAm4TUciB1YXvJJV4Hu/view?usp=drivesdk</t>
        </is>
      </c>
    </row>
    <row r="226" ht="12" customHeight="1">
      <c r="A226" t="inlineStr">
        <is>
          <t>202604</t>
        </is>
      </c>
      <c r="B226" t="inlineStr">
        <is>
          <t>SL</t>
        </is>
      </c>
      <c r="C226" t="inlineStr">
        <is>
          <t>cogs</t>
        </is>
      </c>
      <c r="D226" t="inlineStr">
        <is>
          <t>logistics</t>
        </is>
      </c>
      <c r="E226" t="inlineStr">
        <is>
          <t>UPS</t>
        </is>
      </c>
      <c r="F226" t="inlineStr"/>
      <c r="G226" s="50" t="n">
        <v>65.86</v>
      </c>
      <c r="H226" t="inlineStr">
        <is>
          <t>EUR</t>
        </is>
      </c>
      <c r="I226" t="inlineStr">
        <is>
          <t>EUR</t>
        </is>
      </c>
      <c r="J226" s="51" t="n">
        <v>1</v>
      </c>
      <c r="K226" s="50" t="n">
        <v>65.86</v>
      </c>
      <c r="L226" t="inlineStr">
        <is>
          <t>documents</t>
        </is>
      </c>
      <c r="M226" s="52" t="inlineStr">
        <is>
          <t>838401198</t>
        </is>
      </c>
      <c r="N226" t="inlineStr">
        <is>
          <t>https://drive.google.com/file/d/1iDh4XWKS_aDjaYBRiypOcQR2P0386FEv/view?usp=drivesdk</t>
        </is>
      </c>
    </row>
    <row r="227" ht="12" customHeight="1">
      <c r="A227" t="inlineStr">
        <is>
          <t>202604</t>
        </is>
      </c>
      <c r="B227" t="inlineStr">
        <is>
          <t>SL</t>
        </is>
      </c>
      <c r="C227" t="inlineStr">
        <is>
          <t>cogs</t>
        </is>
      </c>
      <c r="D227" t="inlineStr">
        <is>
          <t>logistics</t>
        </is>
      </c>
      <c r="E227" t="inlineStr">
        <is>
          <t>UPS</t>
        </is>
      </c>
      <c r="F227" t="inlineStr"/>
      <c r="G227" s="50" t="n">
        <v>10.48</v>
      </c>
      <c r="H227" t="inlineStr">
        <is>
          <t>EUR</t>
        </is>
      </c>
      <c r="I227" t="inlineStr">
        <is>
          <t>EUR</t>
        </is>
      </c>
      <c r="J227" s="51" t="n">
        <v>1</v>
      </c>
      <c r="K227" s="50" t="n">
        <v>10.48</v>
      </c>
      <c r="L227" t="inlineStr">
        <is>
          <t>documents</t>
        </is>
      </c>
      <c r="M227" s="52" t="inlineStr">
        <is>
          <t>838475790</t>
        </is>
      </c>
      <c r="N227" t="inlineStr">
        <is>
          <t>https://drive.google.com/file/d/19tKcELT2MryZqzLhcJ7qM7L6kWIUop4G/view?usp=drivesdk</t>
        </is>
      </c>
    </row>
    <row r="228" ht="12" customHeight="1">
      <c r="A228" t="inlineStr">
        <is>
          <t>202604</t>
        </is>
      </c>
      <c r="B228" t="inlineStr">
        <is>
          <t>SL</t>
        </is>
      </c>
      <c r="C228" t="inlineStr">
        <is>
          <t>opex</t>
        </is>
      </c>
      <c r="D228" t="inlineStr">
        <is>
          <t>technology</t>
        </is>
      </c>
      <c r="E228" t="inlineStr">
        <is>
          <t>YUMAAI</t>
        </is>
      </c>
      <c r="F228" t="inlineStr"/>
      <c r="G228" s="50" t="n">
        <v>440</v>
      </c>
      <c r="H228" t="inlineStr">
        <is>
          <t>EUR</t>
        </is>
      </c>
      <c r="I228" t="inlineStr">
        <is>
          <t>EUR</t>
        </is>
      </c>
      <c r="J228" s="51" t="n">
        <v>1</v>
      </c>
      <c r="K228" s="50" t="n">
        <v>440</v>
      </c>
      <c r="L228" t="inlineStr">
        <is>
          <t>documents</t>
        </is>
      </c>
      <c r="M228" s="52" t="inlineStr">
        <is>
          <t>OQXBYXMP-0007</t>
        </is>
      </c>
      <c r="N228" t="inlineStr">
        <is>
          <t>https://drive.google.com/file/d/15TixRi8khPziOv2mekpECAchiy74hUjx/view?usp=drivesdk</t>
        </is>
      </c>
    </row>
    <row r="229" ht="12" customHeight="1">
      <c r="A229" t="inlineStr">
        <is>
          <t>202605</t>
        </is>
      </c>
      <c r="B229" t="inlineStr">
        <is>
          <t>SL</t>
        </is>
      </c>
      <c r="C229" t="inlineStr">
        <is>
          <t>opex</t>
        </is>
      </c>
      <c r="D229" t="inlineStr">
        <is>
          <t>technology</t>
        </is>
      </c>
      <c r="E229" t="inlineStr">
        <is>
          <t>ADOBE</t>
        </is>
      </c>
      <c r="F229" t="inlineStr"/>
      <c r="G229" s="50" t="n">
        <v>33.49</v>
      </c>
      <c r="H229" t="inlineStr">
        <is>
          <t>EUR</t>
        </is>
      </c>
      <c r="I229" t="inlineStr">
        <is>
          <t>EUR</t>
        </is>
      </c>
      <c r="J229" s="51" t="n">
        <v>1</v>
      </c>
      <c r="K229" s="50" t="n">
        <v>33.49</v>
      </c>
      <c r="L229" t="inlineStr">
        <is>
          <t>documents</t>
        </is>
      </c>
      <c r="M229" s="52" t="inlineStr">
        <is>
          <t>IEE2026009949042</t>
        </is>
      </c>
      <c r="N229" t="inlineStr">
        <is>
          <t>https://drive.google.com/file/d/1mWUzNUFqlSuq_IXVaK0ShiDcJWC_4FHc/view?usp=drivesdk</t>
        </is>
      </c>
    </row>
    <row r="230" ht="12" customHeight="1">
      <c r="A230" t="inlineStr">
        <is>
          <t>202605</t>
        </is>
      </c>
      <c r="B230" t="inlineStr">
        <is>
          <t>SL</t>
        </is>
      </c>
      <c r="C230" t="inlineStr">
        <is>
          <t>cogs</t>
        </is>
      </c>
      <c r="D230" t="inlineStr">
        <is>
          <t>manufacturing</t>
        </is>
      </c>
      <c r="E230" t="inlineStr">
        <is>
          <t>APPHOTOCAN</t>
        </is>
      </c>
      <c r="F230" t="inlineStr"/>
      <c r="G230" s="50" t="n">
        <v>76.53</v>
      </c>
      <c r="H230" t="inlineStr">
        <is>
          <t>EUR</t>
        </is>
      </c>
      <c r="I230" t="inlineStr">
        <is>
          <t>EUR</t>
        </is>
      </c>
      <c r="J230" s="51" t="n">
        <v>1</v>
      </c>
      <c r="K230" s="50" t="n">
        <v>76.53</v>
      </c>
      <c r="L230" t="inlineStr">
        <is>
          <t>documents</t>
        </is>
      </c>
      <c r="M230" s="52" t="inlineStr">
        <is>
          <t>26-1-1069</t>
        </is>
      </c>
      <c r="N230" t="inlineStr">
        <is>
          <t>https://drive.google.com/file/d/13likD8WW906M2HGq5Wvug7ODkkHDzKih/view?usp=drivesdk</t>
        </is>
      </c>
    </row>
    <row r="231" ht="12" customHeight="1">
      <c r="A231" t="inlineStr">
        <is>
          <t>202605</t>
        </is>
      </c>
      <c r="B231" t="inlineStr">
        <is>
          <t>SL</t>
        </is>
      </c>
      <c r="C231" t="inlineStr">
        <is>
          <t>cogs</t>
        </is>
      </c>
      <c r="D231" t="inlineStr">
        <is>
          <t>manufacturing</t>
        </is>
      </c>
      <c r="E231" t="inlineStr">
        <is>
          <t>APPHOTOES</t>
        </is>
      </c>
      <c r="F231" t="inlineStr"/>
      <c r="G231" s="50" t="n">
        <v>4971.54</v>
      </c>
      <c r="H231" t="inlineStr">
        <is>
          <t>EUR</t>
        </is>
      </c>
      <c r="I231" t="inlineStr">
        <is>
          <t>EUR</t>
        </is>
      </c>
      <c r="J231" s="51" t="n">
        <v>1</v>
      </c>
      <c r="K231" s="50" t="n">
        <v>4971.54</v>
      </c>
      <c r="L231" t="inlineStr">
        <is>
          <t>documents</t>
        </is>
      </c>
      <c r="M231" s="52" t="inlineStr">
        <is>
          <t>1-5794</t>
        </is>
      </c>
      <c r="N231" t="inlineStr">
        <is>
          <t>https://drive.google.com/file/d/1hhgyUumpffFo7YmK1NDe0hdXFyd2ruoD/view?usp=drivesdk</t>
        </is>
      </c>
    </row>
    <row r="232" ht="12" customHeight="1">
      <c r="A232" t="inlineStr">
        <is>
          <t>202605</t>
        </is>
      </c>
      <c r="B232" t="inlineStr">
        <is>
          <t>SL</t>
        </is>
      </c>
      <c r="C232" t="inlineStr">
        <is>
          <t>cogs</t>
        </is>
      </c>
      <c r="D232" t="inlineStr">
        <is>
          <t>manufacturing</t>
        </is>
      </c>
      <c r="E232" t="inlineStr">
        <is>
          <t>APPHOTOES</t>
        </is>
      </c>
      <c r="F232" t="inlineStr"/>
      <c r="G232" s="50" t="n">
        <v>4948.94</v>
      </c>
      <c r="H232" t="inlineStr">
        <is>
          <t>EUR</t>
        </is>
      </c>
      <c r="I232" t="inlineStr">
        <is>
          <t>EUR</t>
        </is>
      </c>
      <c r="J232" s="51" t="n">
        <v>1</v>
      </c>
      <c r="K232" s="50" t="n">
        <v>4948.94</v>
      </c>
      <c r="L232" t="inlineStr">
        <is>
          <t>documents</t>
        </is>
      </c>
      <c r="M232" s="52" t="inlineStr">
        <is>
          <t>1-6097</t>
        </is>
      </c>
      <c r="N232" t="inlineStr">
        <is>
          <t>https://drive.google.com/file/d/1Pg2_u5XWXUhzEVhWFpk5UAfluB_sxXUg/view?usp=drivesdk</t>
        </is>
      </c>
    </row>
    <row r="233" ht="12" customHeight="1">
      <c r="A233" t="inlineStr">
        <is>
          <t>202605</t>
        </is>
      </c>
      <c r="B233" t="inlineStr">
        <is>
          <t>SL</t>
        </is>
      </c>
      <c r="C233" t="inlineStr">
        <is>
          <t>cogs</t>
        </is>
      </c>
      <c r="D233" t="inlineStr">
        <is>
          <t>manufacturing</t>
        </is>
      </c>
      <c r="E233" t="inlineStr">
        <is>
          <t>APPHOTOES</t>
        </is>
      </c>
      <c r="F233" t="inlineStr"/>
      <c r="G233" s="50" t="n">
        <v>2877.08</v>
      </c>
      <c r="H233" t="inlineStr">
        <is>
          <t>EUR</t>
        </is>
      </c>
      <c r="I233" t="inlineStr">
        <is>
          <t>EUR</t>
        </is>
      </c>
      <c r="J233" s="51" t="n">
        <v>1</v>
      </c>
      <c r="K233" s="50" t="n">
        <v>2877.08</v>
      </c>
      <c r="L233" t="inlineStr">
        <is>
          <t>documents</t>
        </is>
      </c>
      <c r="M233" s="52" t="inlineStr">
        <is>
          <t>1-6601</t>
        </is>
      </c>
      <c r="N233" t="inlineStr">
        <is>
          <t>https://drive.google.com/file/d/1RH3FXE2DoYFOBszznusPUZ6-pYPFhcd2/view?usp=drivesdk</t>
        </is>
      </c>
    </row>
    <row r="234" ht="12" customHeight="1">
      <c r="A234" t="inlineStr">
        <is>
          <t>202605</t>
        </is>
      </c>
      <c r="B234" t="inlineStr">
        <is>
          <t>SL</t>
        </is>
      </c>
      <c r="C234" t="inlineStr">
        <is>
          <t>cogs</t>
        </is>
      </c>
      <c r="D234" t="inlineStr">
        <is>
          <t>manufacturing</t>
        </is>
      </c>
      <c r="E234" t="inlineStr">
        <is>
          <t>APPHOTOES</t>
        </is>
      </c>
      <c r="F234" t="inlineStr"/>
      <c r="G234" s="50" t="n">
        <v>4264.43</v>
      </c>
      <c r="H234" t="inlineStr">
        <is>
          <t>EUR</t>
        </is>
      </c>
      <c r="I234" t="inlineStr">
        <is>
          <t>EUR</t>
        </is>
      </c>
      <c r="J234" s="51" t="n">
        <v>1</v>
      </c>
      <c r="K234" s="50" t="n">
        <v>4264.43</v>
      </c>
      <c r="L234" t="inlineStr">
        <is>
          <t>documents</t>
        </is>
      </c>
      <c r="M234" s="52" t="inlineStr">
        <is>
          <t>1-6833</t>
        </is>
      </c>
      <c r="N234" t="inlineStr">
        <is>
          <t>https://drive.google.com/file/d/1j4riRxHYWnujHzWN4r7XzdH2tv9sMiFH/view?usp=drivesdk</t>
        </is>
      </c>
    </row>
    <row r="235" ht="12" customHeight="1">
      <c r="A235" t="inlineStr">
        <is>
          <t>202605</t>
        </is>
      </c>
      <c r="B235" t="inlineStr">
        <is>
          <t>SL</t>
        </is>
      </c>
      <c r="C235" t="inlineStr">
        <is>
          <t>opex</t>
        </is>
      </c>
      <c r="D235" t="inlineStr">
        <is>
          <t>administration</t>
        </is>
      </c>
      <c r="E235" t="inlineStr">
        <is>
          <t>BBVACNC</t>
        </is>
      </c>
      <c r="F235" t="inlineStr"/>
      <c r="G235" s="50" t="n">
        <v>1644.62</v>
      </c>
      <c r="H235" t="inlineStr">
        <is>
          <t>EUR</t>
        </is>
      </c>
      <c r="I235" t="inlineStr">
        <is>
          <t>EUR</t>
        </is>
      </c>
      <c r="J235" s="51" t="n">
        <v>1</v>
      </c>
      <c r="K235" s="50" t="n">
        <v>1644.62</v>
      </c>
      <c r="L235" t="inlineStr">
        <is>
          <t>documents</t>
        </is>
      </c>
      <c r="M235" s="52" t="inlineStr">
        <is>
          <t>260992A00214940</t>
        </is>
      </c>
      <c r="N235" t="inlineStr">
        <is>
          <t>https://drive.google.com/file/d/15w6ESZfzumdpjDfi9EQN9psMXCJV_Hwd/view?usp=drivesdk</t>
        </is>
      </c>
    </row>
    <row r="236" ht="12" customHeight="1">
      <c r="A236" t="inlineStr">
        <is>
          <t>202605</t>
        </is>
      </c>
      <c r="B236" t="inlineStr">
        <is>
          <t>SL</t>
        </is>
      </c>
      <c r="C236" t="inlineStr">
        <is>
          <t>opex</t>
        </is>
      </c>
      <c r="D236" t="inlineStr">
        <is>
          <t>technology</t>
        </is>
      </c>
      <c r="E236" t="inlineStr">
        <is>
          <t>CANVA</t>
        </is>
      </c>
      <c r="F236" t="inlineStr"/>
      <c r="G236" s="50" t="n">
        <v>9.91</v>
      </c>
      <c r="H236" t="inlineStr">
        <is>
          <t>EUR</t>
        </is>
      </c>
      <c r="I236" t="inlineStr">
        <is>
          <t>EUR</t>
        </is>
      </c>
      <c r="J236" s="51" t="n">
        <v>1</v>
      </c>
      <c r="K236" s="50" t="n">
        <v>9.91</v>
      </c>
      <c r="L236" t="inlineStr">
        <is>
          <t>documents</t>
        </is>
      </c>
      <c r="M236" s="52" t="inlineStr">
        <is>
          <t>04885-24880268</t>
        </is>
      </c>
      <c r="N236" t="inlineStr">
        <is>
          <t>https://drive.google.com/file/d/1S6TdOUymKmL4uKlQaQmww7hrDCIJ9MJZ/view?usp=drivesdk</t>
        </is>
      </c>
    </row>
    <row r="237" ht="12" customHeight="1">
      <c r="A237" t="inlineStr">
        <is>
          <t>202605</t>
        </is>
      </c>
      <c r="B237" t="inlineStr">
        <is>
          <t>SL</t>
        </is>
      </c>
      <c r="C237" t="inlineStr">
        <is>
          <t>opex</t>
        </is>
      </c>
      <c r="D237" t="inlineStr">
        <is>
          <t>administration</t>
        </is>
      </c>
      <c r="E237" t="inlineStr">
        <is>
          <t>CLARIS</t>
        </is>
      </c>
      <c r="F237" t="inlineStr"/>
      <c r="G237" s="50" t="n">
        <v>808.08</v>
      </c>
      <c r="H237" t="inlineStr">
        <is>
          <t>EUR</t>
        </is>
      </c>
      <c r="I237" t="inlineStr">
        <is>
          <t>EUR</t>
        </is>
      </c>
      <c r="J237" s="51" t="n">
        <v>1</v>
      </c>
      <c r="K237" s="50" t="n">
        <v>808.08</v>
      </c>
      <c r="L237" t="inlineStr">
        <is>
          <t>documents</t>
        </is>
      </c>
      <c r="M237" s="52" t="inlineStr">
        <is>
          <t>F01412/26</t>
        </is>
      </c>
      <c r="N237" t="inlineStr">
        <is>
          <t>https://drive.google.com/file/d/1TZmzFUj-P1A9vLLo40CWCkWEN2gDeBeK/view?usp=drivesdk</t>
        </is>
      </c>
    </row>
    <row r="238" ht="12" customHeight="1">
      <c r="A238" t="inlineStr">
        <is>
          <t>202605</t>
        </is>
      </c>
      <c r="B238" t="inlineStr">
        <is>
          <t>SL</t>
        </is>
      </c>
      <c r="C238" t="inlineStr">
        <is>
          <t>opex</t>
        </is>
      </c>
      <c r="D238" t="inlineStr">
        <is>
          <t>administration</t>
        </is>
      </c>
      <c r="E238" t="inlineStr">
        <is>
          <t>CLARIS</t>
        </is>
      </c>
      <c r="F238" t="inlineStr"/>
      <c r="G238" s="50" t="n">
        <v>43.54</v>
      </c>
      <c r="H238" t="inlineStr">
        <is>
          <t>EUR</t>
        </is>
      </c>
      <c r="I238" t="inlineStr">
        <is>
          <t>EUR</t>
        </is>
      </c>
      <c r="J238" s="51" t="n">
        <v>1</v>
      </c>
      <c r="K238" s="50" t="n">
        <v>43.54</v>
      </c>
      <c r="L238" t="inlineStr">
        <is>
          <t>documents</t>
        </is>
      </c>
      <c r="M238" s="52" t="inlineStr">
        <is>
          <t>S00119/26</t>
        </is>
      </c>
      <c r="N238" t="inlineStr">
        <is>
          <t>https://drive.google.com/file/d/1p7nlISEikzDjF5vwBdxYrTaHYsrOxTsX/view?usp=drivesdk</t>
        </is>
      </c>
    </row>
    <row r="239" ht="12" customHeight="1">
      <c r="A239" t="inlineStr">
        <is>
          <t>202605</t>
        </is>
      </c>
      <c r="B239" t="inlineStr">
        <is>
          <t>SL</t>
        </is>
      </c>
      <c r="C239" t="inlineStr">
        <is>
          <t>cogs</t>
        </is>
      </c>
      <c r="D239" t="inlineStr">
        <is>
          <t>logistics</t>
        </is>
      </c>
      <c r="E239" t="inlineStr">
        <is>
          <t>CORREOS</t>
        </is>
      </c>
      <c r="F239" t="inlineStr"/>
      <c r="G239" s="50" t="n">
        <v>177.53</v>
      </c>
      <c r="H239" t="inlineStr">
        <is>
          <t>EUR</t>
        </is>
      </c>
      <c r="I239" t="inlineStr">
        <is>
          <t>EUR</t>
        </is>
      </c>
      <c r="J239" s="51" t="n">
        <v>1</v>
      </c>
      <c r="K239" s="50" t="n">
        <v>177.53</v>
      </c>
      <c r="L239" t="inlineStr">
        <is>
          <t>documents</t>
        </is>
      </c>
      <c r="M239" s="52" t="inlineStr">
        <is>
          <t>4004703011</t>
        </is>
      </c>
      <c r="N239" t="inlineStr">
        <is>
          <t>https://drive.google.com/file/d/1BolX7o1QrQNYcHCahPRhqhQbg0iyzlQf/view?usp=drivesdk</t>
        </is>
      </c>
    </row>
    <row r="240" ht="12" customHeight="1">
      <c r="A240" t="inlineStr">
        <is>
          <t>202605</t>
        </is>
      </c>
      <c r="B240" t="inlineStr">
        <is>
          <t>SL</t>
        </is>
      </c>
      <c r="C240" t="inlineStr">
        <is>
          <t>cogs</t>
        </is>
      </c>
      <c r="D240" t="inlineStr">
        <is>
          <t>logistics</t>
        </is>
      </c>
      <c r="E240" t="inlineStr">
        <is>
          <t>CORREOSCAN</t>
        </is>
      </c>
      <c r="F240" t="inlineStr"/>
      <c r="G240" s="50" t="n">
        <v>20.38</v>
      </c>
      <c r="H240" t="inlineStr">
        <is>
          <t>EUR</t>
        </is>
      </c>
      <c r="I240" t="inlineStr">
        <is>
          <t>EUR</t>
        </is>
      </c>
      <c r="J240" s="51" t="n">
        <v>1</v>
      </c>
      <c r="K240" s="50" t="n">
        <v>20.38</v>
      </c>
      <c r="L240" t="inlineStr">
        <is>
          <t>documents</t>
        </is>
      </c>
      <c r="M240" s="52" t="inlineStr">
        <is>
          <t>4004703012</t>
        </is>
      </c>
      <c r="N240" t="inlineStr">
        <is>
          <t>https://drive.google.com/file/d/1OYzz9PvfXbaPvU6uCj0D6mZ_0y5p7Oyi/view?usp=drivesdk</t>
        </is>
      </c>
    </row>
    <row r="241" ht="12" customHeight="1">
      <c r="A241" t="inlineStr">
        <is>
          <t>202605</t>
        </is>
      </c>
      <c r="B241" t="inlineStr">
        <is>
          <t>SL</t>
        </is>
      </c>
      <c r="C241" t="inlineStr">
        <is>
          <t>cogs</t>
        </is>
      </c>
      <c r="D241" t="inlineStr">
        <is>
          <t>manufacturing</t>
        </is>
      </c>
      <c r="E241" t="inlineStr">
        <is>
          <t>DCT</t>
        </is>
      </c>
      <c r="F241" t="inlineStr"/>
      <c r="G241" s="50" t="n">
        <v>2338.18</v>
      </c>
      <c r="H241" t="inlineStr">
        <is>
          <t>EUR</t>
        </is>
      </c>
      <c r="I241" t="inlineStr">
        <is>
          <t>EUR</t>
        </is>
      </c>
      <c r="J241" s="51" t="n">
        <v>1</v>
      </c>
      <c r="K241" s="50" t="n">
        <v>2338.18</v>
      </c>
      <c r="L241" t="inlineStr">
        <is>
          <t>documents</t>
        </is>
      </c>
      <c r="M241" s="52" t="inlineStr">
        <is>
          <t>26-0865</t>
        </is>
      </c>
      <c r="N241" t="inlineStr">
        <is>
          <t>https://drive.google.com/file/d/1prmWvnNmo05fERweN1ZTnLwQjwTrlEB0/view?usp=drivesdk</t>
        </is>
      </c>
    </row>
    <row r="242" ht="12" customHeight="1">
      <c r="A242" t="inlineStr">
        <is>
          <t>202605</t>
        </is>
      </c>
      <c r="B242" t="inlineStr">
        <is>
          <t>SL</t>
        </is>
      </c>
      <c r="C242" t="inlineStr">
        <is>
          <t>cogs</t>
        </is>
      </c>
      <c r="D242" t="inlineStr">
        <is>
          <t>manufacturing</t>
        </is>
      </c>
      <c r="E242" t="inlineStr">
        <is>
          <t>DCT</t>
        </is>
      </c>
      <c r="F242" t="inlineStr"/>
      <c r="G242" s="50" t="n">
        <v>2185</v>
      </c>
      <c r="H242" t="inlineStr">
        <is>
          <t>EUR</t>
        </is>
      </c>
      <c r="I242" t="inlineStr">
        <is>
          <t>EUR</t>
        </is>
      </c>
      <c r="J242" s="51" t="n">
        <v>1</v>
      </c>
      <c r="K242" s="50" t="n">
        <v>2185</v>
      </c>
      <c r="L242" t="inlineStr">
        <is>
          <t>documents</t>
        </is>
      </c>
      <c r="M242" s="52" t="inlineStr">
        <is>
          <t>26-0979</t>
        </is>
      </c>
      <c r="N242" t="inlineStr">
        <is>
          <t>https://drive.google.com/file/d/1Hqc10pUCh_j3Ti1eEBPf8DGjhW8Uzbl_/view?usp=drivesdk</t>
        </is>
      </c>
    </row>
    <row r="243" ht="12" customHeight="1">
      <c r="A243" t="inlineStr">
        <is>
          <t>202605</t>
        </is>
      </c>
      <c r="B243" t="inlineStr">
        <is>
          <t>SL</t>
        </is>
      </c>
      <c r="C243" t="inlineStr">
        <is>
          <t>cogs</t>
        </is>
      </c>
      <c r="D243" t="inlineStr">
        <is>
          <t>logistics</t>
        </is>
      </c>
      <c r="E243" t="inlineStr">
        <is>
          <t>GLS</t>
        </is>
      </c>
      <c r="F243" t="inlineStr"/>
      <c r="G243" s="50" t="n">
        <v>14682.41</v>
      </c>
      <c r="H243" t="inlineStr">
        <is>
          <t>EUR</t>
        </is>
      </c>
      <c r="I243" t="inlineStr">
        <is>
          <t>EUR</t>
        </is>
      </c>
      <c r="J243" s="51" t="n">
        <v>1</v>
      </c>
      <c r="K243" s="50" t="n">
        <v>14682.41</v>
      </c>
      <c r="L243" t="inlineStr">
        <is>
          <t>documents</t>
        </is>
      </c>
      <c r="M243" s="52" t="inlineStr">
        <is>
          <t>20260281</t>
        </is>
      </c>
      <c r="N243" t="inlineStr">
        <is>
          <t>https://drive.google.com/file/d/1YFksu1WcH-Wr6jEscurKqhD5-malqHu6/view?usp=drivesdk</t>
        </is>
      </c>
    </row>
    <row r="244" ht="12" customHeight="1">
      <c r="A244" t="inlineStr">
        <is>
          <t>202605</t>
        </is>
      </c>
      <c r="B244" t="inlineStr">
        <is>
          <t>SL</t>
        </is>
      </c>
      <c r="C244" t="inlineStr">
        <is>
          <t>opex</t>
        </is>
      </c>
      <c r="D244" t="inlineStr">
        <is>
          <t>technology</t>
        </is>
      </c>
      <c r="E244" t="inlineStr">
        <is>
          <t>GODADDY</t>
        </is>
      </c>
      <c r="F244" t="inlineStr"/>
      <c r="G244" s="50" t="n">
        <v>92.81999999999999</v>
      </c>
      <c r="H244" t="inlineStr">
        <is>
          <t>EUR</t>
        </is>
      </c>
      <c r="I244" t="inlineStr">
        <is>
          <t>EUR</t>
        </is>
      </c>
      <c r="J244" s="51" t="n">
        <v>1</v>
      </c>
      <c r="K244" s="50" t="n">
        <v>92.81999999999999</v>
      </c>
      <c r="L244" t="inlineStr">
        <is>
          <t>documents</t>
        </is>
      </c>
      <c r="M244" s="52" t="inlineStr">
        <is>
          <t>4080766250</t>
        </is>
      </c>
      <c r="N244" t="inlineStr">
        <is>
          <t>https://drive.google.com/file/d/1ZvHWDlnaKKTQ1UpjbTWqKCQ39KtgcwU-/view?usp=drivesdk</t>
        </is>
      </c>
    </row>
    <row r="245" ht="12" customHeight="1">
      <c r="A245" t="inlineStr">
        <is>
          <t>202605</t>
        </is>
      </c>
      <c r="B245" t="inlineStr">
        <is>
          <t>SL</t>
        </is>
      </c>
      <c r="C245" t="inlineStr">
        <is>
          <t>opex</t>
        </is>
      </c>
      <c r="D245" t="inlineStr">
        <is>
          <t>marketing</t>
        </is>
      </c>
      <c r="E245" t="inlineStr">
        <is>
          <t>GOOGLEADS</t>
        </is>
      </c>
      <c r="F245" t="inlineStr">
        <is>
          <t>eu</t>
        </is>
      </c>
      <c r="G245" s="50" t="n">
        <v>21902.31</v>
      </c>
      <c r="H245" t="inlineStr">
        <is>
          <t>EUR</t>
        </is>
      </c>
      <c r="I245" t="inlineStr">
        <is>
          <t>EUR</t>
        </is>
      </c>
      <c r="J245" s="51" t="n">
        <v>1</v>
      </c>
      <c r="K245" s="50" t="n">
        <v>21902.31</v>
      </c>
      <c r="L245" t="inlineStr">
        <is>
          <t>documents</t>
        </is>
      </c>
      <c r="M245" s="52" t="inlineStr">
        <is>
          <t>5595122960</t>
        </is>
      </c>
      <c r="N245" t="inlineStr">
        <is>
          <t>https://drive.google.com/file/d/10mqHKhDbwH2GXBiCz513VIROyxU9CryF/view?usp=drivesdk</t>
        </is>
      </c>
    </row>
    <row r="246" ht="12" customHeight="1">
      <c r="A246" t="inlineStr">
        <is>
          <t>202605</t>
        </is>
      </c>
      <c r="B246" t="inlineStr">
        <is>
          <t>SL</t>
        </is>
      </c>
      <c r="C246" t="inlineStr">
        <is>
          <t>opex</t>
        </is>
      </c>
      <c r="D246" t="inlineStr">
        <is>
          <t>marketing</t>
        </is>
      </c>
      <c r="E246" t="inlineStr">
        <is>
          <t>GOOGLEADS</t>
        </is>
      </c>
      <c r="F246" t="inlineStr">
        <is>
          <t>uk</t>
        </is>
      </c>
      <c r="G246" s="50" t="n">
        <v>4898.75</v>
      </c>
      <c r="H246" t="inlineStr">
        <is>
          <t>EUR</t>
        </is>
      </c>
      <c r="I246" t="inlineStr">
        <is>
          <t>EUR</t>
        </is>
      </c>
      <c r="J246" s="51" t="n">
        <v>1</v>
      </c>
      <c r="K246" s="50" t="n">
        <v>4898.75</v>
      </c>
      <c r="L246" t="inlineStr">
        <is>
          <t>documents</t>
        </is>
      </c>
      <c r="M246" s="52" t="inlineStr">
        <is>
          <t>5595122960</t>
        </is>
      </c>
      <c r="N246" t="inlineStr">
        <is>
          <t>https://drive.google.com/file/d/10mqHKhDbwH2GXBiCz513VIROyxU9CryF/view?usp=drivesdk</t>
        </is>
      </c>
    </row>
    <row r="247" ht="12" customHeight="1">
      <c r="A247" t="inlineStr">
        <is>
          <t>202605</t>
        </is>
      </c>
      <c r="B247" t="inlineStr">
        <is>
          <t>SL</t>
        </is>
      </c>
      <c r="C247" t="inlineStr">
        <is>
          <t>opex</t>
        </is>
      </c>
      <c r="D247" t="inlineStr">
        <is>
          <t>marketing</t>
        </is>
      </c>
      <c r="E247" t="inlineStr">
        <is>
          <t>GOOGLEADS</t>
        </is>
      </c>
      <c r="F247" t="inlineStr">
        <is>
          <t>us</t>
        </is>
      </c>
      <c r="G247" s="50" t="n">
        <v>1766.61</v>
      </c>
      <c r="H247" t="inlineStr">
        <is>
          <t>EUR</t>
        </is>
      </c>
      <c r="I247" t="inlineStr">
        <is>
          <t>EUR</t>
        </is>
      </c>
      <c r="J247" s="51" t="n">
        <v>1</v>
      </c>
      <c r="K247" s="50" t="n">
        <v>1766.61</v>
      </c>
      <c r="L247" t="inlineStr">
        <is>
          <t>documents</t>
        </is>
      </c>
      <c r="M247" s="52" t="inlineStr">
        <is>
          <t>5595122960</t>
        </is>
      </c>
      <c r="N247" t="inlineStr">
        <is>
          <t>https://drive.google.com/file/d/10mqHKhDbwH2GXBiCz513VIROyxU9CryF/view?usp=drivesdk</t>
        </is>
      </c>
    </row>
    <row r="248" ht="12" customHeight="1">
      <c r="A248" t="inlineStr">
        <is>
          <t>202605</t>
        </is>
      </c>
      <c r="B248" t="inlineStr">
        <is>
          <t>SL</t>
        </is>
      </c>
      <c r="C248" t="inlineStr">
        <is>
          <t>opex</t>
        </is>
      </c>
      <c r="D248" t="inlineStr">
        <is>
          <t>technology</t>
        </is>
      </c>
      <c r="E248" t="inlineStr">
        <is>
          <t>GOOGLEWORKSPACE</t>
        </is>
      </c>
      <c r="F248" t="inlineStr"/>
      <c r="G248" s="50" t="n">
        <v>210.6</v>
      </c>
      <c r="H248" t="inlineStr">
        <is>
          <t>EUR</t>
        </is>
      </c>
      <c r="I248" t="inlineStr">
        <is>
          <t>EUR</t>
        </is>
      </c>
      <c r="J248" s="51" t="n">
        <v>1</v>
      </c>
      <c r="K248" s="50" t="n">
        <v>210.6</v>
      </c>
      <c r="L248" t="inlineStr">
        <is>
          <t>documents</t>
        </is>
      </c>
      <c r="M248" s="52" t="inlineStr">
        <is>
          <t>5580268253</t>
        </is>
      </c>
      <c r="N248" t="inlineStr">
        <is>
          <t>https://drive.google.com/file/d/1CngyX09_0YFcf5phLUgZ2jOJFWkCUsZK/view?usp=drivesdk</t>
        </is>
      </c>
    </row>
    <row r="249" ht="12" customHeight="1">
      <c r="A249" t="inlineStr">
        <is>
          <t>202605</t>
        </is>
      </c>
      <c r="B249" t="inlineStr">
        <is>
          <t>SL</t>
        </is>
      </c>
      <c r="C249" t="inlineStr">
        <is>
          <t>opex</t>
        </is>
      </c>
      <c r="D249" t="inlineStr">
        <is>
          <t>technology</t>
        </is>
      </c>
      <c r="E249" t="inlineStr">
        <is>
          <t>GORGIAS</t>
        </is>
      </c>
      <c r="F249" t="inlineStr"/>
      <c r="G249" s="50" t="n">
        <v>120</v>
      </c>
      <c r="H249" t="inlineStr">
        <is>
          <t>USD</t>
        </is>
      </c>
      <c r="I249" t="inlineStr">
        <is>
          <t>EUR</t>
        </is>
      </c>
      <c r="J249" s="51" t="n">
        <v>0.8588114100000001</v>
      </c>
      <c r="K249" s="50" t="n">
        <v>103.06</v>
      </c>
      <c r="L249" t="inlineStr">
        <is>
          <t>documents</t>
        </is>
      </c>
      <c r="M249" s="52" t="inlineStr">
        <is>
          <t>INC-05-2026-94535</t>
        </is>
      </c>
      <c r="N249" t="inlineStr">
        <is>
          <t>https://drive.google.com/file/d/1nRw20bQxDFFKrO0NgRD7moO4sS90lxtQ/view?usp=drivesdk</t>
        </is>
      </c>
    </row>
    <row r="250" ht="12" customHeight="1">
      <c r="A250" t="inlineStr">
        <is>
          <t>202605</t>
        </is>
      </c>
      <c r="B250" t="inlineStr">
        <is>
          <t>SL</t>
        </is>
      </c>
      <c r="C250" t="inlineStr">
        <is>
          <t>opex</t>
        </is>
      </c>
      <c r="D250" t="inlineStr">
        <is>
          <t>administration</t>
        </is>
      </c>
      <c r="E250" t="inlineStr">
        <is>
          <t>HANNUN</t>
        </is>
      </c>
      <c r="F250" t="inlineStr">
        <is>
          <t>office</t>
        </is>
      </c>
      <c r="G250" s="50" t="n">
        <v>175</v>
      </c>
      <c r="H250" t="inlineStr">
        <is>
          <t>EUR</t>
        </is>
      </c>
      <c r="I250" t="inlineStr">
        <is>
          <t>EUR</t>
        </is>
      </c>
      <c r="J250" s="51" t="n">
        <v>1</v>
      </c>
      <c r="K250" s="50" t="n">
        <v>175</v>
      </c>
      <c r="L250" t="inlineStr">
        <is>
          <t>documents</t>
        </is>
      </c>
      <c r="M250" s="52" t="inlineStr">
        <is>
          <t>VTA/26-018994</t>
        </is>
      </c>
      <c r="N250" t="inlineStr">
        <is>
          <t>https://drive.google.com/file/d/1sj8UHvTU5ISFL1Rs_i-s2ZyBVKahvqo3/view?usp=drivesdk</t>
        </is>
      </c>
    </row>
    <row r="251" ht="12" customHeight="1">
      <c r="A251" t="inlineStr">
        <is>
          <t>202605</t>
        </is>
      </c>
      <c r="B251" t="inlineStr">
        <is>
          <t>SL</t>
        </is>
      </c>
      <c r="C251" t="inlineStr">
        <is>
          <t>opex</t>
        </is>
      </c>
      <c r="D251" t="inlineStr">
        <is>
          <t>technology</t>
        </is>
      </c>
      <c r="E251" t="inlineStr">
        <is>
          <t>HETZNER</t>
        </is>
      </c>
      <c r="F251" t="inlineStr"/>
      <c r="G251" s="50" t="n">
        <v>10.9</v>
      </c>
      <c r="H251" t="inlineStr">
        <is>
          <t>EUR</t>
        </is>
      </c>
      <c r="I251" t="inlineStr">
        <is>
          <t>EUR</t>
        </is>
      </c>
      <c r="J251" s="51" t="n">
        <v>1</v>
      </c>
      <c r="K251" s="50" t="n">
        <v>10.9</v>
      </c>
      <c r="L251" t="inlineStr">
        <is>
          <t>documents</t>
        </is>
      </c>
      <c r="M251" s="52" t="inlineStr">
        <is>
          <t>080000912751</t>
        </is>
      </c>
      <c r="N251" t="inlineStr">
        <is>
          <t>https://drive.google.com/file/d/1MuU-EL9S6q1MLS-0sXweQf8wj6PaZlwJ/view?usp=drivesdk</t>
        </is>
      </c>
    </row>
    <row r="252" ht="12" customHeight="1">
      <c r="A252" t="inlineStr">
        <is>
          <t>202605</t>
        </is>
      </c>
      <c r="B252" t="inlineStr">
        <is>
          <t>SL</t>
        </is>
      </c>
      <c r="C252" t="inlineStr">
        <is>
          <t>opex</t>
        </is>
      </c>
      <c r="D252" t="inlineStr">
        <is>
          <t>technology</t>
        </is>
      </c>
      <c r="E252" t="inlineStr">
        <is>
          <t>KONVOAI</t>
        </is>
      </c>
      <c r="F252" t="inlineStr"/>
      <c r="G252" s="50" t="n">
        <v>429</v>
      </c>
      <c r="H252" t="inlineStr">
        <is>
          <t>EUR</t>
        </is>
      </c>
      <c r="I252" t="inlineStr">
        <is>
          <t>EUR</t>
        </is>
      </c>
      <c r="J252" s="51" t="n">
        <v>1</v>
      </c>
      <c r="K252" s="50" t="n">
        <v>429</v>
      </c>
      <c r="L252" t="inlineStr">
        <is>
          <t>documents</t>
        </is>
      </c>
      <c r="M252" s="52" t="inlineStr">
        <is>
          <t>B5F7DF3C-8224</t>
        </is>
      </c>
      <c r="N252" t="inlineStr">
        <is>
          <t>https://drive.google.com/file/d/1bTr0lALr8OQLt3z3XbCj7NEe2jyA9E6n/view?usp=drivesdk</t>
        </is>
      </c>
    </row>
    <row r="253" ht="12" customHeight="1">
      <c r="A253" t="inlineStr">
        <is>
          <t>202605</t>
        </is>
      </c>
      <c r="B253" t="inlineStr">
        <is>
          <t>SL</t>
        </is>
      </c>
      <c r="C253" t="inlineStr">
        <is>
          <t>opex</t>
        </is>
      </c>
      <c r="D253" t="inlineStr">
        <is>
          <t>technology</t>
        </is>
      </c>
      <c r="E253" t="inlineStr">
        <is>
          <t>KONVOAI</t>
        </is>
      </c>
      <c r="F253" t="inlineStr"/>
      <c r="G253" s="50" t="n">
        <v>673.55</v>
      </c>
      <c r="H253" t="inlineStr">
        <is>
          <t>EUR</t>
        </is>
      </c>
      <c r="I253" t="inlineStr">
        <is>
          <t>EUR</t>
        </is>
      </c>
      <c r="J253" s="51" t="n">
        <v>1</v>
      </c>
      <c r="K253" s="50" t="n">
        <v>673.55</v>
      </c>
      <c r="L253" t="inlineStr">
        <is>
          <t>documents</t>
        </is>
      </c>
      <c r="M253" s="52" t="inlineStr">
        <is>
          <t>B5F7DF3C-8238</t>
        </is>
      </c>
      <c r="N253" t="inlineStr">
        <is>
          <t>https://drive.google.com/file/d/1LPWwhNhLyveyge93E3dAJko8qz81iIlS/view?usp=drivesdk</t>
        </is>
      </c>
    </row>
    <row r="254" ht="12" customHeight="1">
      <c r="A254" t="inlineStr">
        <is>
          <t>202605</t>
        </is>
      </c>
      <c r="B254" t="inlineStr">
        <is>
          <t>SL</t>
        </is>
      </c>
      <c r="C254" t="inlineStr">
        <is>
          <t>opex</t>
        </is>
      </c>
      <c r="D254" t="inlineStr">
        <is>
          <t>administration</t>
        </is>
      </c>
      <c r="E254" t="inlineStr">
        <is>
          <t>LINKEDIN</t>
        </is>
      </c>
      <c r="F254" t="inlineStr"/>
      <c r="G254" s="50" t="n">
        <v>41.76</v>
      </c>
      <c r="H254" t="inlineStr">
        <is>
          <t>EUR</t>
        </is>
      </c>
      <c r="I254" t="inlineStr">
        <is>
          <t>EUR</t>
        </is>
      </c>
      <c r="J254" s="51" t="n">
        <v>1</v>
      </c>
      <c r="K254" s="50" t="n">
        <v>41.76</v>
      </c>
      <c r="L254" t="inlineStr">
        <is>
          <t>documents</t>
        </is>
      </c>
      <c r="M254" s="52" t="inlineStr">
        <is>
          <t>781241921881</t>
        </is>
      </c>
      <c r="N254" t="inlineStr">
        <is>
          <t>https://drive.google.com/file/d/1JeZNnXOC1MJIfYK6vxkGZPJzF18Yvf2i/view?usp=drivesdk</t>
        </is>
      </c>
    </row>
    <row r="255" ht="12" customHeight="1">
      <c r="A255" t="inlineStr">
        <is>
          <t>202605</t>
        </is>
      </c>
      <c r="B255" t="inlineStr">
        <is>
          <t>SL</t>
        </is>
      </c>
      <c r="C255" t="inlineStr">
        <is>
          <t>opex</t>
        </is>
      </c>
      <c r="D255" t="inlineStr">
        <is>
          <t>technology</t>
        </is>
      </c>
      <c r="E255" t="inlineStr">
        <is>
          <t>MASMOVIL</t>
        </is>
      </c>
      <c r="F255" t="inlineStr"/>
      <c r="G255" s="50" t="n">
        <v>10</v>
      </c>
      <c r="H255" t="inlineStr">
        <is>
          <t>EUR</t>
        </is>
      </c>
      <c r="I255" t="inlineStr">
        <is>
          <t>EUR</t>
        </is>
      </c>
      <c r="J255" s="51" t="n">
        <v>1</v>
      </c>
      <c r="K255" s="50" t="n">
        <v>10</v>
      </c>
      <c r="L255" t="inlineStr">
        <is>
          <t>documents</t>
        </is>
      </c>
      <c r="M255" s="52" t="inlineStr">
        <is>
          <t>MC260005864491</t>
        </is>
      </c>
      <c r="N255" t="inlineStr">
        <is>
          <t>https://drive.google.com/file/d/1UYCZcwrvzaQcFRK_OmGrC0chjho0BH_4/view?usp=drivesdk</t>
        </is>
      </c>
    </row>
    <row r="256" ht="12" customHeight="1">
      <c r="A256" t="inlineStr">
        <is>
          <t>202605</t>
        </is>
      </c>
      <c r="B256" t="inlineStr">
        <is>
          <t>SL</t>
        </is>
      </c>
      <c r="C256" t="inlineStr">
        <is>
          <t>opex</t>
        </is>
      </c>
      <c r="D256" t="inlineStr">
        <is>
          <t>marketing</t>
        </is>
      </c>
      <c r="E256" t="inlineStr">
        <is>
          <t>METAADS</t>
        </is>
      </c>
      <c r="F256" t="inlineStr">
        <is>
          <t>eu</t>
        </is>
      </c>
      <c r="G256" s="50" t="n">
        <v>16530.43</v>
      </c>
      <c r="H256" t="inlineStr">
        <is>
          <t>EUR</t>
        </is>
      </c>
      <c r="I256" t="inlineStr">
        <is>
          <t>EUR</t>
        </is>
      </c>
      <c r="J256" s="51" t="n">
        <v>1</v>
      </c>
      <c r="K256" s="50" t="n">
        <v>16530.43</v>
      </c>
      <c r="L256" t="inlineStr">
        <is>
          <t>documents</t>
        </is>
      </c>
      <c r="M256" s="52" t="inlineStr">
        <is>
          <t>253307081</t>
        </is>
      </c>
      <c r="N256" t="inlineStr">
        <is>
          <t>https://drive.google.com/file/d/17SwXOwha93ArgkWqwlGslE2zzaBTHuYm/view?usp=drivesdk</t>
        </is>
      </c>
    </row>
    <row r="257" ht="12" customHeight="1">
      <c r="A257" t="inlineStr">
        <is>
          <t>202605</t>
        </is>
      </c>
      <c r="B257" t="inlineStr">
        <is>
          <t>SL</t>
        </is>
      </c>
      <c r="C257" t="inlineStr">
        <is>
          <t>opex</t>
        </is>
      </c>
      <c r="D257" t="inlineStr">
        <is>
          <t>marketing</t>
        </is>
      </c>
      <c r="E257" t="inlineStr">
        <is>
          <t>METAADS</t>
        </is>
      </c>
      <c r="F257" t="inlineStr">
        <is>
          <t>uk</t>
        </is>
      </c>
      <c r="G257" s="50" t="n">
        <v>2799.78</v>
      </c>
      <c r="H257" t="inlineStr">
        <is>
          <t>EUR</t>
        </is>
      </c>
      <c r="I257" t="inlineStr">
        <is>
          <t>EUR</t>
        </is>
      </c>
      <c r="J257" s="51" t="n">
        <v>1</v>
      </c>
      <c r="K257" s="50" t="n">
        <v>2799.78</v>
      </c>
      <c r="L257" t="inlineStr">
        <is>
          <t>documents</t>
        </is>
      </c>
      <c r="M257" s="52" t="inlineStr">
        <is>
          <t>253307081</t>
        </is>
      </c>
      <c r="N257" t="inlineStr">
        <is>
          <t>https://drive.google.com/file/d/17SwXOwha93ArgkWqwlGslE2zzaBTHuYm/view?usp=drivesdk</t>
        </is>
      </c>
    </row>
    <row r="258" ht="12" customHeight="1">
      <c r="A258" t="inlineStr">
        <is>
          <t>202605</t>
        </is>
      </c>
      <c r="B258" t="inlineStr">
        <is>
          <t>SL</t>
        </is>
      </c>
      <c r="C258" t="inlineStr">
        <is>
          <t>opex</t>
        </is>
      </c>
      <c r="D258" t="inlineStr">
        <is>
          <t>marketing</t>
        </is>
      </c>
      <c r="E258" t="inlineStr">
        <is>
          <t>METAADS</t>
        </is>
      </c>
      <c r="F258" t="inlineStr">
        <is>
          <t>us</t>
        </is>
      </c>
      <c r="G258" s="50" t="n">
        <v>756.37</v>
      </c>
      <c r="H258" t="inlineStr">
        <is>
          <t>EUR</t>
        </is>
      </c>
      <c r="I258" t="inlineStr">
        <is>
          <t>EUR</t>
        </is>
      </c>
      <c r="J258" s="51" t="n">
        <v>1</v>
      </c>
      <c r="K258" s="50" t="n">
        <v>756.37</v>
      </c>
      <c r="L258" t="inlineStr">
        <is>
          <t>documents</t>
        </is>
      </c>
      <c r="M258" s="52" t="inlineStr">
        <is>
          <t>253307081</t>
        </is>
      </c>
      <c r="N258" t="inlineStr">
        <is>
          <t>https://drive.google.com/file/d/17SwXOwha93ArgkWqwlGslE2zzaBTHuYm/view?usp=drivesdk</t>
        </is>
      </c>
    </row>
    <row r="259" ht="12" customHeight="1">
      <c r="A259" t="inlineStr">
        <is>
          <t>202605</t>
        </is>
      </c>
      <c r="B259" t="inlineStr">
        <is>
          <t>SL</t>
        </is>
      </c>
      <c r="C259" t="inlineStr">
        <is>
          <t>opex</t>
        </is>
      </c>
      <c r="D259" t="inlineStr">
        <is>
          <t>technology</t>
        </is>
      </c>
      <c r="E259" t="inlineStr">
        <is>
          <t>MICROSOFT</t>
        </is>
      </c>
      <c r="F259" t="inlineStr"/>
      <c r="G259" s="50" t="n">
        <v>30.87</v>
      </c>
      <c r="H259" t="inlineStr">
        <is>
          <t>EUR</t>
        </is>
      </c>
      <c r="I259" t="inlineStr">
        <is>
          <t>EUR</t>
        </is>
      </c>
      <c r="J259" s="51" t="n">
        <v>1</v>
      </c>
      <c r="K259" s="50" t="n">
        <v>30.87</v>
      </c>
      <c r="L259" t="inlineStr">
        <is>
          <t>documents</t>
        </is>
      </c>
      <c r="M259" s="52" t="inlineStr">
        <is>
          <t>G158702584</t>
        </is>
      </c>
      <c r="N259" t="inlineStr">
        <is>
          <t>https://drive.google.com/file/d/1BNVhIuKO_nIeduo1mvmED7LGfq8o6pOi/view?usp=drivesdk</t>
        </is>
      </c>
    </row>
    <row r="260" ht="12" customHeight="1">
      <c r="A260" t="inlineStr">
        <is>
          <t>202605</t>
        </is>
      </c>
      <c r="B260" t="inlineStr">
        <is>
          <t>SL</t>
        </is>
      </c>
      <c r="C260" t="inlineStr">
        <is>
          <t>opex</t>
        </is>
      </c>
      <c r="D260" t="inlineStr">
        <is>
          <t>technology</t>
        </is>
      </c>
      <c r="E260" t="inlineStr">
        <is>
          <t>MICROSOFT</t>
        </is>
      </c>
      <c r="F260" t="inlineStr"/>
      <c r="G260" s="50" t="n">
        <v>45.7</v>
      </c>
      <c r="H260" t="inlineStr">
        <is>
          <t>EUR</t>
        </is>
      </c>
      <c r="I260" t="inlineStr">
        <is>
          <t>EUR</t>
        </is>
      </c>
      <c r="J260" s="51" t="n">
        <v>1</v>
      </c>
      <c r="K260" s="50" t="n">
        <v>45.7</v>
      </c>
      <c r="L260" t="inlineStr">
        <is>
          <t>documents</t>
        </is>
      </c>
      <c r="M260" s="52" t="inlineStr">
        <is>
          <t>G159502616</t>
        </is>
      </c>
      <c r="N260" t="inlineStr">
        <is>
          <t>https://drive.google.com/file/d/1WXq6EiWbiSzgzOUg4eKhV7tbiLvwrzOW/view?usp=drivesdk</t>
        </is>
      </c>
    </row>
    <row r="261" ht="12" customHeight="1">
      <c r="A261" t="inlineStr">
        <is>
          <t>202605</t>
        </is>
      </c>
      <c r="B261" t="inlineStr">
        <is>
          <t>SL</t>
        </is>
      </c>
      <c r="C261" t="inlineStr">
        <is>
          <t>opex</t>
        </is>
      </c>
      <c r="D261" t="inlineStr">
        <is>
          <t>technology</t>
        </is>
      </c>
      <c r="E261" t="inlineStr">
        <is>
          <t>OPENAI</t>
        </is>
      </c>
      <c r="F261" t="inlineStr">
        <is>
          <t>api_usage</t>
        </is>
      </c>
      <c r="G261" s="50" t="n">
        <v>10.02</v>
      </c>
      <c r="H261" t="inlineStr">
        <is>
          <t>USD</t>
        </is>
      </c>
      <c r="I261" t="inlineStr">
        <is>
          <t>EUR</t>
        </is>
      </c>
      <c r="J261" s="51" t="n">
        <v>0.8588114100000001</v>
      </c>
      <c r="K261" s="50" t="n">
        <v>8.609999999999999</v>
      </c>
      <c r="L261" t="inlineStr">
        <is>
          <t>documents</t>
        </is>
      </c>
      <c r="M261" s="52" t="inlineStr">
        <is>
          <t>BZHJNTUB0013</t>
        </is>
      </c>
      <c r="N261" t="inlineStr">
        <is>
          <t>https://drive.google.com/file/d/1WOCuBKMJcROwH77yarRkPxZWSIX6v2VQ/view?usp=drivesdk</t>
        </is>
      </c>
    </row>
    <row r="262" ht="12" customHeight="1">
      <c r="A262" t="inlineStr">
        <is>
          <t>202605</t>
        </is>
      </c>
      <c r="B262" t="inlineStr">
        <is>
          <t>SL</t>
        </is>
      </c>
      <c r="C262" t="inlineStr">
        <is>
          <t>opex</t>
        </is>
      </c>
      <c r="D262" t="inlineStr">
        <is>
          <t>technology</t>
        </is>
      </c>
      <c r="E262" t="inlineStr">
        <is>
          <t>OPENAI</t>
        </is>
      </c>
      <c r="F262" t="inlineStr">
        <is>
          <t>api_usage</t>
        </is>
      </c>
      <c r="G262" s="50" t="n">
        <v>10.03</v>
      </c>
      <c r="H262" t="inlineStr">
        <is>
          <t>USD</t>
        </is>
      </c>
      <c r="I262" t="inlineStr">
        <is>
          <t>EUR</t>
        </is>
      </c>
      <c r="J262" s="51" t="n">
        <v>0.8588114100000001</v>
      </c>
      <c r="K262" s="50" t="n">
        <v>8.609999999999999</v>
      </c>
      <c r="L262" t="inlineStr">
        <is>
          <t>documents</t>
        </is>
      </c>
      <c r="M262" s="52" t="inlineStr">
        <is>
          <t>BZHJNTUB0014</t>
        </is>
      </c>
      <c r="N262" t="inlineStr">
        <is>
          <t>https://drive.google.com/file/d/15DJjwL1eyy8fjR_VKlMq9Ge3A4s6lfHR/view?usp=drivesdk</t>
        </is>
      </c>
    </row>
    <row r="263" ht="12" customHeight="1">
      <c r="A263" t="inlineStr">
        <is>
          <t>202605</t>
        </is>
      </c>
      <c r="B263" t="inlineStr">
        <is>
          <t>SL</t>
        </is>
      </c>
      <c r="C263" t="inlineStr">
        <is>
          <t>opex</t>
        </is>
      </c>
      <c r="D263" t="inlineStr">
        <is>
          <t>technology</t>
        </is>
      </c>
      <c r="E263" t="inlineStr">
        <is>
          <t>OPENAI</t>
        </is>
      </c>
      <c r="F263" t="inlineStr">
        <is>
          <t>api_usage</t>
        </is>
      </c>
      <c r="G263" s="50" t="n">
        <v>10.07</v>
      </c>
      <c r="H263" t="inlineStr">
        <is>
          <t>USD</t>
        </is>
      </c>
      <c r="I263" t="inlineStr">
        <is>
          <t>EUR</t>
        </is>
      </c>
      <c r="J263" s="51" t="n">
        <v>0.8588114100000001</v>
      </c>
      <c r="K263" s="50" t="n">
        <v>8.65</v>
      </c>
      <c r="L263" t="inlineStr">
        <is>
          <t>documents</t>
        </is>
      </c>
      <c r="M263" s="52" t="inlineStr">
        <is>
          <t>BZHJNTUB0015</t>
        </is>
      </c>
      <c r="N263" t="inlineStr">
        <is>
          <t>https://drive.google.com/file/d/1ppfYU6IzVmw57ZjqhkvhEtoxKQN85AaI/view?usp=drivesdk</t>
        </is>
      </c>
    </row>
    <row r="264" ht="12" customHeight="1">
      <c r="A264" t="inlineStr">
        <is>
          <t>202605</t>
        </is>
      </c>
      <c r="B264" t="inlineStr">
        <is>
          <t>SL</t>
        </is>
      </c>
      <c r="C264" t="inlineStr">
        <is>
          <t>opex</t>
        </is>
      </c>
      <c r="D264" t="inlineStr">
        <is>
          <t>technology</t>
        </is>
      </c>
      <c r="E264" t="inlineStr">
        <is>
          <t>OPENAI</t>
        </is>
      </c>
      <c r="F264" t="inlineStr">
        <is>
          <t>chatgpt_plus</t>
        </is>
      </c>
      <c r="G264" s="50" t="n">
        <v>85.12</v>
      </c>
      <c r="H264" t="inlineStr">
        <is>
          <t>EUR</t>
        </is>
      </c>
      <c r="I264" t="inlineStr">
        <is>
          <t>EUR</t>
        </is>
      </c>
      <c r="J264" s="51" t="n">
        <v>1</v>
      </c>
      <c r="K264" s="50" t="n">
        <v>85.12</v>
      </c>
      <c r="L264" t="inlineStr">
        <is>
          <t>documents</t>
        </is>
      </c>
      <c r="M264" s="52" t="inlineStr">
        <is>
          <t>7BSDV5AM0002</t>
        </is>
      </c>
      <c r="N264" t="inlineStr">
        <is>
          <t>https://drive.google.com/file/d/1j8nIqLwP8yL_500gO4VgBF8Uv-q6XDsT/view?usp=drivesdk</t>
        </is>
      </c>
    </row>
    <row r="265" ht="12" customHeight="1">
      <c r="A265" t="inlineStr">
        <is>
          <t>202605</t>
        </is>
      </c>
      <c r="B265" t="inlineStr">
        <is>
          <t>SL</t>
        </is>
      </c>
      <c r="C265" t="inlineStr">
        <is>
          <t>cogs</t>
        </is>
      </c>
      <c r="D265" t="inlineStr">
        <is>
          <t>manufacturing</t>
        </is>
      </c>
      <c r="E265" t="inlineStr">
        <is>
          <t>PRESSING</t>
        </is>
      </c>
      <c r="F265" t="inlineStr"/>
      <c r="G265" s="50" t="n">
        <v>28703.9</v>
      </c>
      <c r="H265" t="inlineStr">
        <is>
          <t>EUR</t>
        </is>
      </c>
      <c r="I265" t="inlineStr">
        <is>
          <t>EUR</t>
        </is>
      </c>
      <c r="J265" s="51" t="n">
        <v>1</v>
      </c>
      <c r="K265" s="50" t="n">
        <v>28703.9</v>
      </c>
      <c r="L265" t="inlineStr">
        <is>
          <t>documents</t>
        </is>
      </c>
      <c r="M265" s="52" t="inlineStr">
        <is>
          <t>FAC/2026/26100004975</t>
        </is>
      </c>
      <c r="N265" t="inlineStr">
        <is>
          <t>https://drive.google.com/file/d/12TkAAtAMg_0RJTqh75J2fsF0sXtcEvfB/view?usp=drivesdk</t>
        </is>
      </c>
    </row>
    <row r="266" ht="12" customHeight="1">
      <c r="A266" t="inlineStr">
        <is>
          <t>202605</t>
        </is>
      </c>
      <c r="B266" t="inlineStr">
        <is>
          <t>SL</t>
        </is>
      </c>
      <c r="C266" t="inlineStr">
        <is>
          <t>opex</t>
        </is>
      </c>
      <c r="D266" t="inlineStr">
        <is>
          <t>technology</t>
        </is>
      </c>
      <c r="E266" t="inlineStr">
        <is>
          <t>PRODUCTHERO</t>
        </is>
      </c>
      <c r="F266" t="inlineStr"/>
      <c r="G266" s="50" t="n">
        <v>134</v>
      </c>
      <c r="H266" t="inlineStr">
        <is>
          <t>EUR</t>
        </is>
      </c>
      <c r="I266" t="inlineStr">
        <is>
          <t>EUR</t>
        </is>
      </c>
      <c r="J266" s="51" t="n">
        <v>1</v>
      </c>
      <c r="K266" s="50" t="n">
        <v>134</v>
      </c>
      <c r="L266" t="inlineStr">
        <is>
          <t>documents</t>
        </is>
      </c>
      <c r="M266" s="52" t="inlineStr">
        <is>
          <t>230807</t>
        </is>
      </c>
      <c r="N266" t="inlineStr">
        <is>
          <t>https://drive.google.com/file/d/1ZwcGgiLDPGCIIqv9UvWAzKa_PEzs5uXa/view?usp=drivesdk</t>
        </is>
      </c>
    </row>
    <row r="267" ht="12" customHeight="1">
      <c r="A267" t="inlineStr">
        <is>
          <t>202605</t>
        </is>
      </c>
      <c r="B267" t="inlineStr">
        <is>
          <t>SL</t>
        </is>
      </c>
      <c r="C267" t="inlineStr">
        <is>
          <t>opex</t>
        </is>
      </c>
      <c r="D267" t="inlineStr">
        <is>
          <t>technology</t>
        </is>
      </c>
      <c r="E267" t="inlineStr">
        <is>
          <t>RAILWAY</t>
        </is>
      </c>
      <c r="F267" t="inlineStr"/>
      <c r="G267" s="50" t="n">
        <v>40.7</v>
      </c>
      <c r="H267" t="inlineStr">
        <is>
          <t>USD</t>
        </is>
      </c>
      <c r="I267" t="inlineStr">
        <is>
          <t>EUR</t>
        </is>
      </c>
      <c r="J267" s="51" t="n">
        <v>0.8588114100000001</v>
      </c>
      <c r="K267" s="50" t="n">
        <v>34.95</v>
      </c>
      <c r="L267" t="inlineStr">
        <is>
          <t>documents</t>
        </is>
      </c>
      <c r="M267" s="52" t="inlineStr">
        <is>
          <t>1602C2F5-0019</t>
        </is>
      </c>
      <c r="N267" t="inlineStr">
        <is>
          <t>https://drive.google.com/file/d/1Jd8qNT0SBz4iVjv1YguevseqZVvbyiVE/view?usp=drivesdk</t>
        </is>
      </c>
    </row>
    <row r="268" ht="12" customHeight="1">
      <c r="A268" t="inlineStr">
        <is>
          <t>202606</t>
        </is>
      </c>
      <c r="B268" t="inlineStr">
        <is>
          <t>SL</t>
        </is>
      </c>
      <c r="C268" t="inlineStr">
        <is>
          <t>opex</t>
        </is>
      </c>
      <c r="D268" t="inlineStr">
        <is>
          <t>technology</t>
        </is>
      </c>
      <c r="E268" t="inlineStr">
        <is>
          <t>RAILWAY</t>
        </is>
      </c>
      <c r="F268" t="inlineStr"/>
      <c r="G268" s="50" t="n">
        <v>39.85</v>
      </c>
      <c r="H268" t="inlineStr">
        <is>
          <t>USD</t>
        </is>
      </c>
      <c r="I268" t="inlineStr">
        <is>
          <t>EUR</t>
        </is>
      </c>
      <c r="J268" s="51" t="n">
        <v>0.87765491</v>
      </c>
      <c r="K268" s="50" t="n">
        <v>34.97</v>
      </c>
      <c r="L268" t="inlineStr">
        <is>
          <t>documents</t>
        </is>
      </c>
      <c r="M268" s="52" t="inlineStr">
        <is>
          <t>1602C2F5-0020</t>
        </is>
      </c>
      <c r="N268" t="inlineStr">
        <is>
          <t>https://drive.google.com/file/d/18ew7IbkFTAN1yEV8RHz3EJLorUqDafPl/view?usp=drivesdk</t>
        </is>
      </c>
    </row>
    <row r="269" ht="12" customHeight="1">
      <c r="A269" t="inlineStr">
        <is>
          <t>202605</t>
        </is>
      </c>
      <c r="B269" t="inlineStr">
        <is>
          <t>SL</t>
        </is>
      </c>
      <c r="C269" t="inlineStr">
        <is>
          <t>opex</t>
        </is>
      </c>
      <c r="D269" t="inlineStr">
        <is>
          <t>technology</t>
        </is>
      </c>
      <c r="E269" t="inlineStr">
        <is>
          <t>REVER</t>
        </is>
      </c>
      <c r="F269" t="inlineStr"/>
      <c r="G269" s="50" t="n">
        <v>268.81</v>
      </c>
      <c r="H269" t="inlineStr">
        <is>
          <t>EUR</t>
        </is>
      </c>
      <c r="I269" t="inlineStr">
        <is>
          <t>EUR</t>
        </is>
      </c>
      <c r="J269" s="51" t="n">
        <v>1</v>
      </c>
      <c r="K269" s="50" t="n">
        <v>268.81</v>
      </c>
      <c r="L269" t="inlineStr">
        <is>
          <t>documents</t>
        </is>
      </c>
      <c r="M269" s="52" t="inlineStr">
        <is>
          <t>RVR-19979</t>
        </is>
      </c>
      <c r="N269" t="inlineStr">
        <is>
          <t>https://drive.google.com/file/d/1CrnT09tGBt8_F2_jColZHAjORjWxavXn/view?usp=drivesdk</t>
        </is>
      </c>
    </row>
    <row r="270" ht="12" customHeight="1">
      <c r="A270" t="inlineStr">
        <is>
          <t>202605</t>
        </is>
      </c>
      <c r="B270" t="inlineStr">
        <is>
          <t>SL</t>
        </is>
      </c>
      <c r="C270" t="inlineStr">
        <is>
          <t>opex</t>
        </is>
      </c>
      <c r="D270" t="inlineStr">
        <is>
          <t>technology</t>
        </is>
      </c>
      <c r="E270" t="inlineStr">
        <is>
          <t>REVER</t>
        </is>
      </c>
      <c r="F270" t="inlineStr"/>
      <c r="G270" s="50" t="n">
        <v>79</v>
      </c>
      <c r="H270" t="inlineStr">
        <is>
          <t>EUR</t>
        </is>
      </c>
      <c r="I270" t="inlineStr">
        <is>
          <t>EUR</t>
        </is>
      </c>
      <c r="J270" s="51" t="n">
        <v>1</v>
      </c>
      <c r="K270" s="50" t="n">
        <v>79</v>
      </c>
      <c r="L270" t="inlineStr">
        <is>
          <t>documents</t>
        </is>
      </c>
      <c r="M270" s="52" t="inlineStr">
        <is>
          <t>RVR-20371</t>
        </is>
      </c>
      <c r="N270" t="inlineStr">
        <is>
          <t>https://drive.google.com/file/d/1--2W5HFAPwFPSuJ0Cr1F9zoiV56z1bf3/view?usp=drivesdk</t>
        </is>
      </c>
    </row>
    <row r="271" ht="12" customHeight="1">
      <c r="A271" t="inlineStr">
        <is>
          <t>202605</t>
        </is>
      </c>
      <c r="B271" t="inlineStr">
        <is>
          <t>SL</t>
        </is>
      </c>
      <c r="C271" t="inlineStr">
        <is>
          <t>opex</t>
        </is>
      </c>
      <c r="D271" t="inlineStr">
        <is>
          <t>technology</t>
        </is>
      </c>
      <c r="E271" t="inlineStr">
        <is>
          <t>SHOPIFY</t>
        </is>
      </c>
      <c r="F271" t="inlineStr"/>
      <c r="G271" s="50" t="n">
        <v>3414.06</v>
      </c>
      <c r="H271" t="inlineStr">
        <is>
          <t>USD</t>
        </is>
      </c>
      <c r="I271" t="inlineStr">
        <is>
          <t>EUR</t>
        </is>
      </c>
      <c r="J271" s="51" t="n">
        <v>0.8588114100000001</v>
      </c>
      <c r="K271" s="50" t="n">
        <v>2932.03</v>
      </c>
      <c r="L271" t="inlineStr">
        <is>
          <t>documents</t>
        </is>
      </c>
      <c r="M271" s="52" t="inlineStr">
        <is>
          <t>534910059</t>
        </is>
      </c>
      <c r="N271" t="inlineStr">
        <is>
          <t>https://drive.google.com/file/d/1I5esD7OaLVAKRYj9ckZYZ6toIR7o-SI6/view?usp=drivesdk</t>
        </is>
      </c>
    </row>
    <row r="272" ht="12" customHeight="1">
      <c r="A272" t="inlineStr">
        <is>
          <t>202605</t>
        </is>
      </c>
      <c r="B272" t="inlineStr">
        <is>
          <t>SL</t>
        </is>
      </c>
      <c r="C272" t="inlineStr">
        <is>
          <t>opex</t>
        </is>
      </c>
      <c r="D272" t="inlineStr">
        <is>
          <t>technology</t>
        </is>
      </c>
      <c r="E272" t="inlineStr">
        <is>
          <t>SYNCWITH</t>
        </is>
      </c>
      <c r="F272" t="inlineStr"/>
      <c r="G272" s="50" t="n">
        <v>24.99</v>
      </c>
      <c r="H272" t="inlineStr">
        <is>
          <t>USD</t>
        </is>
      </c>
      <c r="I272" t="inlineStr">
        <is>
          <t>EUR</t>
        </is>
      </c>
      <c r="J272" s="51" t="n">
        <v>0.8588114100000001</v>
      </c>
      <c r="K272" s="50" t="n">
        <v>21.46</v>
      </c>
      <c r="L272" t="inlineStr">
        <is>
          <t>documents</t>
        </is>
      </c>
      <c r="M272" s="52" t="inlineStr">
        <is>
          <t>TADGCDFS-0004</t>
        </is>
      </c>
      <c r="N272" t="inlineStr">
        <is>
          <t>https://drive.google.com/file/d/1LMO7OS2rbiaeagVAVFsiylZfpXX1lH_u/view?usp=drivesdk</t>
        </is>
      </c>
    </row>
    <row r="273" ht="12" customHeight="1">
      <c r="A273" t="inlineStr">
        <is>
          <t>202605</t>
        </is>
      </c>
      <c r="B273" t="inlineStr">
        <is>
          <t>SL</t>
        </is>
      </c>
      <c r="C273" t="inlineStr">
        <is>
          <t>opex</t>
        </is>
      </c>
      <c r="D273" t="inlineStr">
        <is>
          <t>administration</t>
        </is>
      </c>
      <c r="E273" t="inlineStr">
        <is>
          <t>TORRAS</t>
        </is>
      </c>
      <c r="F273" t="inlineStr"/>
      <c r="G273" s="50" t="n">
        <v>15</v>
      </c>
      <c r="H273" t="inlineStr">
        <is>
          <t>EUR</t>
        </is>
      </c>
      <c r="I273" t="inlineStr">
        <is>
          <t>EUR</t>
        </is>
      </c>
      <c r="J273" s="51" t="n">
        <v>1</v>
      </c>
      <c r="K273" s="50" t="n">
        <v>15</v>
      </c>
      <c r="L273" t="inlineStr">
        <is>
          <t>documents</t>
        </is>
      </c>
      <c r="M273" s="52" t="inlineStr">
        <is>
          <t>7/1718</t>
        </is>
      </c>
      <c r="N273" t="inlineStr">
        <is>
          <t>https://drive.google.com/file/d/1Q405vsSfYfRhdVVYDxke8jCy8cwxN9_Z/view?usp=drivesdk</t>
        </is>
      </c>
    </row>
    <row r="274" ht="12" customHeight="1">
      <c r="A274" t="inlineStr">
        <is>
          <t>202605</t>
        </is>
      </c>
      <c r="B274" t="inlineStr">
        <is>
          <t>SL</t>
        </is>
      </c>
      <c r="C274" t="inlineStr">
        <is>
          <t>cogs</t>
        </is>
      </c>
      <c r="D274" t="inlineStr">
        <is>
          <t>logistics</t>
        </is>
      </c>
      <c r="E274" t="inlineStr">
        <is>
          <t>UPS</t>
        </is>
      </c>
      <c r="F274" t="inlineStr"/>
      <c r="G274" s="50" t="n">
        <v>314.97</v>
      </c>
      <c r="H274" t="inlineStr">
        <is>
          <t>EUR</t>
        </is>
      </c>
      <c r="I274" t="inlineStr">
        <is>
          <t>EUR</t>
        </is>
      </c>
      <c r="J274" s="51" t="n">
        <v>1</v>
      </c>
      <c r="K274" s="50" t="n">
        <v>314.97</v>
      </c>
      <c r="L274" t="inlineStr">
        <is>
          <t>documents</t>
        </is>
      </c>
      <c r="M274" s="52" t="inlineStr">
        <is>
          <t>327484032</t>
        </is>
      </c>
      <c r="N274" t="inlineStr">
        <is>
          <t>https://drive.google.com/file/d/10g_MKbJ2ynAeEw3uKKeBMDrAGhJT8Sly/view?usp=drivesdk</t>
        </is>
      </c>
    </row>
    <row r="275" ht="12" customHeight="1">
      <c r="A275" t="inlineStr">
        <is>
          <t>202605</t>
        </is>
      </c>
      <c r="B275" t="inlineStr">
        <is>
          <t>SL</t>
        </is>
      </c>
      <c r="C275" t="inlineStr">
        <is>
          <t>cogs</t>
        </is>
      </c>
      <c r="D275" t="inlineStr">
        <is>
          <t>logistics</t>
        </is>
      </c>
      <c r="E275" t="inlineStr">
        <is>
          <t>UPS</t>
        </is>
      </c>
      <c r="F275" t="inlineStr"/>
      <c r="G275" s="50" t="n">
        <v>310.8</v>
      </c>
      <c r="H275" t="inlineStr">
        <is>
          <t>EUR</t>
        </is>
      </c>
      <c r="I275" t="inlineStr">
        <is>
          <t>EUR</t>
        </is>
      </c>
      <c r="J275" s="51" t="n">
        <v>1</v>
      </c>
      <c r="K275" s="50" t="n">
        <v>310.8</v>
      </c>
      <c r="L275" t="inlineStr">
        <is>
          <t>documents</t>
        </is>
      </c>
      <c r="M275" s="52" t="inlineStr">
        <is>
          <t>327515807</t>
        </is>
      </c>
      <c r="N275" t="inlineStr">
        <is>
          <t>https://drive.google.com/file/d/1vDGaym77kIhqv5trImCduBji7GaUBKYT/view?usp=drivesdk</t>
        </is>
      </c>
    </row>
    <row r="276" ht="12" customHeight="1">
      <c r="A276" t="inlineStr">
        <is>
          <t>202605</t>
        </is>
      </c>
      <c r="B276" t="inlineStr">
        <is>
          <t>SL</t>
        </is>
      </c>
      <c r="C276" t="inlineStr">
        <is>
          <t>cogs</t>
        </is>
      </c>
      <c r="D276" t="inlineStr">
        <is>
          <t>logistics</t>
        </is>
      </c>
      <c r="E276" t="inlineStr">
        <is>
          <t>UPS</t>
        </is>
      </c>
      <c r="F276" t="inlineStr"/>
      <c r="G276" s="50" t="n">
        <v>607.5599999999999</v>
      </c>
      <c r="H276" t="inlineStr">
        <is>
          <t>EUR</t>
        </is>
      </c>
      <c r="I276" t="inlineStr">
        <is>
          <t>EUR</t>
        </is>
      </c>
      <c r="J276" s="51" t="n">
        <v>1</v>
      </c>
      <c r="K276" s="50" t="n">
        <v>607.5599999999999</v>
      </c>
      <c r="L276" t="inlineStr">
        <is>
          <t>documents</t>
        </is>
      </c>
      <c r="M276" s="52" t="inlineStr">
        <is>
          <t>327547892</t>
        </is>
      </c>
      <c r="N276" t="inlineStr">
        <is>
          <t>https://drive.google.com/file/d/1u5uA6L_xghfRuzQ3HCjvU2RQoA-nK6Le/view?usp=drivesdk</t>
        </is>
      </c>
    </row>
    <row r="277" ht="12" customHeight="1">
      <c r="A277" t="inlineStr">
        <is>
          <t>202605</t>
        </is>
      </c>
      <c r="B277" t="inlineStr">
        <is>
          <t>SL</t>
        </is>
      </c>
      <c r="C277" t="inlineStr">
        <is>
          <t>cogs</t>
        </is>
      </c>
      <c r="D277" t="inlineStr">
        <is>
          <t>logistics</t>
        </is>
      </c>
      <c r="E277" t="inlineStr">
        <is>
          <t>UPS</t>
        </is>
      </c>
      <c r="F277" t="inlineStr"/>
      <c r="G277" s="50" t="n">
        <v>561.53</v>
      </c>
      <c r="H277" t="inlineStr">
        <is>
          <t>EUR</t>
        </is>
      </c>
      <c r="I277" t="inlineStr">
        <is>
          <t>EUR</t>
        </is>
      </c>
      <c r="J277" s="51" t="n">
        <v>1</v>
      </c>
      <c r="K277" s="50" t="n">
        <v>561.53</v>
      </c>
      <c r="L277" t="inlineStr">
        <is>
          <t>documents</t>
        </is>
      </c>
      <c r="M277" s="52" t="inlineStr">
        <is>
          <t>327578934</t>
        </is>
      </c>
      <c r="N277" t="inlineStr">
        <is>
          <t>https://drive.google.com/file/d/1CiUO_YtIF9q74J2uqmqqBgcL4mYYpDjR/view?usp=drivesdk</t>
        </is>
      </c>
    </row>
    <row r="278" ht="12" customHeight="1">
      <c r="A278" t="inlineStr">
        <is>
          <t>202605</t>
        </is>
      </c>
      <c r="B278" t="inlineStr">
        <is>
          <t>SL</t>
        </is>
      </c>
      <c r="C278" t="inlineStr">
        <is>
          <t>cogs</t>
        </is>
      </c>
      <c r="D278" t="inlineStr">
        <is>
          <t>logistics</t>
        </is>
      </c>
      <c r="E278" t="inlineStr">
        <is>
          <t>UPS</t>
        </is>
      </c>
      <c r="F278" t="inlineStr"/>
      <c r="G278" s="50" t="n">
        <v>5.03</v>
      </c>
      <c r="H278" t="inlineStr">
        <is>
          <t>EUR</t>
        </is>
      </c>
      <c r="I278" t="inlineStr">
        <is>
          <t>EUR</t>
        </is>
      </c>
      <c r="J278" s="51" t="n">
        <v>1</v>
      </c>
      <c r="K278" s="50" t="n">
        <v>5.03</v>
      </c>
      <c r="L278" t="inlineStr">
        <is>
          <t>documents</t>
        </is>
      </c>
      <c r="M278" s="52" t="inlineStr">
        <is>
          <t>838555914</t>
        </is>
      </c>
      <c r="N278" t="inlineStr">
        <is>
          <t>https://drive.google.com/file/d/15Eg1uHVxRWpncSLvdw4FekYjXjrhyxUU/view?usp=drivesdk</t>
        </is>
      </c>
    </row>
    <row r="279" ht="12" customHeight="1">
      <c r="A279" t="inlineStr">
        <is>
          <t>202605</t>
        </is>
      </c>
      <c r="B279" t="inlineStr">
        <is>
          <t>SL</t>
        </is>
      </c>
      <c r="C279" t="inlineStr">
        <is>
          <t>opex</t>
        </is>
      </c>
      <c r="D279" t="inlineStr">
        <is>
          <t>technology</t>
        </is>
      </c>
      <c r="E279" t="inlineStr">
        <is>
          <t>YUMAAI</t>
        </is>
      </c>
      <c r="F279" t="inlineStr"/>
      <c r="G279" s="50" t="n">
        <v>440</v>
      </c>
      <c r="H279" t="inlineStr">
        <is>
          <t>EUR</t>
        </is>
      </c>
      <c r="I279" t="inlineStr">
        <is>
          <t>EUR</t>
        </is>
      </c>
      <c r="J279" s="51" t="n">
        <v>1</v>
      </c>
      <c r="K279" s="50" t="n">
        <v>440</v>
      </c>
      <c r="L279" t="inlineStr">
        <is>
          <t>documents</t>
        </is>
      </c>
      <c r="M279" s="52" t="inlineStr">
        <is>
          <t>OQXBYXMP-0008</t>
        </is>
      </c>
      <c r="N279" t="inlineStr">
        <is>
          <t>https://drive.google.com/file/d/1kx8vxFuCt9So8IfVCfmYYTqTZz0ESt9s/view?usp=drivesdk</t>
        </is>
      </c>
    </row>
    <row r="280" ht="12" customHeight="1">
      <c r="A280" t="inlineStr">
        <is>
          <t>202606</t>
        </is>
      </c>
      <c r="B280" t="inlineStr">
        <is>
          <t>SL</t>
        </is>
      </c>
      <c r="C280" t="inlineStr">
        <is>
          <t>opex</t>
        </is>
      </c>
      <c r="D280" t="inlineStr">
        <is>
          <t>technology</t>
        </is>
      </c>
      <c r="E280" t="inlineStr">
        <is>
          <t>ADOBE</t>
        </is>
      </c>
      <c r="F280" t="inlineStr"/>
      <c r="G280" s="50" t="n">
        <v>33.49</v>
      </c>
      <c r="H280" t="inlineStr">
        <is>
          <t>EUR</t>
        </is>
      </c>
      <c r="I280" t="inlineStr">
        <is>
          <t>EUR</t>
        </is>
      </c>
      <c r="J280" s="51" t="n">
        <v>1</v>
      </c>
      <c r="K280" s="50" t="n">
        <v>33.49</v>
      </c>
      <c r="L280" t="inlineStr">
        <is>
          <t>documents</t>
        </is>
      </c>
      <c r="M280" s="52" t="inlineStr">
        <is>
          <t>IEE2026012043548</t>
        </is>
      </c>
      <c r="N280" t="inlineStr">
        <is>
          <t>https://drive.google.com/file/d/1mRyormfjSBBmhVfcKVXMR3rVYpt5mT-e/view?usp=drivesdk</t>
        </is>
      </c>
    </row>
    <row r="281" ht="12" customHeight="1">
      <c r="A281" t="inlineStr">
        <is>
          <t>202606</t>
        </is>
      </c>
      <c r="B281" t="inlineStr">
        <is>
          <t>SL</t>
        </is>
      </c>
      <c r="C281" t="inlineStr">
        <is>
          <t>cogs</t>
        </is>
      </c>
      <c r="D281" t="inlineStr">
        <is>
          <t>manufacturing</t>
        </is>
      </c>
      <c r="E281" t="inlineStr">
        <is>
          <t>APPHOTOCAN</t>
        </is>
      </c>
      <c r="F281" t="inlineStr"/>
      <c r="G281" s="50" t="n">
        <v>73.16</v>
      </c>
      <c r="H281" t="inlineStr">
        <is>
          <t>EUR</t>
        </is>
      </c>
      <c r="I281" t="inlineStr">
        <is>
          <t>EUR</t>
        </is>
      </c>
      <c r="J281" s="51" t="n">
        <v>1</v>
      </c>
      <c r="K281" s="50" t="n">
        <v>73.16</v>
      </c>
      <c r="L281" t="inlineStr">
        <is>
          <t>documents</t>
        </is>
      </c>
      <c r="M281" s="52" t="inlineStr">
        <is>
          <t>26-1-1330</t>
        </is>
      </c>
      <c r="N281" t="inlineStr">
        <is>
          <t>https://drive.google.com/file/d/1kVF50XDnWHzX2qZrRhMkhzk0VWgAmaZp/view?usp=drivesdk</t>
        </is>
      </c>
    </row>
    <row r="282" ht="12" customHeight="1">
      <c r="A282" t="inlineStr">
        <is>
          <t>202606</t>
        </is>
      </c>
      <c r="B282" t="inlineStr">
        <is>
          <t>SL</t>
        </is>
      </c>
      <c r="C282" t="inlineStr">
        <is>
          <t>cogs</t>
        </is>
      </c>
      <c r="D282" t="inlineStr">
        <is>
          <t>manufacturing</t>
        </is>
      </c>
      <c r="E282" t="inlineStr">
        <is>
          <t>APPHOTOES</t>
        </is>
      </c>
      <c r="F282" t="inlineStr"/>
      <c r="G282" s="50" t="n">
        <v>586.92</v>
      </c>
      <c r="H282" t="inlineStr">
        <is>
          <t>EUR</t>
        </is>
      </c>
      <c r="I282" t="inlineStr">
        <is>
          <t>EUR</t>
        </is>
      </c>
      <c r="J282" s="51" t="n">
        <v>1</v>
      </c>
      <c r="K282" s="50" t="n">
        <v>586.92</v>
      </c>
      <c r="L282" t="inlineStr">
        <is>
          <t>documents</t>
        </is>
      </c>
      <c r="M282" s="52" t="inlineStr">
        <is>
          <t>1-7219</t>
        </is>
      </c>
      <c r="N282" t="inlineStr">
        <is>
          <t>https://drive.google.com/file/d/1HHH8nERBHqYUnyXMXrQOYK5J3yH48gIP/view?usp=drivesdk</t>
        </is>
      </c>
    </row>
    <row r="283" ht="12" customHeight="1">
      <c r="A283" t="inlineStr">
        <is>
          <t>202606</t>
        </is>
      </c>
      <c r="B283" t="inlineStr">
        <is>
          <t>SL</t>
        </is>
      </c>
      <c r="C283" t="inlineStr">
        <is>
          <t>cogs</t>
        </is>
      </c>
      <c r="D283" t="inlineStr">
        <is>
          <t>manufacturing</t>
        </is>
      </c>
      <c r="E283" t="inlineStr">
        <is>
          <t>APPHOTOES</t>
        </is>
      </c>
      <c r="F283" t="inlineStr"/>
      <c r="G283" s="50" t="n">
        <v>6766.71</v>
      </c>
      <c r="H283" t="inlineStr">
        <is>
          <t>EUR</t>
        </is>
      </c>
      <c r="I283" t="inlineStr">
        <is>
          <t>EUR</t>
        </is>
      </c>
      <c r="J283" s="51" t="n">
        <v>1</v>
      </c>
      <c r="K283" s="50" t="n">
        <v>6766.71</v>
      </c>
      <c r="L283" t="inlineStr">
        <is>
          <t>documents</t>
        </is>
      </c>
      <c r="M283" s="52" t="inlineStr">
        <is>
          <t>1-7585</t>
        </is>
      </c>
      <c r="N283" t="inlineStr">
        <is>
          <t>https://drive.google.com/file/d/1PXxDBRRsN2X0xrVa9QNwTz3UogsXyeWB/view?usp=drivesdk</t>
        </is>
      </c>
    </row>
    <row r="284" ht="12" customHeight="1">
      <c r="A284" t="inlineStr">
        <is>
          <t>202606</t>
        </is>
      </c>
      <c r="B284" t="inlineStr">
        <is>
          <t>SL</t>
        </is>
      </c>
      <c r="C284" t="inlineStr">
        <is>
          <t>cogs</t>
        </is>
      </c>
      <c r="D284" t="inlineStr">
        <is>
          <t>manufacturing</t>
        </is>
      </c>
      <c r="E284" t="inlineStr">
        <is>
          <t>APPHOTOES</t>
        </is>
      </c>
      <c r="F284" t="inlineStr"/>
      <c r="G284" s="50" t="n">
        <v>3403.56</v>
      </c>
      <c r="H284" t="inlineStr">
        <is>
          <t>EUR</t>
        </is>
      </c>
      <c r="I284" t="inlineStr">
        <is>
          <t>EUR</t>
        </is>
      </c>
      <c r="J284" s="51" t="n">
        <v>1</v>
      </c>
      <c r="K284" s="50" t="n">
        <v>3403.56</v>
      </c>
      <c r="L284" t="inlineStr">
        <is>
          <t>documents</t>
        </is>
      </c>
      <c r="M284" s="52" t="inlineStr">
        <is>
          <t>1-8004</t>
        </is>
      </c>
      <c r="N284" t="inlineStr">
        <is>
          <t>https://drive.google.com/file/d/1Fx5Rw1EWH7fs1PfneeIGuBXLkMHpHV51/view?usp=drivesdk</t>
        </is>
      </c>
    </row>
    <row r="285" ht="12" customHeight="1">
      <c r="A285" t="inlineStr">
        <is>
          <t>202606</t>
        </is>
      </c>
      <c r="B285" t="inlineStr">
        <is>
          <t>SL</t>
        </is>
      </c>
      <c r="C285" t="inlineStr">
        <is>
          <t>cogs</t>
        </is>
      </c>
      <c r="D285" t="inlineStr">
        <is>
          <t>manufacturing</t>
        </is>
      </c>
      <c r="E285" t="inlineStr">
        <is>
          <t>APPHOTOES</t>
        </is>
      </c>
      <c r="F285" t="inlineStr"/>
      <c r="G285" s="50" t="n">
        <v>4634.34</v>
      </c>
      <c r="H285" t="inlineStr">
        <is>
          <t>EUR</t>
        </is>
      </c>
      <c r="I285" t="inlineStr">
        <is>
          <t>EUR</t>
        </is>
      </c>
      <c r="J285" s="51" t="n">
        <v>1</v>
      </c>
      <c r="K285" s="50" t="n">
        <v>4634.34</v>
      </c>
      <c r="L285" t="inlineStr">
        <is>
          <t>documents</t>
        </is>
      </c>
      <c r="M285" s="52" t="inlineStr">
        <is>
          <t>1-8503</t>
        </is>
      </c>
      <c r="N285" t="inlineStr">
        <is>
          <t>https://drive.google.com/file/d/1X457_NoitFdIi2nH1lGFMbhKad4ZArk7/view?usp=drivesdk</t>
        </is>
      </c>
    </row>
    <row r="286" ht="12" customHeight="1">
      <c r="A286" t="inlineStr">
        <is>
          <t>202606</t>
        </is>
      </c>
      <c r="B286" t="inlineStr">
        <is>
          <t>SL</t>
        </is>
      </c>
      <c r="C286" t="inlineStr">
        <is>
          <t>cogs</t>
        </is>
      </c>
      <c r="D286" t="inlineStr">
        <is>
          <t>manufacturing</t>
        </is>
      </c>
      <c r="E286" t="inlineStr">
        <is>
          <t>ARTLINK</t>
        </is>
      </c>
      <c r="F286" t="inlineStr">
        <is>
          <t>logistics</t>
        </is>
      </c>
      <c r="G286" s="50" t="n">
        <v>705.4</v>
      </c>
      <c r="H286" t="inlineStr">
        <is>
          <t>EUR</t>
        </is>
      </c>
      <c r="I286" t="inlineStr">
        <is>
          <t>EUR</t>
        </is>
      </c>
      <c r="J286" s="51" t="n">
        <v>1</v>
      </c>
      <c r="K286" s="50" t="n">
        <v>705.4</v>
      </c>
      <c r="L286" t="inlineStr">
        <is>
          <t>documents</t>
        </is>
      </c>
      <c r="M286" s="52" t="inlineStr">
        <is>
          <t>000205191</t>
        </is>
      </c>
      <c r="N286" t="inlineStr">
        <is>
          <t>https://drive.google.com/file/d/1hqmssZhpCe4dGP_xDDgQURd83zkjequL/view?usp=drivesdk</t>
        </is>
      </c>
    </row>
    <row r="287" ht="12" customHeight="1">
      <c r="A287" t="inlineStr">
        <is>
          <t>202606</t>
        </is>
      </c>
      <c r="B287" t="inlineStr">
        <is>
          <t>SL</t>
        </is>
      </c>
      <c r="C287" t="inlineStr">
        <is>
          <t>opex</t>
        </is>
      </c>
      <c r="D287" t="inlineStr">
        <is>
          <t>administration</t>
        </is>
      </c>
      <c r="E287" t="inlineStr">
        <is>
          <t>BBVACNC</t>
        </is>
      </c>
      <c r="F287" t="inlineStr"/>
      <c r="G287" s="50" t="n">
        <v>1644.62</v>
      </c>
      <c r="H287" t="inlineStr">
        <is>
          <t>EUR</t>
        </is>
      </c>
      <c r="I287" t="inlineStr">
        <is>
          <t>EUR</t>
        </is>
      </c>
      <c r="J287" s="51" t="n">
        <v>1</v>
      </c>
      <c r="K287" s="50" t="n">
        <v>1644.62</v>
      </c>
      <c r="L287" t="inlineStr">
        <is>
          <t>documents</t>
        </is>
      </c>
      <c r="M287" s="52" t="inlineStr">
        <is>
          <t>260992A00266172</t>
        </is>
      </c>
      <c r="N287" t="inlineStr">
        <is>
          <t>https://drive.google.com/file/d/1RIY2oBQdXguWBqOiSH7du4GMV6jtmLI4/view?usp=drivesdk</t>
        </is>
      </c>
    </row>
    <row r="288" ht="12" customHeight="1">
      <c r="A288" t="inlineStr">
        <is>
          <t>202606</t>
        </is>
      </c>
      <c r="B288" t="inlineStr">
        <is>
          <t>SL</t>
        </is>
      </c>
      <c r="C288" t="inlineStr">
        <is>
          <t>opex</t>
        </is>
      </c>
      <c r="D288" t="inlineStr">
        <is>
          <t>technology</t>
        </is>
      </c>
      <c r="E288" t="inlineStr">
        <is>
          <t>CANVA</t>
        </is>
      </c>
      <c r="F288" t="inlineStr"/>
      <c r="G288" s="50" t="n">
        <v>9.91</v>
      </c>
      <c r="H288" t="inlineStr">
        <is>
          <t>EUR</t>
        </is>
      </c>
      <c r="I288" t="inlineStr">
        <is>
          <t>EUR</t>
        </is>
      </c>
      <c r="J288" s="51" t="n">
        <v>1</v>
      </c>
      <c r="K288" s="50" t="n">
        <v>9.91</v>
      </c>
      <c r="L288" t="inlineStr">
        <is>
          <t>documents</t>
        </is>
      </c>
      <c r="M288" s="52" t="inlineStr">
        <is>
          <t>04916-47504425</t>
        </is>
      </c>
      <c r="N288" t="inlineStr">
        <is>
          <t>https://drive.google.com/file/d/1QR0OLJmOG-fpBOFDjOdrllVqOhz_kmP2/view?usp=drivesdk</t>
        </is>
      </c>
    </row>
    <row r="289" ht="12" customHeight="1">
      <c r="A289" t="inlineStr">
        <is>
          <t>202606</t>
        </is>
      </c>
      <c r="B289" t="inlineStr">
        <is>
          <t>SL</t>
        </is>
      </c>
      <c r="C289" t="inlineStr">
        <is>
          <t>opex</t>
        </is>
      </c>
      <c r="D289" t="inlineStr">
        <is>
          <t>administration</t>
        </is>
      </c>
      <c r="E289" t="inlineStr">
        <is>
          <t>CLARIS</t>
        </is>
      </c>
      <c r="F289" t="inlineStr"/>
      <c r="G289" s="50" t="n">
        <v>808.08</v>
      </c>
      <c r="H289" t="inlineStr">
        <is>
          <t>EUR</t>
        </is>
      </c>
      <c r="I289" t="inlineStr">
        <is>
          <t>EUR</t>
        </is>
      </c>
      <c r="J289" s="51" t="n">
        <v>1</v>
      </c>
      <c r="K289" s="50" t="n">
        <v>808.08</v>
      </c>
      <c r="L289" t="inlineStr">
        <is>
          <t>documents</t>
        </is>
      </c>
      <c r="M289" s="52" t="inlineStr">
        <is>
          <t>F01883/26</t>
        </is>
      </c>
      <c r="N289" t="inlineStr">
        <is>
          <t>https://drive.google.com/file/d/1Zgnmha_ZmBwHV-yowLzjWIXmusIoHbWi/view?usp=drivesdk</t>
        </is>
      </c>
    </row>
    <row r="290" ht="12" customHeight="1">
      <c r="A290" t="inlineStr">
        <is>
          <t>202606</t>
        </is>
      </c>
      <c r="B290" t="inlineStr">
        <is>
          <t>SL</t>
        </is>
      </c>
      <c r="C290" t="inlineStr">
        <is>
          <t>cogs</t>
        </is>
      </c>
      <c r="D290" t="inlineStr">
        <is>
          <t>logistics</t>
        </is>
      </c>
      <c r="E290" t="inlineStr">
        <is>
          <t>CORREOS</t>
        </is>
      </c>
      <c r="F290" t="inlineStr"/>
      <c r="G290" s="50" t="n">
        <v>107.22</v>
      </c>
      <c r="H290" t="inlineStr">
        <is>
          <t>EUR</t>
        </is>
      </c>
      <c r="I290" t="inlineStr">
        <is>
          <t>EUR</t>
        </is>
      </c>
      <c r="J290" s="51" t="n">
        <v>1</v>
      </c>
      <c r="K290" s="50" t="n">
        <v>107.22</v>
      </c>
      <c r="L290" t="inlineStr">
        <is>
          <t>documents</t>
        </is>
      </c>
      <c r="M290" s="52" t="inlineStr">
        <is>
          <t>4004736998</t>
        </is>
      </c>
      <c r="N290" t="inlineStr">
        <is>
          <t>https://drive.google.com/file/d/12KJlRIwF__AoW47dDBPexKCiXUNO81Lg/view?usp=drivesdk</t>
        </is>
      </c>
    </row>
    <row r="291" ht="12" customHeight="1">
      <c r="A291" t="inlineStr">
        <is>
          <t>202606</t>
        </is>
      </c>
      <c r="B291" t="inlineStr">
        <is>
          <t>SL</t>
        </is>
      </c>
      <c r="C291" t="inlineStr">
        <is>
          <t>cogs</t>
        </is>
      </c>
      <c r="D291" t="inlineStr">
        <is>
          <t>logistics</t>
        </is>
      </c>
      <c r="E291" t="inlineStr">
        <is>
          <t>CORREOSCAN</t>
        </is>
      </c>
      <c r="F291" t="inlineStr"/>
      <c r="G291" s="50" t="n">
        <v>20.59</v>
      </c>
      <c r="H291" t="inlineStr">
        <is>
          <t>EUR</t>
        </is>
      </c>
      <c r="I291" t="inlineStr">
        <is>
          <t>EUR</t>
        </is>
      </c>
      <c r="J291" s="51" t="n">
        <v>1</v>
      </c>
      <c r="K291" s="50" t="n">
        <v>20.59</v>
      </c>
      <c r="L291" t="inlineStr">
        <is>
          <t>documents</t>
        </is>
      </c>
      <c r="M291" s="52" t="inlineStr">
        <is>
          <t>4004736997</t>
        </is>
      </c>
      <c r="N291" t="inlineStr">
        <is>
          <t>https://drive.google.com/file/d/1W0DeFOcV_D2WbXs_E7sXmYfSJicNrQzV/view?usp=drivesdk</t>
        </is>
      </c>
    </row>
    <row r="292" ht="12" customHeight="1">
      <c r="A292" t="inlineStr">
        <is>
          <t>202606</t>
        </is>
      </c>
      <c r="B292" t="inlineStr">
        <is>
          <t>SL</t>
        </is>
      </c>
      <c r="C292" t="inlineStr">
        <is>
          <t>cogs</t>
        </is>
      </c>
      <c r="D292" t="inlineStr">
        <is>
          <t>manufacturing</t>
        </is>
      </c>
      <c r="E292" t="inlineStr">
        <is>
          <t>DCT</t>
        </is>
      </c>
      <c r="F292" t="inlineStr"/>
      <c r="G292" s="50" t="n">
        <v>3032.69</v>
      </c>
      <c r="H292" t="inlineStr">
        <is>
          <t>EUR</t>
        </is>
      </c>
      <c r="I292" t="inlineStr">
        <is>
          <t>EUR</t>
        </is>
      </c>
      <c r="J292" s="51" t="n">
        <v>1</v>
      </c>
      <c r="K292" s="50" t="n">
        <v>3032.69</v>
      </c>
      <c r="L292" t="inlineStr">
        <is>
          <t>documents</t>
        </is>
      </c>
      <c r="M292" s="52" t="inlineStr">
        <is>
          <t>26-1058</t>
        </is>
      </c>
      <c r="N292" t="inlineStr">
        <is>
          <t>https://drive.google.com/file/d/1hqT6yrDxExqJuTIMD80V6gt93ysSwHXN/view?usp=drivesdk</t>
        </is>
      </c>
    </row>
    <row r="293" ht="12" customHeight="1">
      <c r="A293" t="inlineStr">
        <is>
          <t>202606</t>
        </is>
      </c>
      <c r="B293" t="inlineStr">
        <is>
          <t>SL</t>
        </is>
      </c>
      <c r="C293" t="inlineStr">
        <is>
          <t>cogs</t>
        </is>
      </c>
      <c r="D293" t="inlineStr">
        <is>
          <t>manufacturing</t>
        </is>
      </c>
      <c r="E293" t="inlineStr">
        <is>
          <t>DCT</t>
        </is>
      </c>
      <c r="F293" t="inlineStr"/>
      <c r="G293" s="50" t="n">
        <v>1921.75</v>
      </c>
      <c r="H293" t="inlineStr">
        <is>
          <t>EUR</t>
        </is>
      </c>
      <c r="I293" t="inlineStr">
        <is>
          <t>EUR</t>
        </is>
      </c>
      <c r="J293" s="51" t="n">
        <v>1</v>
      </c>
      <c r="K293" s="50" t="n">
        <v>1921.75</v>
      </c>
      <c r="L293" t="inlineStr">
        <is>
          <t>documents</t>
        </is>
      </c>
      <c r="M293" s="52" t="inlineStr">
        <is>
          <t>26-1167</t>
        </is>
      </c>
      <c r="N293" t="inlineStr">
        <is>
          <t>https://drive.google.com/file/d/1jSTtWTTNJX_JJ-yuq0H1w4dBM1fToU__/view?usp=drivesdk</t>
        </is>
      </c>
    </row>
    <row r="294" ht="12" customHeight="1">
      <c r="A294" t="inlineStr">
        <is>
          <t>202606</t>
        </is>
      </c>
      <c r="B294" t="inlineStr">
        <is>
          <t>SL</t>
        </is>
      </c>
      <c r="C294" t="inlineStr">
        <is>
          <t>cogs</t>
        </is>
      </c>
      <c r="D294" t="inlineStr">
        <is>
          <t>manufacturing</t>
        </is>
      </c>
      <c r="E294" t="inlineStr">
        <is>
          <t>DCT</t>
        </is>
      </c>
      <c r="F294" t="inlineStr"/>
      <c r="G294" s="50" t="n">
        <v>45</v>
      </c>
      <c r="H294" t="inlineStr">
        <is>
          <t>EUR</t>
        </is>
      </c>
      <c r="I294" t="inlineStr">
        <is>
          <t>EUR</t>
        </is>
      </c>
      <c r="J294" s="51" t="n">
        <v>1</v>
      </c>
      <c r="K294" s="50" t="n">
        <v>45</v>
      </c>
      <c r="L294" t="inlineStr">
        <is>
          <t>documents</t>
        </is>
      </c>
      <c r="M294" s="52" t="inlineStr">
        <is>
          <t>26-1174</t>
        </is>
      </c>
      <c r="N294" t="inlineStr">
        <is>
          <t>https://drive.google.com/file/d/1QgvPkQKQ9LQG_WZIlizNT5H5nDUi9z2w/view?usp=drivesdk</t>
        </is>
      </c>
    </row>
    <row r="295" ht="12" customHeight="1">
      <c r="A295" t="inlineStr">
        <is>
          <t>202606</t>
        </is>
      </c>
      <c r="B295" t="inlineStr">
        <is>
          <t>SL</t>
        </is>
      </c>
      <c r="C295" t="inlineStr">
        <is>
          <t>cogs</t>
        </is>
      </c>
      <c r="D295" t="inlineStr">
        <is>
          <t>logistics</t>
        </is>
      </c>
      <c r="E295" t="inlineStr">
        <is>
          <t>GLS</t>
        </is>
      </c>
      <c r="F295" t="inlineStr"/>
      <c r="G295" s="50" t="n">
        <v>12799.04</v>
      </c>
      <c r="H295" t="inlineStr">
        <is>
          <t>EUR</t>
        </is>
      </c>
      <c r="I295" t="inlineStr">
        <is>
          <t>EUR</t>
        </is>
      </c>
      <c r="J295" s="51" t="n">
        <v>1</v>
      </c>
      <c r="K295" s="50" t="n">
        <v>12799.04</v>
      </c>
      <c r="L295" t="inlineStr">
        <is>
          <t>documents</t>
        </is>
      </c>
      <c r="M295" s="52" t="inlineStr">
        <is>
          <t>20260344</t>
        </is>
      </c>
      <c r="N295" t="inlineStr">
        <is>
          <t>https://drive.google.com/file/d/1_jJpSoO4g422M-vUT42eU3r8d2InRqXT/view?usp=drivesdk</t>
        </is>
      </c>
    </row>
    <row r="296" ht="12" customHeight="1">
      <c r="A296" t="inlineStr">
        <is>
          <t>202606</t>
        </is>
      </c>
      <c r="B296" t="inlineStr">
        <is>
          <t>SL</t>
        </is>
      </c>
      <c r="C296" t="inlineStr">
        <is>
          <t>opex</t>
        </is>
      </c>
      <c r="D296" t="inlineStr">
        <is>
          <t>technology</t>
        </is>
      </c>
      <c r="E296" t="inlineStr">
        <is>
          <t>GODADDY</t>
        </is>
      </c>
      <c r="F296" t="inlineStr"/>
      <c r="G296" s="50" t="n">
        <v>15.54</v>
      </c>
      <c r="H296" t="inlineStr">
        <is>
          <t>EUR</t>
        </is>
      </c>
      <c r="I296" t="inlineStr">
        <is>
          <t>EUR</t>
        </is>
      </c>
      <c r="J296" s="51" t="n">
        <v>1</v>
      </c>
      <c r="K296" s="50" t="n">
        <v>15.54</v>
      </c>
      <c r="L296" t="inlineStr">
        <is>
          <t>documents</t>
        </is>
      </c>
      <c r="M296" s="52" t="inlineStr">
        <is>
          <t>4098596043</t>
        </is>
      </c>
      <c r="N296" t="inlineStr">
        <is>
          <t>https://drive.google.com/file/d/1nK8qzYS78JDK7Bdq5-KChTjB7Lmq0SHE/view?usp=drivesdk</t>
        </is>
      </c>
    </row>
    <row r="297" ht="12" customHeight="1">
      <c r="A297" t="inlineStr">
        <is>
          <t>202606</t>
        </is>
      </c>
      <c r="B297" t="inlineStr">
        <is>
          <t>SL</t>
        </is>
      </c>
      <c r="C297" t="inlineStr">
        <is>
          <t>opex</t>
        </is>
      </c>
      <c r="D297" t="inlineStr">
        <is>
          <t>technology</t>
        </is>
      </c>
      <c r="E297" t="inlineStr">
        <is>
          <t>GODADDY</t>
        </is>
      </c>
      <c r="F297" t="inlineStr"/>
      <c r="G297" s="50" t="n">
        <v>-15.54</v>
      </c>
      <c r="H297" t="inlineStr">
        <is>
          <t>EUR</t>
        </is>
      </c>
      <c r="I297" t="inlineStr">
        <is>
          <t>EUR</t>
        </is>
      </c>
      <c r="J297" s="51" t="n">
        <v>1</v>
      </c>
      <c r="K297" s="50" t="n">
        <v>-15.54</v>
      </c>
      <c r="L297" t="inlineStr">
        <is>
          <t>documents</t>
        </is>
      </c>
      <c r="M297" s="52" t="inlineStr">
        <is>
          <t>4098596043R</t>
        </is>
      </c>
      <c r="N297" t="inlineStr">
        <is>
          <t>https://drive.google.com/file/d/1Bx2R5UDHjnjLdOk5EkB3gvMwBXh8QHYt/view?usp=drivesdk</t>
        </is>
      </c>
    </row>
    <row r="298" ht="12" customHeight="1">
      <c r="A298" t="inlineStr">
        <is>
          <t>202606</t>
        </is>
      </c>
      <c r="B298" t="inlineStr">
        <is>
          <t>SL</t>
        </is>
      </c>
      <c r="C298" t="inlineStr">
        <is>
          <t>opex</t>
        </is>
      </c>
      <c r="D298" t="inlineStr">
        <is>
          <t>technology</t>
        </is>
      </c>
      <c r="E298" t="inlineStr">
        <is>
          <t>GODADDY</t>
        </is>
      </c>
      <c r="F298" t="inlineStr"/>
      <c r="G298" s="50" t="n">
        <v>12.78</v>
      </c>
      <c r="H298" t="inlineStr">
        <is>
          <t>EUR</t>
        </is>
      </c>
      <c r="I298" t="inlineStr">
        <is>
          <t>EUR</t>
        </is>
      </c>
      <c r="J298" s="51" t="n">
        <v>1</v>
      </c>
      <c r="K298" s="50" t="n">
        <v>12.78</v>
      </c>
      <c r="L298" t="inlineStr">
        <is>
          <t>documents</t>
        </is>
      </c>
      <c r="M298" s="52" t="inlineStr">
        <is>
          <t>4104604840</t>
        </is>
      </c>
      <c r="N298" t="inlineStr">
        <is>
          <t>https://drive.google.com/file/d/17y5_QthnI2mCJHOPwj_c94PK56RPaBfn/view?usp=drivesdk</t>
        </is>
      </c>
    </row>
    <row r="299" ht="12" customHeight="1">
      <c r="A299" t="inlineStr">
        <is>
          <t>202606</t>
        </is>
      </c>
      <c r="B299" t="inlineStr">
        <is>
          <t>SL</t>
        </is>
      </c>
      <c r="C299" t="inlineStr">
        <is>
          <t>opex</t>
        </is>
      </c>
      <c r="D299" t="inlineStr">
        <is>
          <t>technology</t>
        </is>
      </c>
      <c r="E299" t="inlineStr">
        <is>
          <t>GODADDY</t>
        </is>
      </c>
      <c r="F299" t="inlineStr"/>
      <c r="G299" s="50" t="n">
        <v>7.99</v>
      </c>
      <c r="H299" t="inlineStr">
        <is>
          <t>EUR</t>
        </is>
      </c>
      <c r="I299" t="inlineStr">
        <is>
          <t>EUR</t>
        </is>
      </c>
      <c r="J299" s="51" t="n">
        <v>1</v>
      </c>
      <c r="K299" s="50" t="n">
        <v>7.99</v>
      </c>
      <c r="L299" t="inlineStr">
        <is>
          <t>documents</t>
        </is>
      </c>
      <c r="M299" s="52" t="inlineStr">
        <is>
          <t>4105261627</t>
        </is>
      </c>
      <c r="N299" t="inlineStr">
        <is>
          <t>https://drive.google.com/file/d/11pAMLyTBeIB39EXjc8sM29SpgvYLIfaY/view?usp=drivesdk</t>
        </is>
      </c>
    </row>
    <row r="300" ht="12" customHeight="1">
      <c r="A300" t="inlineStr">
        <is>
          <t>202606</t>
        </is>
      </c>
      <c r="B300" t="inlineStr">
        <is>
          <t>SL</t>
        </is>
      </c>
      <c r="C300" t="inlineStr">
        <is>
          <t>opex</t>
        </is>
      </c>
      <c r="D300" t="inlineStr">
        <is>
          <t>technology</t>
        </is>
      </c>
      <c r="E300" t="inlineStr">
        <is>
          <t>GODADDY</t>
        </is>
      </c>
      <c r="F300" t="inlineStr"/>
      <c r="G300" s="50" t="n">
        <v>15.5</v>
      </c>
      <c r="H300" t="inlineStr">
        <is>
          <t>EUR</t>
        </is>
      </c>
      <c r="I300" t="inlineStr">
        <is>
          <t>EUR</t>
        </is>
      </c>
      <c r="J300" s="51" t="n">
        <v>1</v>
      </c>
      <c r="K300" s="50" t="n">
        <v>15.5</v>
      </c>
      <c r="L300" t="inlineStr">
        <is>
          <t>documents</t>
        </is>
      </c>
      <c r="M300" s="52" t="inlineStr">
        <is>
          <t>4110759577</t>
        </is>
      </c>
      <c r="N300" t="inlineStr">
        <is>
          <t>https://drive.google.com/file/d/1BFEhomoajTlxiC4uPuU_lUaove7Lwfl8/view?usp=drivesdk</t>
        </is>
      </c>
    </row>
    <row r="301" ht="12" customHeight="1">
      <c r="A301" t="inlineStr">
        <is>
          <t>202606</t>
        </is>
      </c>
      <c r="B301" t="inlineStr">
        <is>
          <t>SL</t>
        </is>
      </c>
      <c r="C301" t="inlineStr">
        <is>
          <t>opex</t>
        </is>
      </c>
      <c r="D301" t="inlineStr">
        <is>
          <t>technology</t>
        </is>
      </c>
      <c r="E301" t="inlineStr">
        <is>
          <t>GODADDY</t>
        </is>
      </c>
      <c r="F301" t="inlineStr"/>
      <c r="G301" s="50" t="n">
        <v>-15.5</v>
      </c>
      <c r="H301" t="inlineStr">
        <is>
          <t>EUR</t>
        </is>
      </c>
      <c r="I301" t="inlineStr">
        <is>
          <t>EUR</t>
        </is>
      </c>
      <c r="J301" s="51" t="n">
        <v>1</v>
      </c>
      <c r="K301" s="50" t="n">
        <v>-15.5</v>
      </c>
      <c r="L301" t="inlineStr">
        <is>
          <t>documents</t>
        </is>
      </c>
      <c r="M301" s="52" t="inlineStr">
        <is>
          <t>4110759577R</t>
        </is>
      </c>
      <c r="N301" t="inlineStr">
        <is>
          <t>https://drive.google.com/file/d/1AE4790U2J2frI_OMdLO0rRWhPqUzob36/view?usp=drivesdk</t>
        </is>
      </c>
    </row>
    <row r="302" ht="12" customHeight="1">
      <c r="A302" t="inlineStr">
        <is>
          <t>202606</t>
        </is>
      </c>
      <c r="B302" t="inlineStr">
        <is>
          <t>SL</t>
        </is>
      </c>
      <c r="C302" t="inlineStr">
        <is>
          <t>opex</t>
        </is>
      </c>
      <c r="D302" t="inlineStr">
        <is>
          <t>marketing</t>
        </is>
      </c>
      <c r="E302" t="inlineStr">
        <is>
          <t>GOOGLEADS</t>
        </is>
      </c>
      <c r="F302" t="inlineStr">
        <is>
          <t>eu</t>
        </is>
      </c>
      <c r="G302" s="50" t="n">
        <v>21144.31</v>
      </c>
      <c r="H302" t="inlineStr">
        <is>
          <t>EUR</t>
        </is>
      </c>
      <c r="I302" t="inlineStr">
        <is>
          <t>EUR</t>
        </is>
      </c>
      <c r="J302" s="51" t="n">
        <v>1</v>
      </c>
      <c r="K302" s="50" t="n">
        <v>21144.31</v>
      </c>
      <c r="L302" t="inlineStr">
        <is>
          <t>documents</t>
        </is>
      </c>
      <c r="M302" s="52" t="inlineStr">
        <is>
          <t>5619418008</t>
        </is>
      </c>
      <c r="N302" t="inlineStr">
        <is>
          <t>https://drive.google.com/file/d/1d5cIQkZLHfO09p4DlMla8b30BzDilljj/view?usp=drivesdk</t>
        </is>
      </c>
    </row>
    <row r="303" ht="12" customHeight="1">
      <c r="A303" t="inlineStr">
        <is>
          <t>202606</t>
        </is>
      </c>
      <c r="B303" t="inlineStr">
        <is>
          <t>SL</t>
        </is>
      </c>
      <c r="C303" t="inlineStr">
        <is>
          <t>opex</t>
        </is>
      </c>
      <c r="D303" t="inlineStr">
        <is>
          <t>marketing</t>
        </is>
      </c>
      <c r="E303" t="inlineStr">
        <is>
          <t>GOOGLEADS</t>
        </is>
      </c>
      <c r="F303" t="inlineStr">
        <is>
          <t>uk</t>
        </is>
      </c>
      <c r="G303" s="50" t="n">
        <v>4506.03</v>
      </c>
      <c r="H303" t="inlineStr">
        <is>
          <t>EUR</t>
        </is>
      </c>
      <c r="I303" t="inlineStr">
        <is>
          <t>EUR</t>
        </is>
      </c>
      <c r="J303" s="51" t="n">
        <v>1</v>
      </c>
      <c r="K303" s="50" t="n">
        <v>4506.03</v>
      </c>
      <c r="L303" t="inlineStr">
        <is>
          <t>documents</t>
        </is>
      </c>
      <c r="M303" s="52" t="inlineStr">
        <is>
          <t>5619418008</t>
        </is>
      </c>
      <c r="N303" t="inlineStr">
        <is>
          <t>https://drive.google.com/file/d/1d5cIQkZLHfO09p4DlMla8b30BzDilljj/view?usp=drivesdk</t>
        </is>
      </c>
    </row>
    <row r="304" ht="12" customHeight="1">
      <c r="A304" t="inlineStr">
        <is>
          <t>202606</t>
        </is>
      </c>
      <c r="B304" t="inlineStr">
        <is>
          <t>SL</t>
        </is>
      </c>
      <c r="C304" t="inlineStr">
        <is>
          <t>opex</t>
        </is>
      </c>
      <c r="D304" t="inlineStr">
        <is>
          <t>marketing</t>
        </is>
      </c>
      <c r="E304" t="inlineStr">
        <is>
          <t>GOOGLEADS</t>
        </is>
      </c>
      <c r="F304" t="inlineStr">
        <is>
          <t>us</t>
        </is>
      </c>
      <c r="G304" s="50" t="n">
        <v>1356.77</v>
      </c>
      <c r="H304" t="inlineStr">
        <is>
          <t>EUR</t>
        </is>
      </c>
      <c r="I304" t="inlineStr">
        <is>
          <t>EUR</t>
        </is>
      </c>
      <c r="J304" s="51" t="n">
        <v>1</v>
      </c>
      <c r="K304" s="50" t="n">
        <v>1356.77</v>
      </c>
      <c r="L304" t="inlineStr">
        <is>
          <t>documents</t>
        </is>
      </c>
      <c r="M304" s="52" t="inlineStr">
        <is>
          <t>5619418008</t>
        </is>
      </c>
      <c r="N304" t="inlineStr">
        <is>
          <t>https://drive.google.com/file/d/1d5cIQkZLHfO09p4DlMla8b30BzDilljj/view?usp=drivesdk</t>
        </is>
      </c>
    </row>
    <row r="305" ht="12" customHeight="1">
      <c r="A305" t="inlineStr">
        <is>
          <t>202606</t>
        </is>
      </c>
      <c r="B305" t="inlineStr">
        <is>
          <t>SL</t>
        </is>
      </c>
      <c r="C305" t="inlineStr">
        <is>
          <t>opex</t>
        </is>
      </c>
      <c r="D305" t="inlineStr">
        <is>
          <t>technology</t>
        </is>
      </c>
      <c r="E305" t="inlineStr">
        <is>
          <t>GOOGLEWORKSPACE</t>
        </is>
      </c>
      <c r="F305" t="inlineStr"/>
      <c r="G305" s="50" t="n">
        <v>210.6</v>
      </c>
      <c r="H305" t="inlineStr">
        <is>
          <t>EUR</t>
        </is>
      </c>
      <c r="I305" t="inlineStr">
        <is>
          <t>EUR</t>
        </is>
      </c>
      <c r="J305" s="51" t="n">
        <v>1</v>
      </c>
      <c r="K305" s="50" t="n">
        <v>210.6</v>
      </c>
      <c r="L305" t="inlineStr">
        <is>
          <t>documents</t>
        </is>
      </c>
      <c r="M305" s="52" t="inlineStr">
        <is>
          <t>5607751701</t>
        </is>
      </c>
      <c r="N305" t="inlineStr">
        <is>
          <t>https://drive.google.com/file/d/1C-L0E6JZ703rAbOXxW6hcNFxy4fYhxMv/view?usp=drivesdk</t>
        </is>
      </c>
    </row>
    <row r="306" ht="12" customHeight="1">
      <c r="A306" t="inlineStr">
        <is>
          <t>202606</t>
        </is>
      </c>
      <c r="B306" t="inlineStr">
        <is>
          <t>SL</t>
        </is>
      </c>
      <c r="C306" t="inlineStr">
        <is>
          <t>opex</t>
        </is>
      </c>
      <c r="D306" t="inlineStr">
        <is>
          <t>technology</t>
        </is>
      </c>
      <c r="E306" t="inlineStr">
        <is>
          <t>GORGIAS</t>
        </is>
      </c>
      <c r="F306" t="inlineStr"/>
      <c r="G306" s="50" t="n">
        <v>120</v>
      </c>
      <c r="H306" t="inlineStr">
        <is>
          <t>USD</t>
        </is>
      </c>
      <c r="I306" t="inlineStr">
        <is>
          <t>EUR</t>
        </is>
      </c>
      <c r="J306" s="51" t="n">
        <v>0.87765491</v>
      </c>
      <c r="K306" s="50" t="n">
        <v>105.32</v>
      </c>
      <c r="L306" t="inlineStr">
        <is>
          <t>documents</t>
        </is>
      </c>
      <c r="M306" s="52" t="inlineStr">
        <is>
          <t>INC-06-2026-115100</t>
        </is>
      </c>
      <c r="N306" t="inlineStr">
        <is>
          <t>https://drive.google.com/file/d/1Xy8h3VrGuORkO7QweFT63J0K3bum0GJ6/view?usp=drivesdk</t>
        </is>
      </c>
    </row>
    <row r="307" ht="12" customHeight="1">
      <c r="A307" t="inlineStr">
        <is>
          <t>202606</t>
        </is>
      </c>
      <c r="B307" t="inlineStr">
        <is>
          <t>SL</t>
        </is>
      </c>
      <c r="C307" t="inlineStr">
        <is>
          <t>opex</t>
        </is>
      </c>
      <c r="D307" t="inlineStr">
        <is>
          <t>administration</t>
        </is>
      </c>
      <c r="E307" t="inlineStr">
        <is>
          <t>HANNUN</t>
        </is>
      </c>
      <c r="F307" t="inlineStr">
        <is>
          <t>office</t>
        </is>
      </c>
      <c r="G307" s="50" t="n">
        <v>175</v>
      </c>
      <c r="H307" t="inlineStr">
        <is>
          <t>EUR</t>
        </is>
      </c>
      <c r="I307" t="inlineStr">
        <is>
          <t>EUR</t>
        </is>
      </c>
      <c r="J307" s="51" t="n">
        <v>1</v>
      </c>
      <c r="K307" s="50" t="n">
        <v>175</v>
      </c>
      <c r="L307" t="inlineStr">
        <is>
          <t>documents</t>
        </is>
      </c>
      <c r="M307" s="52" t="inlineStr">
        <is>
          <t>VTA/26-022630</t>
        </is>
      </c>
      <c r="N307" t="inlineStr">
        <is>
          <t>https://drive.google.com/file/d/1Q8tj6X0_a_j-9Y3JAg27XUnQLJtiC3Jm/view?usp=drivesdk</t>
        </is>
      </c>
    </row>
    <row r="308" ht="12" customHeight="1">
      <c r="A308" t="inlineStr">
        <is>
          <t>202606</t>
        </is>
      </c>
      <c r="B308" t="inlineStr">
        <is>
          <t>SL</t>
        </is>
      </c>
      <c r="C308" t="inlineStr">
        <is>
          <t>opex</t>
        </is>
      </c>
      <c r="D308" t="inlineStr">
        <is>
          <t>technology</t>
        </is>
      </c>
      <c r="E308" t="inlineStr">
        <is>
          <t>HETZNER</t>
        </is>
      </c>
      <c r="F308" t="inlineStr"/>
      <c r="G308" s="50" t="n">
        <v>10.9</v>
      </c>
      <c r="H308" t="inlineStr">
        <is>
          <t>EUR</t>
        </is>
      </c>
      <c r="I308" t="inlineStr">
        <is>
          <t>EUR</t>
        </is>
      </c>
      <c r="J308" s="51" t="n">
        <v>1</v>
      </c>
      <c r="K308" s="50" t="n">
        <v>10.9</v>
      </c>
      <c r="L308" t="inlineStr">
        <is>
          <t>documents</t>
        </is>
      </c>
      <c r="M308" s="52" t="inlineStr">
        <is>
          <t>081000954286</t>
        </is>
      </c>
      <c r="N308" t="inlineStr">
        <is>
          <t>https://drive.google.com/file/d/1uadzfsGhGUAk15xuVHCEymbjyHRRLwEf/view?usp=drivesdk</t>
        </is>
      </c>
    </row>
    <row r="309" ht="12" customHeight="1">
      <c r="A309" t="inlineStr">
        <is>
          <t>202606</t>
        </is>
      </c>
      <c r="B309" t="inlineStr">
        <is>
          <t>SL</t>
        </is>
      </c>
      <c r="C309" t="inlineStr">
        <is>
          <t>opex</t>
        </is>
      </c>
      <c r="D309" t="inlineStr">
        <is>
          <t>technology</t>
        </is>
      </c>
      <c r="E309" t="inlineStr">
        <is>
          <t>KONVOAI</t>
        </is>
      </c>
      <c r="F309" t="inlineStr"/>
      <c r="G309" s="50" t="n">
        <v>631.15</v>
      </c>
      <c r="H309" t="inlineStr">
        <is>
          <t>EUR</t>
        </is>
      </c>
      <c r="I309" t="inlineStr">
        <is>
          <t>EUR</t>
        </is>
      </c>
      <c r="J309" s="51" t="n">
        <v>1</v>
      </c>
      <c r="K309" s="50" t="n">
        <v>631.15</v>
      </c>
      <c r="L309" t="inlineStr">
        <is>
          <t>documents</t>
        </is>
      </c>
      <c r="M309" s="52" t="inlineStr">
        <is>
          <t>B5F7DF3C-8486</t>
        </is>
      </c>
      <c r="N309" t="inlineStr">
        <is>
          <t>https://drive.google.com/file/d/1PN00YXqrF6UPpTB1nG5y8rkbD7WVb2qC/view?usp=drivesdk</t>
        </is>
      </c>
    </row>
    <row r="310" ht="12" customHeight="1">
      <c r="A310" t="inlineStr">
        <is>
          <t>202606</t>
        </is>
      </c>
      <c r="B310" t="inlineStr">
        <is>
          <t>SL</t>
        </is>
      </c>
      <c r="C310" t="inlineStr">
        <is>
          <t>opex</t>
        </is>
      </c>
      <c r="D310" t="inlineStr">
        <is>
          <t>technology</t>
        </is>
      </c>
      <c r="E310" t="inlineStr">
        <is>
          <t>KONVOAI</t>
        </is>
      </c>
      <c r="F310" t="inlineStr"/>
      <c r="G310" s="50" t="n">
        <v>429</v>
      </c>
      <c r="H310" t="inlineStr">
        <is>
          <t>EUR</t>
        </is>
      </c>
      <c r="I310" t="inlineStr">
        <is>
          <t>EUR</t>
        </is>
      </c>
      <c r="J310" s="51" t="n">
        <v>1</v>
      </c>
      <c r="K310" s="50" t="n">
        <v>429</v>
      </c>
      <c r="L310" t="inlineStr">
        <is>
          <t>documents</t>
        </is>
      </c>
      <c r="M310" s="52" t="inlineStr">
        <is>
          <t>B5F7DF3C-8688</t>
        </is>
      </c>
      <c r="N310" t="inlineStr">
        <is>
          <t>https://drive.google.com/file/d/19q6LU0pbFlemP5c6eVPkeFMZ5f7mjVT-/view?usp=drivesdk</t>
        </is>
      </c>
    </row>
    <row r="311" ht="12" customHeight="1">
      <c r="A311" t="inlineStr">
        <is>
          <t>202606</t>
        </is>
      </c>
      <c r="B311" t="inlineStr">
        <is>
          <t>SL</t>
        </is>
      </c>
      <c r="C311" t="inlineStr">
        <is>
          <t>opex</t>
        </is>
      </c>
      <c r="D311" t="inlineStr">
        <is>
          <t>technology</t>
        </is>
      </c>
      <c r="E311" t="inlineStr">
        <is>
          <t>MASMOVIL</t>
        </is>
      </c>
      <c r="F311" t="inlineStr"/>
      <c r="G311" s="50" t="n">
        <v>10</v>
      </c>
      <c r="H311" t="inlineStr">
        <is>
          <t>EUR</t>
        </is>
      </c>
      <c r="I311" t="inlineStr">
        <is>
          <t>EUR</t>
        </is>
      </c>
      <c r="J311" s="51" t="n">
        <v>1</v>
      </c>
      <c r="K311" s="50" t="n">
        <v>10</v>
      </c>
      <c r="L311" t="inlineStr">
        <is>
          <t>documents</t>
        </is>
      </c>
      <c r="M311" s="52" t="inlineStr">
        <is>
          <t>MC260007486233</t>
        </is>
      </c>
      <c r="N311" t="inlineStr">
        <is>
          <t>https://drive.google.com/file/d/1tJsgTF1spaCMaPyE8pVb99JnwGqeXnlt/view?usp=drivesdk</t>
        </is>
      </c>
    </row>
    <row r="312" ht="12" customHeight="1">
      <c r="A312" t="inlineStr">
        <is>
          <t>202606</t>
        </is>
      </c>
      <c r="B312" t="inlineStr">
        <is>
          <t>SL</t>
        </is>
      </c>
      <c r="C312" t="inlineStr">
        <is>
          <t>opex</t>
        </is>
      </c>
      <c r="D312" t="inlineStr">
        <is>
          <t>marketing</t>
        </is>
      </c>
      <c r="E312" t="inlineStr">
        <is>
          <t>METAADS</t>
        </is>
      </c>
      <c r="F312" t="inlineStr">
        <is>
          <t>eu</t>
        </is>
      </c>
      <c r="G312" s="50" t="n">
        <v>15714.52</v>
      </c>
      <c r="H312" t="inlineStr">
        <is>
          <t>EUR</t>
        </is>
      </c>
      <c r="I312" t="inlineStr">
        <is>
          <t>EUR</t>
        </is>
      </c>
      <c r="J312" s="51" t="n">
        <v>1</v>
      </c>
      <c r="K312" s="50" t="n">
        <v>15714.52</v>
      </c>
      <c r="L312" t="inlineStr">
        <is>
          <t>documents</t>
        </is>
      </c>
      <c r="M312" s="52" t="inlineStr">
        <is>
          <t>253901293</t>
        </is>
      </c>
      <c r="N312" t="inlineStr">
        <is>
          <t>https://drive.google.com/file/d/15ElYvs97D9dESek8WkCpiaKCDxbi6iDr/view?usp=drivesdk</t>
        </is>
      </c>
    </row>
    <row r="313" ht="12" customHeight="1">
      <c r="A313" t="inlineStr">
        <is>
          <t>202606</t>
        </is>
      </c>
      <c r="B313" t="inlineStr">
        <is>
          <t>SL</t>
        </is>
      </c>
      <c r="C313" t="inlineStr">
        <is>
          <t>opex</t>
        </is>
      </c>
      <c r="D313" t="inlineStr">
        <is>
          <t>marketing</t>
        </is>
      </c>
      <c r="E313" t="inlineStr">
        <is>
          <t>METAADS</t>
        </is>
      </c>
      <c r="F313" t="inlineStr">
        <is>
          <t>uk</t>
        </is>
      </c>
      <c r="G313" s="50" t="n">
        <v>2688.67</v>
      </c>
      <c r="H313" t="inlineStr">
        <is>
          <t>EUR</t>
        </is>
      </c>
      <c r="I313" t="inlineStr">
        <is>
          <t>EUR</t>
        </is>
      </c>
      <c r="J313" s="51" t="n">
        <v>1</v>
      </c>
      <c r="K313" s="50" t="n">
        <v>2688.67</v>
      </c>
      <c r="L313" t="inlineStr">
        <is>
          <t>documents</t>
        </is>
      </c>
      <c r="M313" s="52" t="inlineStr">
        <is>
          <t>253901293</t>
        </is>
      </c>
      <c r="N313" t="inlineStr">
        <is>
          <t>https://drive.google.com/file/d/15ElYvs97D9dESek8WkCpiaKCDxbi6iDr/view?usp=drivesdk</t>
        </is>
      </c>
    </row>
    <row r="314" ht="12" customHeight="1">
      <c r="A314" t="inlineStr">
        <is>
          <t>202606</t>
        </is>
      </c>
      <c r="B314" t="inlineStr">
        <is>
          <t>SL</t>
        </is>
      </c>
      <c r="C314" t="inlineStr">
        <is>
          <t>opex</t>
        </is>
      </c>
      <c r="D314" t="inlineStr">
        <is>
          <t>marketing</t>
        </is>
      </c>
      <c r="E314" t="inlineStr">
        <is>
          <t>METAADS</t>
        </is>
      </c>
      <c r="F314" t="inlineStr">
        <is>
          <t>us</t>
        </is>
      </c>
      <c r="G314" s="50" t="n">
        <v>604.13</v>
      </c>
      <c r="H314" t="inlineStr">
        <is>
          <t>EUR</t>
        </is>
      </c>
      <c r="I314" t="inlineStr">
        <is>
          <t>EUR</t>
        </is>
      </c>
      <c r="J314" s="51" t="n">
        <v>1</v>
      </c>
      <c r="K314" s="50" t="n">
        <v>604.13</v>
      </c>
      <c r="L314" t="inlineStr">
        <is>
          <t>documents</t>
        </is>
      </c>
      <c r="M314" s="52" t="inlineStr">
        <is>
          <t>253901293</t>
        </is>
      </c>
      <c r="N314" t="inlineStr">
        <is>
          <t>https://drive.google.com/file/d/15ElYvs97D9dESek8WkCpiaKCDxbi6iDr/view?usp=drivesdk</t>
        </is>
      </c>
    </row>
    <row r="315" ht="12" customHeight="1">
      <c r="A315" t="inlineStr">
        <is>
          <t>202606</t>
        </is>
      </c>
      <c r="B315" t="inlineStr">
        <is>
          <t>SL</t>
        </is>
      </c>
      <c r="C315" t="inlineStr">
        <is>
          <t>opex</t>
        </is>
      </c>
      <c r="D315" t="inlineStr">
        <is>
          <t>technology</t>
        </is>
      </c>
      <c r="E315" t="inlineStr">
        <is>
          <t>MICROSOFT</t>
        </is>
      </c>
      <c r="F315" t="inlineStr"/>
      <c r="G315" s="50" t="n">
        <v>30.87</v>
      </c>
      <c r="H315" t="inlineStr">
        <is>
          <t>EUR</t>
        </is>
      </c>
      <c r="I315" t="inlineStr">
        <is>
          <t>EUR</t>
        </is>
      </c>
      <c r="J315" s="51" t="n">
        <v>1</v>
      </c>
      <c r="K315" s="50" t="n">
        <v>30.87</v>
      </c>
      <c r="L315" t="inlineStr">
        <is>
          <t>documents</t>
        </is>
      </c>
      <c r="M315" s="52" t="inlineStr">
        <is>
          <t>G165049212</t>
        </is>
      </c>
      <c r="N315" t="inlineStr">
        <is>
          <t>https://drive.google.com/file/d/1_9lSveub21P5dSz2ttoh_l3WhirsozQ8/view?usp=drivesdk</t>
        </is>
      </c>
    </row>
    <row r="316" ht="12" customHeight="1">
      <c r="A316" t="inlineStr">
        <is>
          <t>202606</t>
        </is>
      </c>
      <c r="B316" t="inlineStr">
        <is>
          <t>SL</t>
        </is>
      </c>
      <c r="C316" t="inlineStr">
        <is>
          <t>opex</t>
        </is>
      </c>
      <c r="D316" t="inlineStr">
        <is>
          <t>technology</t>
        </is>
      </c>
      <c r="E316" t="inlineStr">
        <is>
          <t>MICROSOFT</t>
        </is>
      </c>
      <c r="F316" t="inlineStr"/>
      <c r="G316" s="50" t="n">
        <v>45.7</v>
      </c>
      <c r="H316" t="inlineStr">
        <is>
          <t>EUR</t>
        </is>
      </c>
      <c r="I316" t="inlineStr">
        <is>
          <t>EUR</t>
        </is>
      </c>
      <c r="J316" s="51" t="n">
        <v>1</v>
      </c>
      <c r="K316" s="50" t="n">
        <v>45.7</v>
      </c>
      <c r="L316" t="inlineStr">
        <is>
          <t>documents</t>
        </is>
      </c>
      <c r="M316" s="52" t="inlineStr">
        <is>
          <t>G165778164</t>
        </is>
      </c>
      <c r="N316" t="inlineStr">
        <is>
          <t>https://drive.google.com/file/d/1zPJu3jNMluEeYrVIrXR7PyIUxFf-0aqM/view?usp=drivesdk</t>
        </is>
      </c>
    </row>
    <row r="317" ht="12" customHeight="1">
      <c r="A317" t="inlineStr">
        <is>
          <t>202606</t>
        </is>
      </c>
      <c r="B317" t="inlineStr">
        <is>
          <t>SL</t>
        </is>
      </c>
      <c r="C317" t="inlineStr">
        <is>
          <t>opex</t>
        </is>
      </c>
      <c r="D317" t="inlineStr">
        <is>
          <t>administration</t>
        </is>
      </c>
      <c r="E317" t="inlineStr">
        <is>
          <t>NOTARIOSMONTESQUINZA</t>
        </is>
      </c>
      <c r="F317" t="inlineStr"/>
      <c r="G317" s="50" t="n">
        <v>147.84</v>
      </c>
      <c r="H317" t="inlineStr">
        <is>
          <t>EUR</t>
        </is>
      </c>
      <c r="I317" t="inlineStr">
        <is>
          <t>EUR</t>
        </is>
      </c>
      <c r="J317" s="51" t="n">
        <v>1</v>
      </c>
      <c r="K317" s="50" t="n">
        <v>147.84</v>
      </c>
      <c r="L317" t="inlineStr">
        <is>
          <t>documents</t>
        </is>
      </c>
      <c r="M317" s="52" t="inlineStr">
        <is>
          <t>I-L12487</t>
        </is>
      </c>
      <c r="N317" t="inlineStr">
        <is>
          <t>https://drive.google.com/file/d/1c_lA4A26W-4zDPjKwAzQuOQndxJDvyBL/view?usp=drivesdk</t>
        </is>
      </c>
    </row>
    <row r="318" ht="12" customHeight="1">
      <c r="A318" t="inlineStr">
        <is>
          <t>202606</t>
        </is>
      </c>
      <c r="B318" t="inlineStr">
        <is>
          <t>SL</t>
        </is>
      </c>
      <c r="C318" t="inlineStr">
        <is>
          <t>opex</t>
        </is>
      </c>
      <c r="D318" t="inlineStr">
        <is>
          <t>administration</t>
        </is>
      </c>
      <c r="E318" t="inlineStr">
        <is>
          <t>NOTARIOSMONTESQUINZA</t>
        </is>
      </c>
      <c r="F318" t="inlineStr"/>
      <c r="G318" s="50" t="n">
        <v>6.37</v>
      </c>
      <c r="H318" t="inlineStr">
        <is>
          <t>EUR</t>
        </is>
      </c>
      <c r="I318" t="inlineStr">
        <is>
          <t>EUR</t>
        </is>
      </c>
      <c r="J318" s="51" t="n">
        <v>1</v>
      </c>
      <c r="K318" s="50" t="n">
        <v>6.37</v>
      </c>
      <c r="L318" t="inlineStr">
        <is>
          <t>documents</t>
        </is>
      </c>
      <c r="M318" s="52" t="inlineStr">
        <is>
          <t>I-L7956</t>
        </is>
      </c>
      <c r="N318" t="inlineStr">
        <is>
          <t>https://drive.google.com/file/d/1WKu4lty-yVb4htzMD36LdsY4sAq9moEq/view?usp=drivesdk</t>
        </is>
      </c>
    </row>
    <row r="319" ht="12" customHeight="1">
      <c r="A319" t="inlineStr">
        <is>
          <t>202606</t>
        </is>
      </c>
      <c r="B319" t="inlineStr">
        <is>
          <t>SL</t>
        </is>
      </c>
      <c r="C319" t="inlineStr">
        <is>
          <t>opex</t>
        </is>
      </c>
      <c r="D319" t="inlineStr">
        <is>
          <t>administration</t>
        </is>
      </c>
      <c r="E319" t="inlineStr">
        <is>
          <t>NOTARIOSMONTESQUINZA</t>
        </is>
      </c>
      <c r="F319" t="inlineStr"/>
      <c r="G319" s="50" t="n">
        <v>307.96</v>
      </c>
      <c r="H319" t="inlineStr">
        <is>
          <t>EUR</t>
        </is>
      </c>
      <c r="I319" t="inlineStr">
        <is>
          <t>EUR</t>
        </is>
      </c>
      <c r="J319" s="51" t="n">
        <v>1</v>
      </c>
      <c r="K319" s="50" t="n">
        <v>307.96</v>
      </c>
      <c r="L319" t="inlineStr">
        <is>
          <t>documents</t>
        </is>
      </c>
      <c r="M319" s="52" t="inlineStr">
        <is>
          <t>L1033</t>
        </is>
      </c>
      <c r="N319" t="inlineStr">
        <is>
          <t>https://drive.google.com/file/d/1y7V69gIwn_3NfAO0wRKc-WDAvJnBwP2H/view?usp=drivesdk</t>
        </is>
      </c>
    </row>
    <row r="320" ht="12" customHeight="1">
      <c r="A320" t="inlineStr">
        <is>
          <t>202606</t>
        </is>
      </c>
      <c r="B320" t="inlineStr">
        <is>
          <t>SL</t>
        </is>
      </c>
      <c r="C320" t="inlineStr">
        <is>
          <t>opex</t>
        </is>
      </c>
      <c r="D320" t="inlineStr">
        <is>
          <t>technology</t>
        </is>
      </c>
      <c r="E320" t="inlineStr">
        <is>
          <t>OPENAI</t>
        </is>
      </c>
      <c r="F320" t="inlineStr">
        <is>
          <t>api_usage</t>
        </is>
      </c>
      <c r="G320" s="50" t="n">
        <v>97.39</v>
      </c>
      <c r="H320" t="inlineStr">
        <is>
          <t>USD</t>
        </is>
      </c>
      <c r="I320" t="inlineStr">
        <is>
          <t>EUR</t>
        </is>
      </c>
      <c r="J320" s="51" t="n">
        <v>0.87765491</v>
      </c>
      <c r="K320" s="50" t="n">
        <v>85.47</v>
      </c>
      <c r="L320" t="inlineStr">
        <is>
          <t>documents</t>
        </is>
      </c>
      <c r="M320" s="52" t="inlineStr">
        <is>
          <t>1D95DDC40020</t>
        </is>
      </c>
      <c r="N320" t="inlineStr">
        <is>
          <t>https://drive.google.com/file/d/1B0Yq8buib1CGNGbrJ3TMCA__-2pIb5JT/view?usp=drivesdk</t>
        </is>
      </c>
    </row>
    <row r="321" ht="12" customHeight="1">
      <c r="A321" t="inlineStr">
        <is>
          <t>202606</t>
        </is>
      </c>
      <c r="B321" t="inlineStr">
        <is>
          <t>SL</t>
        </is>
      </c>
      <c r="C321" t="inlineStr">
        <is>
          <t>opex</t>
        </is>
      </c>
      <c r="D321" t="inlineStr">
        <is>
          <t>technology</t>
        </is>
      </c>
      <c r="E321" t="inlineStr">
        <is>
          <t>OPENAI</t>
        </is>
      </c>
      <c r="F321" t="inlineStr">
        <is>
          <t>api_usage</t>
        </is>
      </c>
      <c r="G321" s="50" t="n">
        <v>10.07</v>
      </c>
      <c r="H321" t="inlineStr">
        <is>
          <t>USD</t>
        </is>
      </c>
      <c r="I321" t="inlineStr">
        <is>
          <t>EUR</t>
        </is>
      </c>
      <c r="J321" s="51" t="n">
        <v>0.87765491</v>
      </c>
      <c r="K321" s="50" t="n">
        <v>8.84</v>
      </c>
      <c r="L321" t="inlineStr">
        <is>
          <t>documents</t>
        </is>
      </c>
      <c r="M321" s="52" t="inlineStr">
        <is>
          <t>BZHJNTUB0016</t>
        </is>
      </c>
      <c r="N321" t="inlineStr">
        <is>
          <t>https://drive.google.com/file/d/1qSePkLDeT_kWyhpvgjVcHCI5ErpdTCXS/view?usp=drivesdk</t>
        </is>
      </c>
    </row>
    <row r="322" ht="12" customHeight="1">
      <c r="A322" t="inlineStr">
        <is>
          <t>202606</t>
        </is>
      </c>
      <c r="B322" t="inlineStr">
        <is>
          <t>SL</t>
        </is>
      </c>
      <c r="C322" t="inlineStr">
        <is>
          <t>opex</t>
        </is>
      </c>
      <c r="D322" t="inlineStr">
        <is>
          <t>technology</t>
        </is>
      </c>
      <c r="E322" t="inlineStr">
        <is>
          <t>OPENAI</t>
        </is>
      </c>
      <c r="F322" t="inlineStr">
        <is>
          <t>api_usage</t>
        </is>
      </c>
      <c r="G322" s="50" t="n">
        <v>10.05</v>
      </c>
      <c r="H322" t="inlineStr">
        <is>
          <t>USD</t>
        </is>
      </c>
      <c r="I322" t="inlineStr">
        <is>
          <t>EUR</t>
        </is>
      </c>
      <c r="J322" s="51" t="n">
        <v>0.87765491</v>
      </c>
      <c r="K322" s="50" t="n">
        <v>8.82</v>
      </c>
      <c r="L322" t="inlineStr">
        <is>
          <t>documents</t>
        </is>
      </c>
      <c r="M322" s="52" t="inlineStr">
        <is>
          <t>BZHJNTUB0017</t>
        </is>
      </c>
      <c r="N322" t="inlineStr">
        <is>
          <t>https://drive.google.com/file/d/1jV9pQSqcYhB31OC8OvcTKFh_3-huzdgS/view?usp=drivesdk</t>
        </is>
      </c>
    </row>
    <row r="323" ht="12" customHeight="1">
      <c r="A323" t="inlineStr">
        <is>
          <t>202606</t>
        </is>
      </c>
      <c r="B323" t="inlineStr">
        <is>
          <t>SL</t>
        </is>
      </c>
      <c r="C323" t="inlineStr">
        <is>
          <t>opex</t>
        </is>
      </c>
      <c r="D323" t="inlineStr">
        <is>
          <t>technology</t>
        </is>
      </c>
      <c r="E323" t="inlineStr">
        <is>
          <t>OPENAI</t>
        </is>
      </c>
      <c r="F323" t="inlineStr">
        <is>
          <t>api_usage</t>
        </is>
      </c>
      <c r="G323" s="50" t="n">
        <v>10.06</v>
      </c>
      <c r="H323" t="inlineStr">
        <is>
          <t>USD</t>
        </is>
      </c>
      <c r="I323" t="inlineStr">
        <is>
          <t>EUR</t>
        </is>
      </c>
      <c r="J323" s="51" t="n">
        <v>0.87765491</v>
      </c>
      <c r="K323" s="50" t="n">
        <v>8.83</v>
      </c>
      <c r="L323" t="inlineStr">
        <is>
          <t>documents</t>
        </is>
      </c>
      <c r="M323" s="52" t="inlineStr">
        <is>
          <t>BZHJNTUB0018</t>
        </is>
      </c>
      <c r="N323" t="inlineStr">
        <is>
          <t>https://drive.google.com/file/d/1La9cQufOlVHKRZteKeEiQGfAMt_2jk3J/view?usp=drivesdk</t>
        </is>
      </c>
    </row>
    <row r="324" ht="12" customHeight="1">
      <c r="A324" t="inlineStr">
        <is>
          <t>202606</t>
        </is>
      </c>
      <c r="B324" t="inlineStr">
        <is>
          <t>SL</t>
        </is>
      </c>
      <c r="C324" t="inlineStr">
        <is>
          <t>opex</t>
        </is>
      </c>
      <c r="D324" t="inlineStr">
        <is>
          <t>technology</t>
        </is>
      </c>
      <c r="E324" t="inlineStr">
        <is>
          <t>OPENAI</t>
        </is>
      </c>
      <c r="F324" t="inlineStr">
        <is>
          <t>chatgpt_plus</t>
        </is>
      </c>
      <c r="G324" s="50" t="n">
        <v>85.12</v>
      </c>
      <c r="H324" t="inlineStr">
        <is>
          <t>EUR</t>
        </is>
      </c>
      <c r="I324" t="inlineStr">
        <is>
          <t>EUR</t>
        </is>
      </c>
      <c r="J324" s="51" t="n">
        <v>1</v>
      </c>
      <c r="K324" s="50" t="n">
        <v>85.12</v>
      </c>
      <c r="L324" t="inlineStr">
        <is>
          <t>documents</t>
        </is>
      </c>
      <c r="M324" s="52" t="inlineStr">
        <is>
          <t>7BSDV5AM0003</t>
        </is>
      </c>
      <c r="N324" t="inlineStr">
        <is>
          <t>https://drive.google.com/file/d/1YamTfUkFQjbLX0mJTtL0zRuLpeiAyl5c/view?usp=drivesdk</t>
        </is>
      </c>
    </row>
    <row r="325" ht="12" customHeight="1">
      <c r="A325" t="inlineStr">
        <is>
          <t>202606</t>
        </is>
      </c>
      <c r="B325" t="inlineStr">
        <is>
          <t>SL</t>
        </is>
      </c>
      <c r="C325" t="inlineStr">
        <is>
          <t>cogs</t>
        </is>
      </c>
      <c r="D325" t="inlineStr">
        <is>
          <t>manufacturing</t>
        </is>
      </c>
      <c r="E325" t="inlineStr">
        <is>
          <t>PRESSING</t>
        </is>
      </c>
      <c r="F325" t="inlineStr"/>
      <c r="G325" s="50" t="n">
        <v>21904.46</v>
      </c>
      <c r="H325" t="inlineStr">
        <is>
          <t>EUR</t>
        </is>
      </c>
      <c r="I325" t="inlineStr">
        <is>
          <t>EUR</t>
        </is>
      </c>
      <c r="J325" s="51" t="n">
        <v>1</v>
      </c>
      <c r="K325" s="50" t="n">
        <v>21904.46</v>
      </c>
      <c r="L325" t="inlineStr">
        <is>
          <t>documents</t>
        </is>
      </c>
      <c r="M325" s="52" t="inlineStr">
        <is>
          <t>FAC/2026/26100006031</t>
        </is>
      </c>
      <c r="N325" t="inlineStr">
        <is>
          <t>https://drive.google.com/file/d/1rYlbZuwuUeFv4IN9ejPEP5M7bEPqsE6-/view?usp=drivesdk</t>
        </is>
      </c>
    </row>
    <row r="326" ht="12" customHeight="1">
      <c r="A326" t="inlineStr">
        <is>
          <t>202606</t>
        </is>
      </c>
      <c r="B326" t="inlineStr">
        <is>
          <t>SL</t>
        </is>
      </c>
      <c r="C326" t="inlineStr">
        <is>
          <t>opex</t>
        </is>
      </c>
      <c r="D326" t="inlineStr">
        <is>
          <t>technology</t>
        </is>
      </c>
      <c r="E326" t="inlineStr">
        <is>
          <t>PRODUCTHERO</t>
        </is>
      </c>
      <c r="F326" t="inlineStr"/>
      <c r="G326" s="50" t="n">
        <v>134</v>
      </c>
      <c r="H326" t="inlineStr">
        <is>
          <t>EUR</t>
        </is>
      </c>
      <c r="I326" t="inlineStr">
        <is>
          <t>EUR</t>
        </is>
      </c>
      <c r="J326" s="51" t="n">
        <v>1</v>
      </c>
      <c r="K326" s="50" t="n">
        <v>134</v>
      </c>
      <c r="L326" t="inlineStr">
        <is>
          <t>documents</t>
        </is>
      </c>
      <c r="M326" s="52" t="inlineStr">
        <is>
          <t>236583</t>
        </is>
      </c>
      <c r="N326" t="inlineStr">
        <is>
          <t>https://drive.google.com/file/d/1FNF0cVnIcNEdrTDmuTUkfzSBTJahAbuh/view?usp=drivesdk</t>
        </is>
      </c>
    </row>
    <row r="327" ht="12" customHeight="1">
      <c r="A327" t="inlineStr">
        <is>
          <t>202607</t>
        </is>
      </c>
      <c r="B327" t="inlineStr">
        <is>
          <t>SL</t>
        </is>
      </c>
      <c r="C327" t="inlineStr">
        <is>
          <t>opex</t>
        </is>
      </c>
      <c r="D327" t="inlineStr">
        <is>
          <t>technology</t>
        </is>
      </c>
      <c r="E327" t="inlineStr">
        <is>
          <t>RAILWAY</t>
        </is>
      </c>
      <c r="F327" t="inlineStr"/>
      <c r="G327" s="50" t="n">
        <v>111.79</v>
      </c>
      <c r="H327" t="inlineStr">
        <is>
          <t>USD</t>
        </is>
      </c>
      <c r="I327" t="inlineStr">
        <is>
          <t>EUR</t>
        </is>
      </c>
      <c r="J327" s="51" t="n">
        <v>0.87138376</v>
      </c>
      <c r="K327" s="50" t="n">
        <v>97.41</v>
      </c>
      <c r="L327" t="inlineStr">
        <is>
          <t>documents</t>
        </is>
      </c>
      <c r="M327" s="52" t="inlineStr">
        <is>
          <t>1602C2F5-0024</t>
        </is>
      </c>
      <c r="N327" t="inlineStr">
        <is>
          <t>https://drive.google.com/file/d/1aPJFVu0l5QEMWzLFM8Ib2eGxoP1reStK/view?usp=drivesdk</t>
        </is>
      </c>
    </row>
    <row r="328" ht="12" customHeight="1">
      <c r="A328" t="inlineStr">
        <is>
          <t>202606</t>
        </is>
      </c>
      <c r="B328" t="inlineStr">
        <is>
          <t>SL</t>
        </is>
      </c>
      <c r="C328" t="inlineStr">
        <is>
          <t>opex</t>
        </is>
      </c>
      <c r="D328" t="inlineStr">
        <is>
          <t>technology</t>
        </is>
      </c>
      <c r="E328" t="inlineStr">
        <is>
          <t>REVER</t>
        </is>
      </c>
      <c r="F328" t="inlineStr"/>
      <c r="G328" s="50" t="n">
        <v>135.82</v>
      </c>
      <c r="H328" t="inlineStr">
        <is>
          <t>EUR</t>
        </is>
      </c>
      <c r="I328" t="inlineStr">
        <is>
          <t>EUR</t>
        </is>
      </c>
      <c r="J328" s="51" t="n">
        <v>1</v>
      </c>
      <c r="K328" s="50" t="n">
        <v>135.82</v>
      </c>
      <c r="L328" t="inlineStr">
        <is>
          <t>documents</t>
        </is>
      </c>
      <c r="M328" s="52" t="inlineStr">
        <is>
          <t>RVR-21021</t>
        </is>
      </c>
      <c r="N328" t="inlineStr">
        <is>
          <t>https://drive.google.com/file/d/1W3NTsMSkfD4YvAyuXCWQr4Y259fV_8q_/view?usp=drivesdk</t>
        </is>
      </c>
    </row>
    <row r="329" ht="12" customHeight="1">
      <c r="A329" t="inlineStr">
        <is>
          <t>202606</t>
        </is>
      </c>
      <c r="B329" t="inlineStr">
        <is>
          <t>SL</t>
        </is>
      </c>
      <c r="C329" t="inlineStr">
        <is>
          <t>opex</t>
        </is>
      </c>
      <c r="D329" t="inlineStr">
        <is>
          <t>technology</t>
        </is>
      </c>
      <c r="E329" t="inlineStr">
        <is>
          <t>REVER</t>
        </is>
      </c>
      <c r="F329" t="inlineStr"/>
      <c r="G329" s="50" t="n">
        <v>79</v>
      </c>
      <c r="H329" t="inlineStr">
        <is>
          <t>EUR</t>
        </is>
      </c>
      <c r="I329" t="inlineStr">
        <is>
          <t>EUR</t>
        </is>
      </c>
      <c r="J329" s="51" t="n">
        <v>1</v>
      </c>
      <c r="K329" s="50" t="n">
        <v>79</v>
      </c>
      <c r="L329" t="inlineStr">
        <is>
          <t>documents</t>
        </is>
      </c>
      <c r="M329" s="52" t="inlineStr">
        <is>
          <t>RVR-21288</t>
        </is>
      </c>
      <c r="N329" t="inlineStr">
        <is>
          <t>https://drive.google.com/file/d/1PDKLPFbjKpJXxLuQii0tgvZrK5ilRucD/view?usp=drivesdk</t>
        </is>
      </c>
    </row>
    <row r="330" ht="12" customHeight="1">
      <c r="A330" t="inlineStr">
        <is>
          <t>202606</t>
        </is>
      </c>
      <c r="B330" t="inlineStr">
        <is>
          <t>SL</t>
        </is>
      </c>
      <c r="C330" t="inlineStr">
        <is>
          <t>opex</t>
        </is>
      </c>
      <c r="D330" t="inlineStr">
        <is>
          <t>technology</t>
        </is>
      </c>
      <c r="E330" t="inlineStr">
        <is>
          <t>SHOPIFY</t>
        </is>
      </c>
      <c r="F330" t="inlineStr"/>
      <c r="G330" s="50" t="n">
        <v>3529.11</v>
      </c>
      <c r="H330" t="inlineStr">
        <is>
          <t>USD</t>
        </is>
      </c>
      <c r="I330" t="inlineStr">
        <is>
          <t>EUR</t>
        </is>
      </c>
      <c r="J330" s="51" t="n">
        <v>0.87765491</v>
      </c>
      <c r="K330" s="50" t="n">
        <v>3097.34</v>
      </c>
      <c r="L330" t="inlineStr">
        <is>
          <t>documents</t>
        </is>
      </c>
      <c r="M330" s="52" t="inlineStr">
        <is>
          <t>549298149</t>
        </is>
      </c>
      <c r="N330" t="inlineStr">
        <is>
          <t>https://drive.google.com/file/d/1CI_xweZ1-IruaPvju0RVpLugFoTLxKij/view?usp=drivesdk</t>
        </is>
      </c>
    </row>
    <row r="331" ht="12" customHeight="1">
      <c r="A331" t="inlineStr">
        <is>
          <t>202606</t>
        </is>
      </c>
      <c r="B331" t="inlineStr">
        <is>
          <t>SL</t>
        </is>
      </c>
      <c r="C331" t="inlineStr">
        <is>
          <t>opex</t>
        </is>
      </c>
      <c r="D331" t="inlineStr">
        <is>
          <t>technology</t>
        </is>
      </c>
      <c r="E331" t="inlineStr">
        <is>
          <t>SYNCWITH</t>
        </is>
      </c>
      <c r="F331" t="inlineStr"/>
      <c r="G331" s="50" t="n">
        <v>24.99</v>
      </c>
      <c r="H331" t="inlineStr">
        <is>
          <t>USD</t>
        </is>
      </c>
      <c r="I331" t="inlineStr">
        <is>
          <t>EUR</t>
        </is>
      </c>
      <c r="J331" s="51" t="n">
        <v>0.87765491</v>
      </c>
      <c r="K331" s="50" t="n">
        <v>21.93</v>
      </c>
      <c r="L331" t="inlineStr">
        <is>
          <t>documents</t>
        </is>
      </c>
      <c r="M331" s="52" t="inlineStr">
        <is>
          <t>TADGCDFS-0005</t>
        </is>
      </c>
      <c r="N331" t="inlineStr">
        <is>
          <t>https://drive.google.com/file/d/1n0EywVvrKdYRqYs4baAEGAuqr7MSBRGD/view?usp=drivesdk</t>
        </is>
      </c>
    </row>
    <row r="332" ht="12" customHeight="1">
      <c r="A332" t="inlineStr">
        <is>
          <t>202606</t>
        </is>
      </c>
      <c r="B332" t="inlineStr">
        <is>
          <t>SL</t>
        </is>
      </c>
      <c r="C332" t="inlineStr">
        <is>
          <t>opex</t>
        </is>
      </c>
      <c r="D332" t="inlineStr">
        <is>
          <t>administration</t>
        </is>
      </c>
      <c r="E332" t="inlineStr">
        <is>
          <t>TORRAS</t>
        </is>
      </c>
      <c r="F332" t="inlineStr"/>
      <c r="G332" s="50" t="n">
        <v>15</v>
      </c>
      <c r="H332" t="inlineStr">
        <is>
          <t>EUR</t>
        </is>
      </c>
      <c r="I332" t="inlineStr">
        <is>
          <t>EUR</t>
        </is>
      </c>
      <c r="J332" s="51" t="n">
        <v>1</v>
      </c>
      <c r="K332" s="50" t="n">
        <v>15</v>
      </c>
      <c r="L332" t="inlineStr">
        <is>
          <t>documents</t>
        </is>
      </c>
      <c r="M332" s="52" t="inlineStr">
        <is>
          <t>7/2060</t>
        </is>
      </c>
      <c r="N332" t="inlineStr">
        <is>
          <t>https://drive.google.com/file/d/1_SMyv04TjEj_pqMjdM6BN1fLOg1EMjxI/view?usp=drivesdk</t>
        </is>
      </c>
    </row>
    <row r="333" ht="12" customHeight="1">
      <c r="A333" t="inlineStr">
        <is>
          <t>202606</t>
        </is>
      </c>
      <c r="B333" t="inlineStr">
        <is>
          <t>SL</t>
        </is>
      </c>
      <c r="C333" t="inlineStr">
        <is>
          <t>cogs</t>
        </is>
      </c>
      <c r="D333" t="inlineStr">
        <is>
          <t>logistics</t>
        </is>
      </c>
      <c r="E333" t="inlineStr">
        <is>
          <t>UPS</t>
        </is>
      </c>
      <c r="F333" t="inlineStr"/>
      <c r="G333" s="50" t="n">
        <v>-353.83</v>
      </c>
      <c r="H333" t="inlineStr">
        <is>
          <t>EUR</t>
        </is>
      </c>
      <c r="I333" t="inlineStr">
        <is>
          <t>EUR</t>
        </is>
      </c>
      <c r="J333" s="51" t="n">
        <v>1</v>
      </c>
      <c r="K333" s="50" t="n">
        <v>-353.83</v>
      </c>
      <c r="L333" t="inlineStr">
        <is>
          <t>documents</t>
        </is>
      </c>
      <c r="M333" s="52" t="inlineStr">
        <is>
          <t>2003638131</t>
        </is>
      </c>
      <c r="N333" t="inlineStr">
        <is>
          <t>https://drive.google.com/file/d/1L-eDmPpCHqEwS8D5tG1n1B3IYPViE2NP/view?usp=drivesdk</t>
        </is>
      </c>
    </row>
    <row r="334" ht="12" customHeight="1">
      <c r="A334" t="inlineStr">
        <is>
          <t>202606</t>
        </is>
      </c>
      <c r="B334" t="inlineStr">
        <is>
          <t>SL</t>
        </is>
      </c>
      <c r="C334" t="inlineStr">
        <is>
          <t>cogs</t>
        </is>
      </c>
      <c r="D334" t="inlineStr">
        <is>
          <t>logistics</t>
        </is>
      </c>
      <c r="E334" t="inlineStr">
        <is>
          <t>UPS</t>
        </is>
      </c>
      <c r="F334" t="inlineStr"/>
      <c r="G334" s="50" t="n">
        <v>140.34</v>
      </c>
      <c r="H334" t="inlineStr">
        <is>
          <t>EUR</t>
        </is>
      </c>
      <c r="I334" t="inlineStr">
        <is>
          <t>EUR</t>
        </is>
      </c>
      <c r="J334" s="51" t="n">
        <v>1</v>
      </c>
      <c r="K334" s="50" t="n">
        <v>140.34</v>
      </c>
      <c r="L334" t="inlineStr">
        <is>
          <t>documents</t>
        </is>
      </c>
      <c r="M334" s="52" t="inlineStr">
        <is>
          <t>327611469</t>
        </is>
      </c>
      <c r="N334" t="inlineStr">
        <is>
          <t>https://drive.google.com/file/d/1pneSuUsmZw0hUWw1ciZojQAR-ldIYatr/view?usp=drivesdk</t>
        </is>
      </c>
    </row>
    <row r="335" ht="12" customHeight="1">
      <c r="A335" t="inlineStr">
        <is>
          <t>202606</t>
        </is>
      </c>
      <c r="B335" t="inlineStr">
        <is>
          <t>SL</t>
        </is>
      </c>
      <c r="C335" t="inlineStr">
        <is>
          <t>cogs</t>
        </is>
      </c>
      <c r="D335" t="inlineStr">
        <is>
          <t>logistics</t>
        </is>
      </c>
      <c r="E335" t="inlineStr">
        <is>
          <t>UPS</t>
        </is>
      </c>
      <c r="F335" t="inlineStr"/>
      <c r="G335" s="50" t="n">
        <v>604.27</v>
      </c>
      <c r="H335" t="inlineStr">
        <is>
          <t>EUR</t>
        </is>
      </c>
      <c r="I335" t="inlineStr">
        <is>
          <t>EUR</t>
        </is>
      </c>
      <c r="J335" s="51" t="n">
        <v>1</v>
      </c>
      <c r="K335" s="50" t="n">
        <v>604.27</v>
      </c>
      <c r="L335" t="inlineStr">
        <is>
          <t>documents</t>
        </is>
      </c>
      <c r="M335" s="52" t="inlineStr">
        <is>
          <t>327677099</t>
        </is>
      </c>
      <c r="N335" t="inlineStr">
        <is>
          <t>https://drive.google.com/file/d/1uehnKfRATLukD3EPUq_OL77RNvciYyrG/view?usp=drivesdk</t>
        </is>
      </c>
    </row>
    <row r="336" ht="12" customHeight="1">
      <c r="A336" t="inlineStr">
        <is>
          <t>202606</t>
        </is>
      </c>
      <c r="B336" t="inlineStr">
        <is>
          <t>SL</t>
        </is>
      </c>
      <c r="C336" t="inlineStr">
        <is>
          <t>cogs</t>
        </is>
      </c>
      <c r="D336" t="inlineStr">
        <is>
          <t>logistics</t>
        </is>
      </c>
      <c r="E336" t="inlineStr">
        <is>
          <t>UPS</t>
        </is>
      </c>
      <c r="F336" t="inlineStr"/>
      <c r="G336" s="50" t="n">
        <v>547.25</v>
      </c>
      <c r="H336" t="inlineStr">
        <is>
          <t>EUR</t>
        </is>
      </c>
      <c r="I336" t="inlineStr">
        <is>
          <t>EUR</t>
        </is>
      </c>
      <c r="J336" s="51" t="n">
        <v>1</v>
      </c>
      <c r="K336" s="50" t="n">
        <v>547.25</v>
      </c>
      <c r="L336" t="inlineStr">
        <is>
          <t>documents</t>
        </is>
      </c>
      <c r="M336" s="52" t="inlineStr">
        <is>
          <t>327708012</t>
        </is>
      </c>
      <c r="N336" t="inlineStr">
        <is>
          <t>https://drive.google.com/file/d/1ngXv6P3EpMVSsk_Xi181MJDI-gJJNLQG/view?usp=drivesdk</t>
        </is>
      </c>
    </row>
    <row r="337" ht="12" customHeight="1">
      <c r="A337" t="inlineStr">
        <is>
          <t>202606</t>
        </is>
      </c>
      <c r="B337" t="inlineStr">
        <is>
          <t>SL</t>
        </is>
      </c>
      <c r="C337" t="inlineStr">
        <is>
          <t>cogs</t>
        </is>
      </c>
      <c r="D337" t="inlineStr">
        <is>
          <t>logistics</t>
        </is>
      </c>
      <c r="E337" t="inlineStr">
        <is>
          <t>UPS</t>
        </is>
      </c>
      <c r="F337" t="inlineStr"/>
      <c r="G337" s="50" t="n">
        <v>463.74</v>
      </c>
      <c r="H337" t="inlineStr">
        <is>
          <t>EUR</t>
        </is>
      </c>
      <c r="I337" t="inlineStr">
        <is>
          <t>EUR</t>
        </is>
      </c>
      <c r="J337" s="51" t="n">
        <v>1</v>
      </c>
      <c r="K337" s="50" t="n">
        <v>463.74</v>
      </c>
      <c r="L337" t="inlineStr">
        <is>
          <t>documents</t>
        </is>
      </c>
      <c r="M337" s="52" t="inlineStr">
        <is>
          <t>327740747</t>
        </is>
      </c>
      <c r="N337" t="inlineStr">
        <is>
          <t>https://drive.google.com/file/d/1wWU_1nxgnvGfJUBcCaGgklACXoJaxvbg/view?usp=drivesdk</t>
        </is>
      </c>
    </row>
    <row r="338" ht="12" customHeight="1">
      <c r="A338" t="inlineStr">
        <is>
          <t>202606</t>
        </is>
      </c>
      <c r="B338" t="inlineStr">
        <is>
          <t>SL</t>
        </is>
      </c>
      <c r="C338" t="inlineStr">
        <is>
          <t>cogs</t>
        </is>
      </c>
      <c r="D338" t="inlineStr">
        <is>
          <t>logistics</t>
        </is>
      </c>
      <c r="E338" t="inlineStr">
        <is>
          <t>UPS</t>
        </is>
      </c>
      <c r="F338" t="inlineStr"/>
      <c r="G338" s="50" t="n">
        <v>4.99</v>
      </c>
      <c r="H338" t="inlineStr">
        <is>
          <t>EUR</t>
        </is>
      </c>
      <c r="I338" t="inlineStr">
        <is>
          <t>EUR</t>
        </is>
      </c>
      <c r="J338" s="51" t="n">
        <v>1</v>
      </c>
      <c r="K338" s="50" t="n">
        <v>4.99</v>
      </c>
      <c r="L338" t="inlineStr">
        <is>
          <t>documents</t>
        </is>
      </c>
      <c r="M338" s="52" t="inlineStr">
        <is>
          <t>838665407</t>
        </is>
      </c>
      <c r="N338" t="inlineStr">
        <is>
          <t>https://drive.google.com/file/d/1CEaV1ZL3XX_6ZsYmSQV156w3w7FUD3op/view?usp=drivesdk</t>
        </is>
      </c>
    </row>
    <row r="339" ht="12" customHeight="1">
      <c r="A339" t="inlineStr">
        <is>
          <t>202606</t>
        </is>
      </c>
      <c r="B339" t="inlineStr">
        <is>
          <t>SL</t>
        </is>
      </c>
      <c r="C339" t="inlineStr">
        <is>
          <t>cogs</t>
        </is>
      </c>
      <c r="D339" t="inlineStr">
        <is>
          <t>logistics</t>
        </is>
      </c>
      <c r="E339" t="inlineStr">
        <is>
          <t>UPS</t>
        </is>
      </c>
      <c r="F339" t="inlineStr"/>
      <c r="G339" s="50" t="n">
        <v>5.04</v>
      </c>
      <c r="H339" t="inlineStr">
        <is>
          <t>EUR</t>
        </is>
      </c>
      <c r="I339" t="inlineStr">
        <is>
          <t>EUR</t>
        </is>
      </c>
      <c r="J339" s="51" t="n">
        <v>1</v>
      </c>
      <c r="K339" s="50" t="n">
        <v>5.04</v>
      </c>
      <c r="L339" t="inlineStr">
        <is>
          <t>documents</t>
        </is>
      </c>
      <c r="M339" s="52" t="inlineStr">
        <is>
          <t>838705931</t>
        </is>
      </c>
      <c r="N339" t="inlineStr">
        <is>
          <t>https://drive.google.com/file/d/1BM56av5Su52R9xl2zVzpTsV2Z22sXKSl/view?usp=drivesdk</t>
        </is>
      </c>
    </row>
    <row r="340" ht="12" customHeight="1">
      <c r="A340" t="inlineStr">
        <is>
          <t>202606</t>
        </is>
      </c>
      <c r="B340" t="inlineStr">
        <is>
          <t>SL</t>
        </is>
      </c>
      <c r="C340" t="inlineStr">
        <is>
          <t>cogs</t>
        </is>
      </c>
      <c r="D340" t="inlineStr">
        <is>
          <t>logistics</t>
        </is>
      </c>
      <c r="E340" t="inlineStr">
        <is>
          <t>UPS</t>
        </is>
      </c>
      <c r="F340" t="inlineStr"/>
      <c r="G340" s="50" t="n">
        <v>5.24</v>
      </c>
      <c r="H340" t="inlineStr">
        <is>
          <t>EUR</t>
        </is>
      </c>
      <c r="I340" t="inlineStr">
        <is>
          <t>EUR</t>
        </is>
      </c>
      <c r="J340" s="51" t="n">
        <v>1</v>
      </c>
      <c r="K340" s="50" t="n">
        <v>5.24</v>
      </c>
      <c r="L340" t="inlineStr">
        <is>
          <t>documents</t>
        </is>
      </c>
      <c r="M340" s="52" t="inlineStr">
        <is>
          <t>838781385</t>
        </is>
      </c>
      <c r="N340" t="inlineStr">
        <is>
          <t>https://drive.google.com/file/d/1OnH6_2PjvqUsDL0XnuvOokFkkYG2X9Br/view?usp=drivesdk</t>
        </is>
      </c>
    </row>
    <row r="341" ht="12" customHeight="1">
      <c r="A341" t="inlineStr">
        <is>
          <t>202606</t>
        </is>
      </c>
      <c r="B341" t="inlineStr">
        <is>
          <t>SL</t>
        </is>
      </c>
      <c r="C341" t="inlineStr">
        <is>
          <t>opex</t>
        </is>
      </c>
      <c r="D341" t="inlineStr">
        <is>
          <t>technology</t>
        </is>
      </c>
      <c r="E341" t="inlineStr">
        <is>
          <t>YUMAAI</t>
        </is>
      </c>
      <c r="F341" t="inlineStr"/>
      <c r="G341" s="50" t="n">
        <v>440</v>
      </c>
      <c r="H341" t="inlineStr">
        <is>
          <t>EUR</t>
        </is>
      </c>
      <c r="I341" t="inlineStr">
        <is>
          <t>EUR</t>
        </is>
      </c>
      <c r="J341" s="51" t="n">
        <v>1</v>
      </c>
      <c r="K341" s="50" t="n">
        <v>440</v>
      </c>
      <c r="L341" t="inlineStr">
        <is>
          <t>documents</t>
        </is>
      </c>
      <c r="M341" s="52" t="inlineStr">
        <is>
          <t>OQXBYXMP-0009</t>
        </is>
      </c>
      <c r="N341" t="inlineStr">
        <is>
          <t>https://drive.google.com/file/d/1dcfQU6ijQUA8-liR_VkhfMF0wTXRGFVB/view?usp=drivesdk</t>
        </is>
      </c>
    </row>
    <row r="342" ht="12" customHeight="1">
      <c r="A342" t="inlineStr">
        <is>
          <t>202607</t>
        </is>
      </c>
      <c r="B342" t="inlineStr">
        <is>
          <t>SL</t>
        </is>
      </c>
      <c r="C342" t="inlineStr">
        <is>
          <t>cogs</t>
        </is>
      </c>
      <c r="D342" t="inlineStr">
        <is>
          <t>manufacturing</t>
        </is>
      </c>
      <c r="E342" t="inlineStr">
        <is>
          <t>APPHOTOCAN</t>
        </is>
      </c>
      <c r="F342" t="inlineStr"/>
      <c r="G342" s="50" t="n">
        <v>177.43</v>
      </c>
      <c r="H342" t="inlineStr">
        <is>
          <t>EUR</t>
        </is>
      </c>
      <c r="I342" t="inlineStr">
        <is>
          <t>EUR</t>
        </is>
      </c>
      <c r="J342" s="51" t="n">
        <v>1</v>
      </c>
      <c r="K342" s="50" t="n">
        <v>177.43</v>
      </c>
      <c r="L342" t="inlineStr">
        <is>
          <t>documents</t>
        </is>
      </c>
      <c r="M342" s="52" t="inlineStr">
        <is>
          <t>26-1-1569</t>
        </is>
      </c>
      <c r="N342" t="inlineStr">
        <is>
          <t>https://drive.google.com/file/d/1g1Y3RrhvD1Qc9dHf-fZCKIgii3fFwBxV/view?usp=drivesdk</t>
        </is>
      </c>
    </row>
    <row r="343" ht="12" customHeight="1">
      <c r="A343" t="inlineStr">
        <is>
          <t>202607</t>
        </is>
      </c>
      <c r="B343" t="inlineStr">
        <is>
          <t>SL</t>
        </is>
      </c>
      <c r="C343" t="inlineStr">
        <is>
          <t>cogs</t>
        </is>
      </c>
      <c r="D343" t="inlineStr">
        <is>
          <t>manufacturing</t>
        </is>
      </c>
      <c r="E343" t="inlineStr">
        <is>
          <t>APPHOTOES</t>
        </is>
      </c>
      <c r="F343" t="inlineStr"/>
      <c r="G343" s="50" t="n">
        <v>2993.46</v>
      </c>
      <c r="H343" t="inlineStr">
        <is>
          <t>EUR</t>
        </is>
      </c>
      <c r="I343" t="inlineStr">
        <is>
          <t>EUR</t>
        </is>
      </c>
      <c r="J343" s="51" t="n">
        <v>1</v>
      </c>
      <c r="K343" s="50" t="n">
        <v>2993.46</v>
      </c>
      <c r="L343" t="inlineStr">
        <is>
          <t>documents</t>
        </is>
      </c>
      <c r="M343" s="52" t="inlineStr">
        <is>
          <t>1-8735</t>
        </is>
      </c>
      <c r="N343" t="inlineStr">
        <is>
          <t>https://drive.google.com/file/d/1QWX30mJJP3flv2k032ih5-Qx5nSyFWxf/view?usp=drivesdk</t>
        </is>
      </c>
    </row>
    <row r="344" ht="12" customHeight="1">
      <c r="A344" t="inlineStr">
        <is>
          <t>202607</t>
        </is>
      </c>
      <c r="B344" t="inlineStr">
        <is>
          <t>SL</t>
        </is>
      </c>
      <c r="C344" t="inlineStr">
        <is>
          <t>cogs</t>
        </is>
      </c>
      <c r="D344" t="inlineStr">
        <is>
          <t>manufacturing</t>
        </is>
      </c>
      <c r="E344" t="inlineStr">
        <is>
          <t>APPHOTOES</t>
        </is>
      </c>
      <c r="F344" t="inlineStr"/>
      <c r="G344" s="50" t="n">
        <v>3361.76</v>
      </c>
      <c r="H344" t="inlineStr">
        <is>
          <t>EUR</t>
        </is>
      </c>
      <c r="I344" t="inlineStr">
        <is>
          <t>EUR</t>
        </is>
      </c>
      <c r="J344" s="51" t="n">
        <v>1</v>
      </c>
      <c r="K344" s="50" t="n">
        <v>3361.76</v>
      </c>
      <c r="L344" t="inlineStr">
        <is>
          <t>documents</t>
        </is>
      </c>
      <c r="M344" s="52" t="inlineStr">
        <is>
          <t>1-8891</t>
        </is>
      </c>
      <c r="N344" t="inlineStr">
        <is>
          <t>https://drive.google.com/file/d/1EpCqqEQoivfUVUTWlNFEQKtkgInSdgQ3/view?usp=drivesdk</t>
        </is>
      </c>
    </row>
    <row r="345" ht="12" customHeight="1">
      <c r="A345" t="inlineStr">
        <is>
          <t>202607</t>
        </is>
      </c>
      <c r="B345" t="inlineStr">
        <is>
          <t>SL</t>
        </is>
      </c>
      <c r="C345" t="inlineStr">
        <is>
          <t>cogs</t>
        </is>
      </c>
      <c r="D345" t="inlineStr">
        <is>
          <t>manufacturing</t>
        </is>
      </c>
      <c r="E345" t="inlineStr">
        <is>
          <t>APPHOTOES</t>
        </is>
      </c>
      <c r="F345" t="inlineStr"/>
      <c r="G345" s="50" t="n">
        <v>3043.7</v>
      </c>
      <c r="H345" t="inlineStr">
        <is>
          <t>EUR</t>
        </is>
      </c>
      <c r="I345" t="inlineStr">
        <is>
          <t>EUR</t>
        </is>
      </c>
      <c r="J345" s="51" t="n">
        <v>1</v>
      </c>
      <c r="K345" s="50" t="n">
        <v>3043.7</v>
      </c>
      <c r="L345" t="inlineStr">
        <is>
          <t>documents</t>
        </is>
      </c>
      <c r="M345" s="52" t="inlineStr">
        <is>
          <t>1-9344</t>
        </is>
      </c>
      <c r="N345" t="inlineStr">
        <is>
          <t>https://drive.google.com/file/d/1xoGJMdZJtQYYM2n2pm-jO7fbhtlQwbwi/view?usp=drivesdk</t>
        </is>
      </c>
    </row>
    <row r="346" ht="12" customHeight="1">
      <c r="A346" t="inlineStr">
        <is>
          <t>202607</t>
        </is>
      </c>
      <c r="B346" t="inlineStr">
        <is>
          <t>SL</t>
        </is>
      </c>
      <c r="C346" t="inlineStr">
        <is>
          <t>cogs</t>
        </is>
      </c>
      <c r="D346" t="inlineStr">
        <is>
          <t>manufacturing</t>
        </is>
      </c>
      <c r="E346" t="inlineStr">
        <is>
          <t>APPHOTOES</t>
        </is>
      </c>
      <c r="F346" t="inlineStr"/>
      <c r="G346" s="50" t="n">
        <v>3222.76</v>
      </c>
      <c r="H346" t="inlineStr">
        <is>
          <t>EUR</t>
        </is>
      </c>
      <c r="I346" t="inlineStr">
        <is>
          <t>EUR</t>
        </is>
      </c>
      <c r="J346" s="51" t="n">
        <v>1</v>
      </c>
      <c r="K346" s="50" t="n">
        <v>3222.76</v>
      </c>
      <c r="L346" t="inlineStr">
        <is>
          <t>documents</t>
        </is>
      </c>
      <c r="M346" s="52" t="inlineStr">
        <is>
          <t>1-9539</t>
        </is>
      </c>
      <c r="N346" t="inlineStr">
        <is>
          <t>https://drive.google.com/file/d/1MDIs28rK5i9mubCddtlPkRt30aDpNl8U/view?usp=drivesdk</t>
        </is>
      </c>
    </row>
    <row r="347" ht="12" customHeight="1">
      <c r="A347" t="inlineStr">
        <is>
          <t>202607</t>
        </is>
      </c>
      <c r="B347" t="inlineStr">
        <is>
          <t>SL</t>
        </is>
      </c>
      <c r="C347" t="inlineStr">
        <is>
          <t>opex</t>
        </is>
      </c>
      <c r="D347" t="inlineStr">
        <is>
          <t>technology</t>
        </is>
      </c>
      <c r="E347" t="inlineStr">
        <is>
          <t>CANVA</t>
        </is>
      </c>
      <c r="F347" t="inlineStr"/>
      <c r="G347" s="50" t="n">
        <v>9.91</v>
      </c>
      <c r="H347" t="inlineStr">
        <is>
          <t>EUR</t>
        </is>
      </c>
      <c r="I347" t="inlineStr">
        <is>
          <t>EUR</t>
        </is>
      </c>
      <c r="J347" s="51" t="n">
        <v>1</v>
      </c>
      <c r="K347" s="50" t="n">
        <v>9.91</v>
      </c>
      <c r="L347" t="inlineStr">
        <is>
          <t>documents</t>
        </is>
      </c>
      <c r="M347" s="52" t="inlineStr">
        <is>
          <t>04946-17326623</t>
        </is>
      </c>
      <c r="N347" t="inlineStr">
        <is>
          <t>https://drive.google.com/file/d/15GVedhY_Gl0PpYtjqFX3NWCQlKZKQ8cn/view?usp=drivesdk</t>
        </is>
      </c>
    </row>
    <row r="348" ht="12" customHeight="1">
      <c r="A348" t="inlineStr">
        <is>
          <t>202607</t>
        </is>
      </c>
      <c r="B348" t="inlineStr">
        <is>
          <t>SL</t>
        </is>
      </c>
      <c r="C348" t="inlineStr">
        <is>
          <t>opex</t>
        </is>
      </c>
      <c r="D348" t="inlineStr">
        <is>
          <t>administration</t>
        </is>
      </c>
      <c r="E348" t="inlineStr">
        <is>
          <t>CLARIS</t>
        </is>
      </c>
      <c r="F348" t="inlineStr"/>
      <c r="G348" s="50" t="n">
        <v>808.08</v>
      </c>
      <c r="H348" t="inlineStr">
        <is>
          <t>EUR</t>
        </is>
      </c>
      <c r="I348" t="inlineStr">
        <is>
          <t>EUR</t>
        </is>
      </c>
      <c r="J348" s="51" t="n">
        <v>1</v>
      </c>
      <c r="K348" s="50" t="n">
        <v>808.08</v>
      </c>
      <c r="L348" t="inlineStr">
        <is>
          <t>documents</t>
        </is>
      </c>
      <c r="M348" s="52" t="inlineStr">
        <is>
          <t>F02310/26</t>
        </is>
      </c>
      <c r="N348" t="inlineStr">
        <is>
          <t>https://drive.google.com/file/d/1gGxwu4sgSQALHI5GuZLsNjcbCAVNHe2R/view?usp=drivesdk</t>
        </is>
      </c>
    </row>
    <row r="349" ht="12" customHeight="1">
      <c r="A349" t="inlineStr">
        <is>
          <t>202607</t>
        </is>
      </c>
      <c r="B349" t="inlineStr">
        <is>
          <t>SL</t>
        </is>
      </c>
      <c r="C349" t="inlineStr">
        <is>
          <t>cogs</t>
        </is>
      </c>
      <c r="D349" t="inlineStr">
        <is>
          <t>manufacturing</t>
        </is>
      </c>
      <c r="E349" t="inlineStr">
        <is>
          <t>DCT</t>
        </is>
      </c>
      <c r="F349" t="inlineStr"/>
      <c r="G349" s="50" t="n">
        <v>3140.56</v>
      </c>
      <c r="H349" t="inlineStr">
        <is>
          <t>EUR</t>
        </is>
      </c>
      <c r="I349" t="inlineStr">
        <is>
          <t>EUR</t>
        </is>
      </c>
      <c r="J349" s="51" t="n">
        <v>1</v>
      </c>
      <c r="K349" s="50" t="n">
        <v>3140.56</v>
      </c>
      <c r="L349" t="inlineStr">
        <is>
          <t>documents</t>
        </is>
      </c>
      <c r="M349" s="52" t="inlineStr">
        <is>
          <t>26-1294</t>
        </is>
      </c>
      <c r="N349" t="inlineStr">
        <is>
          <t>https://drive.google.com/file/d/1tff0GJT8Ypaz3kXZw2X6rnZkrJvcGYKR/view?usp=drivesdk</t>
        </is>
      </c>
    </row>
    <row r="350" ht="12" customHeight="1">
      <c r="A350" t="inlineStr">
        <is>
          <t>202607</t>
        </is>
      </c>
      <c r="B350" t="inlineStr">
        <is>
          <t>SL</t>
        </is>
      </c>
      <c r="C350" t="inlineStr">
        <is>
          <t>opex</t>
        </is>
      </c>
      <c r="D350" t="inlineStr">
        <is>
          <t>technology</t>
        </is>
      </c>
      <c r="E350" t="inlineStr">
        <is>
          <t>GORGIAS</t>
        </is>
      </c>
      <c r="F350" t="inlineStr"/>
      <c r="G350" s="50" t="n">
        <v>120</v>
      </c>
      <c r="H350" t="inlineStr">
        <is>
          <t>USD</t>
        </is>
      </c>
      <c r="I350" t="inlineStr">
        <is>
          <t>EUR</t>
        </is>
      </c>
      <c r="J350" s="51" t="n">
        <v>0.87138376</v>
      </c>
      <c r="K350" s="50" t="n">
        <v>104.57</v>
      </c>
      <c r="L350" t="inlineStr">
        <is>
          <t>documents</t>
        </is>
      </c>
      <c r="M350" s="52" t="inlineStr">
        <is>
          <t>INC-07-2026-129902</t>
        </is>
      </c>
      <c r="N350" t="inlineStr">
        <is>
          <t>https://drive.google.com/file/d/12aAWFEEdzb5j2tV4l0A0oQ8GR9NHRtgI/view?usp=drivesdk</t>
        </is>
      </c>
    </row>
    <row r="351" ht="12" customHeight="1">
      <c r="A351" t="inlineStr">
        <is>
          <t>202607</t>
        </is>
      </c>
      <c r="B351" t="inlineStr">
        <is>
          <t>SL</t>
        </is>
      </c>
      <c r="C351" t="inlineStr">
        <is>
          <t>opex</t>
        </is>
      </c>
      <c r="D351" t="inlineStr">
        <is>
          <t>administration</t>
        </is>
      </c>
      <c r="E351" t="inlineStr">
        <is>
          <t>HANNUN</t>
        </is>
      </c>
      <c r="F351" t="inlineStr">
        <is>
          <t>administration</t>
        </is>
      </c>
      <c r="G351" s="50" t="n">
        <v>1555.85</v>
      </c>
      <c r="H351" t="inlineStr">
        <is>
          <t>EUR</t>
        </is>
      </c>
      <c r="I351" t="inlineStr">
        <is>
          <t>EUR</t>
        </is>
      </c>
      <c r="J351" s="51" t="n">
        <v>1</v>
      </c>
      <c r="K351" s="50" t="n">
        <v>1555.85</v>
      </c>
      <c r="L351" t="inlineStr">
        <is>
          <t>documents</t>
        </is>
      </c>
      <c r="M351" s="52" t="inlineStr">
        <is>
          <t>VTA/26-026373</t>
        </is>
      </c>
      <c r="N351" t="inlineStr">
        <is>
          <t>https://drive.google.com/file/d/1B3io5YGmR3RT24Qbh5AQXrPR9ViffHIS/view?usp=drivesdk</t>
        </is>
      </c>
    </row>
    <row r="352" ht="12" customHeight="1">
      <c r="A352" t="inlineStr">
        <is>
          <t>202607</t>
        </is>
      </c>
      <c r="B352" t="inlineStr">
        <is>
          <t>SL</t>
        </is>
      </c>
      <c r="C352" t="inlineStr">
        <is>
          <t>opex</t>
        </is>
      </c>
      <c r="D352" t="inlineStr">
        <is>
          <t>administration</t>
        </is>
      </c>
      <c r="E352" t="inlineStr">
        <is>
          <t>HANNUN</t>
        </is>
      </c>
      <c r="F352" t="inlineStr">
        <is>
          <t>office</t>
        </is>
      </c>
      <c r="G352" s="50" t="n">
        <v>175</v>
      </c>
      <c r="H352" t="inlineStr">
        <is>
          <t>EUR</t>
        </is>
      </c>
      <c r="I352" t="inlineStr">
        <is>
          <t>EUR</t>
        </is>
      </c>
      <c r="J352" s="51" t="n">
        <v>1</v>
      </c>
      <c r="K352" s="50" t="n">
        <v>175</v>
      </c>
      <c r="L352" t="inlineStr">
        <is>
          <t>documents</t>
        </is>
      </c>
      <c r="M352" s="52" t="inlineStr">
        <is>
          <t>VTA/26-026372</t>
        </is>
      </c>
      <c r="N352" t="inlineStr">
        <is>
          <t>https://drive.google.com/file/d/1CrwqKvYiDQBox1HOG9l8DscgX3UBvWbS/view?usp=drivesdk</t>
        </is>
      </c>
    </row>
    <row r="353" ht="12" customHeight="1">
      <c r="A353" t="inlineStr">
        <is>
          <t>202607</t>
        </is>
      </c>
      <c r="B353" t="inlineStr">
        <is>
          <t>SL</t>
        </is>
      </c>
      <c r="C353" t="inlineStr">
        <is>
          <t>opex</t>
        </is>
      </c>
      <c r="D353" t="inlineStr">
        <is>
          <t>technology</t>
        </is>
      </c>
      <c r="E353" t="inlineStr">
        <is>
          <t>HETZNER</t>
        </is>
      </c>
      <c r="F353" t="inlineStr"/>
      <c r="G353" s="50" t="n">
        <v>10.9</v>
      </c>
      <c r="H353" t="inlineStr">
        <is>
          <t>EUR</t>
        </is>
      </c>
      <c r="I353" t="inlineStr">
        <is>
          <t>EUR</t>
        </is>
      </c>
      <c r="J353" s="51" t="n">
        <v>1</v>
      </c>
      <c r="K353" s="50" t="n">
        <v>10.9</v>
      </c>
      <c r="L353" t="inlineStr">
        <is>
          <t>documents</t>
        </is>
      </c>
      <c r="M353" s="52" t="inlineStr">
        <is>
          <t>087001068400</t>
        </is>
      </c>
      <c r="N353" t="inlineStr">
        <is>
          <t>https://drive.google.com/file/d/1R23fupAyC7WD-BZwliBegEBTxNl2N03B/view?usp=drivesdk</t>
        </is>
      </c>
    </row>
    <row r="354" ht="12" customHeight="1">
      <c r="A354" t="inlineStr">
        <is>
          <t>202607</t>
        </is>
      </c>
      <c r="B354" t="inlineStr">
        <is>
          <t>SL</t>
        </is>
      </c>
      <c r="C354" t="inlineStr">
        <is>
          <t>opex</t>
        </is>
      </c>
      <c r="D354" t="inlineStr">
        <is>
          <t>technology</t>
        </is>
      </c>
      <c r="E354" t="inlineStr">
        <is>
          <t>MASMOVIL</t>
        </is>
      </c>
      <c r="F354" t="inlineStr"/>
      <c r="G354" s="50" t="n">
        <v>10</v>
      </c>
      <c r="H354" t="inlineStr">
        <is>
          <t>EUR</t>
        </is>
      </c>
      <c r="I354" t="inlineStr">
        <is>
          <t>EUR</t>
        </is>
      </c>
      <c r="J354" s="51" t="n">
        <v>1</v>
      </c>
      <c r="K354" s="50" t="n">
        <v>10</v>
      </c>
      <c r="L354" t="inlineStr">
        <is>
          <t>documents</t>
        </is>
      </c>
      <c r="M354" s="52" t="inlineStr">
        <is>
          <t>MC260008794424</t>
        </is>
      </c>
      <c r="N354" t="inlineStr">
        <is>
          <t>https://drive.google.com/file/d/1hoWg6TfcG-NPv7hMfITu-oKnH2oVr_eX/view?usp=drivesdk</t>
        </is>
      </c>
    </row>
    <row r="355" ht="12" customHeight="1">
      <c r="A355" t="inlineStr">
        <is>
          <t>202607</t>
        </is>
      </c>
      <c r="B355" t="inlineStr">
        <is>
          <t>SL</t>
        </is>
      </c>
      <c r="C355" t="inlineStr">
        <is>
          <t>opex</t>
        </is>
      </c>
      <c r="D355" t="inlineStr">
        <is>
          <t>technology</t>
        </is>
      </c>
      <c r="E355" t="inlineStr">
        <is>
          <t>MICROSOFT</t>
        </is>
      </c>
      <c r="F355" t="inlineStr"/>
      <c r="G355" s="50" t="n">
        <v>30.87</v>
      </c>
      <c r="H355" t="inlineStr">
        <is>
          <t>EUR</t>
        </is>
      </c>
      <c r="I355" t="inlineStr">
        <is>
          <t>EUR</t>
        </is>
      </c>
      <c r="J355" s="51" t="n">
        <v>1</v>
      </c>
      <c r="K355" s="50" t="n">
        <v>30.87</v>
      </c>
      <c r="L355" t="inlineStr">
        <is>
          <t>documents</t>
        </is>
      </c>
      <c r="M355" s="52" t="inlineStr">
        <is>
          <t>G171225587</t>
        </is>
      </c>
      <c r="N355" t="inlineStr">
        <is>
          <t>https://drive.google.com/file/d/1hPMWmwoSk_E-NyCq2uC5-Bms9wRJESlM/view?usp=drivesdk</t>
        </is>
      </c>
    </row>
    <row r="356" ht="12" customHeight="1">
      <c r="A356" t="inlineStr">
        <is>
          <t>202607</t>
        </is>
      </c>
      <c r="B356" t="inlineStr">
        <is>
          <t>SL</t>
        </is>
      </c>
      <c r="C356" t="inlineStr">
        <is>
          <t>opex</t>
        </is>
      </c>
      <c r="D356" t="inlineStr">
        <is>
          <t>administration</t>
        </is>
      </c>
      <c r="E356" t="inlineStr">
        <is>
          <t>NODA</t>
        </is>
      </c>
      <c r="F356" t="inlineStr"/>
      <c r="G356" s="50" t="n">
        <v>180</v>
      </c>
      <c r="H356" t="inlineStr">
        <is>
          <t>EUR</t>
        </is>
      </c>
      <c r="I356" t="inlineStr">
        <is>
          <t>EUR</t>
        </is>
      </c>
      <c r="J356" s="51" t="n">
        <v>1</v>
      </c>
      <c r="K356" s="50" t="n">
        <v>180</v>
      </c>
      <c r="L356" t="inlineStr">
        <is>
          <t>documents</t>
        </is>
      </c>
      <c r="M356" s="52" t="inlineStr">
        <is>
          <t>160/26</t>
        </is>
      </c>
      <c r="N356" t="inlineStr">
        <is>
          <t>https://drive.google.com/file/d/1MjbvGYnouuMkppyPq0weIAEzTe4k5xge/view?usp=drivesdk</t>
        </is>
      </c>
    </row>
    <row r="357" ht="12" customHeight="1">
      <c r="A357" t="inlineStr">
        <is>
          <t>202607</t>
        </is>
      </c>
      <c r="B357" t="inlineStr">
        <is>
          <t>SL</t>
        </is>
      </c>
      <c r="C357" t="inlineStr">
        <is>
          <t>opex</t>
        </is>
      </c>
      <c r="D357" t="inlineStr">
        <is>
          <t>technology</t>
        </is>
      </c>
      <c r="E357" t="inlineStr">
        <is>
          <t>OPENAI</t>
        </is>
      </c>
      <c r="F357" t="inlineStr">
        <is>
          <t>chatgpt_plus</t>
        </is>
      </c>
      <c r="G357" s="50" t="n">
        <v>85.12</v>
      </c>
      <c r="H357" t="inlineStr">
        <is>
          <t>EUR</t>
        </is>
      </c>
      <c r="I357" t="inlineStr">
        <is>
          <t>EUR</t>
        </is>
      </c>
      <c r="J357" s="51" t="n">
        <v>1</v>
      </c>
      <c r="K357" s="50" t="n">
        <v>85.12</v>
      </c>
      <c r="L357" t="inlineStr">
        <is>
          <t>documents</t>
        </is>
      </c>
      <c r="M357" s="52" t="inlineStr">
        <is>
          <t>7BSDV5AM-0004</t>
        </is>
      </c>
      <c r="N357" t="inlineStr">
        <is>
          <t>https://drive.google.com/file/d/1zz5LASlTYsQglYZHAdlobUGBURvgCxBV/view?usp=drivesdk</t>
        </is>
      </c>
    </row>
    <row r="358" ht="12" customHeight="1">
      <c r="A358" t="inlineStr">
        <is>
          <t>202607</t>
        </is>
      </c>
      <c r="B358" t="inlineStr">
        <is>
          <t>SL</t>
        </is>
      </c>
      <c r="C358" t="inlineStr">
        <is>
          <t>opex</t>
        </is>
      </c>
      <c r="D358" t="inlineStr">
        <is>
          <t>technology</t>
        </is>
      </c>
      <c r="E358" t="inlineStr">
        <is>
          <t>OPENAI</t>
        </is>
      </c>
      <c r="F358" t="inlineStr">
        <is>
          <t>chatgpt_plus</t>
        </is>
      </c>
      <c r="G358" s="50" t="n">
        <v>19.01</v>
      </c>
      <c r="H358" t="inlineStr">
        <is>
          <t>EUR</t>
        </is>
      </c>
      <c r="I358" t="inlineStr">
        <is>
          <t>EUR</t>
        </is>
      </c>
      <c r="J358" s="51" t="n">
        <v>1</v>
      </c>
      <c r="K358" s="50" t="n">
        <v>19.01</v>
      </c>
      <c r="L358" t="inlineStr">
        <is>
          <t>documents</t>
        </is>
      </c>
      <c r="M358" s="52" t="inlineStr">
        <is>
          <t>HPTYPXYP-0001</t>
        </is>
      </c>
      <c r="N358" t="inlineStr">
        <is>
          <t>https://drive.google.com/file/d/1XiV0belx8HMpXLhBrEEw7NdwOr6W6EpP/view?usp=drivesdk</t>
        </is>
      </c>
    </row>
    <row r="359" ht="12" customHeight="1">
      <c r="A359" t="inlineStr">
        <is>
          <t>202607</t>
        </is>
      </c>
      <c r="B359" t="inlineStr">
        <is>
          <t>SL</t>
        </is>
      </c>
      <c r="C359" t="inlineStr">
        <is>
          <t>cogs</t>
        </is>
      </c>
      <c r="D359" t="inlineStr">
        <is>
          <t>manufacturing</t>
        </is>
      </c>
      <c r="E359" t="inlineStr">
        <is>
          <t>PRESSING</t>
        </is>
      </c>
      <c r="F359" t="inlineStr">
        <is>
          <t>manufacturing</t>
        </is>
      </c>
      <c r="G359" s="50" t="n">
        <v>350.41</v>
      </c>
      <c r="H359" t="inlineStr">
        <is>
          <t>EUR</t>
        </is>
      </c>
      <c r="I359" t="inlineStr">
        <is>
          <t>EUR</t>
        </is>
      </c>
      <c r="J359" s="51" t="n">
        <v>1</v>
      </c>
      <c r="K359" s="50" t="n">
        <v>350.41</v>
      </c>
      <c r="L359" t="inlineStr">
        <is>
          <t>documents</t>
        </is>
      </c>
      <c r="M359" s="52" t="inlineStr">
        <is>
          <t>R-2026-0001</t>
        </is>
      </c>
      <c r="N359" t="inlineStr">
        <is>
          <t>https://drive.google.com/file/d/1BgipjaNJok28U6NHH7hb1HzCn7H_8YYR/view?usp=drivesdk</t>
        </is>
      </c>
    </row>
    <row r="360" ht="12" customHeight="1">
      <c r="A360" t="inlineStr">
        <is>
          <t>202607</t>
        </is>
      </c>
      <c r="B360" t="inlineStr">
        <is>
          <t>SL</t>
        </is>
      </c>
      <c r="C360" t="inlineStr">
        <is>
          <t>opex</t>
        </is>
      </c>
      <c r="D360" t="inlineStr">
        <is>
          <t>technology</t>
        </is>
      </c>
      <c r="E360" t="inlineStr">
        <is>
          <t>PRODUCTHERO</t>
        </is>
      </c>
      <c r="F360" t="inlineStr"/>
      <c r="G360" s="50" t="n">
        <v>372.16</v>
      </c>
      <c r="H360" t="inlineStr">
        <is>
          <t>EUR</t>
        </is>
      </c>
      <c r="I360" t="inlineStr">
        <is>
          <t>EUR</t>
        </is>
      </c>
      <c r="J360" s="51" t="n">
        <v>1</v>
      </c>
      <c r="K360" s="50" t="n">
        <v>372.16</v>
      </c>
      <c r="L360" t="inlineStr">
        <is>
          <t>documents</t>
        </is>
      </c>
      <c r="M360" s="52" t="inlineStr">
        <is>
          <t>241860</t>
        </is>
      </c>
      <c r="N360" t="inlineStr">
        <is>
          <t>https://drive.google.com/file/d/1rfPfdJcTvizW0eXGbWDtwHLLG8g79BXM/view?usp=drivesdk</t>
        </is>
      </c>
    </row>
    <row r="361" ht="12" customHeight="1">
      <c r="A361" t="inlineStr">
        <is>
          <t>202607</t>
        </is>
      </c>
      <c r="B361" t="inlineStr">
        <is>
          <t>SL</t>
        </is>
      </c>
      <c r="C361" t="inlineStr">
        <is>
          <t>opex</t>
        </is>
      </c>
      <c r="D361" t="inlineStr">
        <is>
          <t>technology</t>
        </is>
      </c>
      <c r="E361" t="inlineStr">
        <is>
          <t>REVER</t>
        </is>
      </c>
      <c r="F361" t="inlineStr"/>
      <c r="G361" s="50" t="n">
        <v>256.5</v>
      </c>
      <c r="H361" t="inlineStr">
        <is>
          <t>EUR</t>
        </is>
      </c>
      <c r="I361" t="inlineStr">
        <is>
          <t>EUR</t>
        </is>
      </c>
      <c r="J361" s="51" t="n">
        <v>1</v>
      </c>
      <c r="K361" s="50" t="n">
        <v>256.5</v>
      </c>
      <c r="L361" t="inlineStr">
        <is>
          <t>documents</t>
        </is>
      </c>
      <c r="M361" s="52" t="inlineStr">
        <is>
          <t>RVR-21729</t>
        </is>
      </c>
      <c r="N361" t="inlineStr">
        <is>
          <t>https://drive.google.com/file/d/17YPz8z7fRt7mMpHRe7X63aN95sJfrkid/view?usp=drivesdk</t>
        </is>
      </c>
    </row>
    <row r="362" ht="12" customHeight="1">
      <c r="A362" t="inlineStr">
        <is>
          <t>202607</t>
        </is>
      </c>
      <c r="B362" t="inlineStr">
        <is>
          <t>SL</t>
        </is>
      </c>
      <c r="C362" t="inlineStr">
        <is>
          <t>opex</t>
        </is>
      </c>
      <c r="D362" t="inlineStr">
        <is>
          <t>technology</t>
        </is>
      </c>
      <c r="E362" t="inlineStr">
        <is>
          <t>REVER</t>
        </is>
      </c>
      <c r="F362" t="inlineStr"/>
      <c r="G362" s="50" t="n">
        <v>256.5</v>
      </c>
      <c r="H362" t="inlineStr">
        <is>
          <t>EUR</t>
        </is>
      </c>
      <c r="I362" t="inlineStr">
        <is>
          <t>EUR</t>
        </is>
      </c>
      <c r="J362" s="51" t="n">
        <v>1</v>
      </c>
      <c r="K362" s="50" t="n">
        <v>256.5</v>
      </c>
      <c r="L362" t="inlineStr">
        <is>
          <t>documents</t>
        </is>
      </c>
      <c r="M362" s="52" t="inlineStr">
        <is>
          <t>RVR-21873</t>
        </is>
      </c>
      <c r="N362" t="inlineStr">
        <is>
          <t>https://drive.google.com/file/d/1tSGPsHHVzqmLGDRBLKLoeEggwrJqW_6L/view?usp=drivesdk</t>
        </is>
      </c>
    </row>
    <row r="363" ht="12" customHeight="1">
      <c r="A363" t="inlineStr">
        <is>
          <t>202607</t>
        </is>
      </c>
      <c r="B363" t="inlineStr">
        <is>
          <t>SL</t>
        </is>
      </c>
      <c r="C363" t="inlineStr">
        <is>
          <t>opex</t>
        </is>
      </c>
      <c r="D363" t="inlineStr">
        <is>
          <t>technology</t>
        </is>
      </c>
      <c r="E363" t="inlineStr">
        <is>
          <t>REVER</t>
        </is>
      </c>
      <c r="F363" t="inlineStr"/>
      <c r="G363" s="50" t="n">
        <v>79</v>
      </c>
      <c r="H363" t="inlineStr">
        <is>
          <t>EUR</t>
        </is>
      </c>
      <c r="I363" t="inlineStr">
        <is>
          <t>EUR</t>
        </is>
      </c>
      <c r="J363" s="51" t="n">
        <v>1</v>
      </c>
      <c r="K363" s="50" t="n">
        <v>79</v>
      </c>
      <c r="L363" t="inlineStr">
        <is>
          <t>documents</t>
        </is>
      </c>
      <c r="M363" s="52" t="inlineStr">
        <is>
          <t>RVR-22332</t>
        </is>
      </c>
      <c r="N363" t="inlineStr">
        <is>
          <t>https://drive.google.com/file/d/1z4saK7F3rxKzXrumdfYopy3wLeFqH0Dt/view?usp=drivesdk</t>
        </is>
      </c>
    </row>
    <row r="364" ht="12" customHeight="1">
      <c r="A364" t="inlineStr">
        <is>
          <t>202607</t>
        </is>
      </c>
      <c r="B364" t="inlineStr">
        <is>
          <t>SL</t>
        </is>
      </c>
      <c r="C364" t="inlineStr">
        <is>
          <t>opex</t>
        </is>
      </c>
      <c r="D364" t="inlineStr">
        <is>
          <t>technology</t>
        </is>
      </c>
      <c r="E364" t="inlineStr">
        <is>
          <t>SHOPIFY</t>
        </is>
      </c>
      <c r="F364" t="inlineStr"/>
      <c r="G364" s="50" t="n">
        <v>3291.42</v>
      </c>
      <c r="H364" t="inlineStr">
        <is>
          <t>USD</t>
        </is>
      </c>
      <c r="I364" t="inlineStr">
        <is>
          <t>EUR</t>
        </is>
      </c>
      <c r="J364" s="51" t="n">
        <v>0.87138376</v>
      </c>
      <c r="K364" s="50" t="n">
        <v>2868.09</v>
      </c>
      <c r="L364" t="inlineStr">
        <is>
          <t>documents</t>
        </is>
      </c>
      <c r="M364" s="52" t="inlineStr">
        <is>
          <t>563465757</t>
        </is>
      </c>
      <c r="N364" t="inlineStr">
        <is>
          <t>https://drive.google.com/file/d/12u1CWpL1978NM0H-5y0u3Q9eDkS_FVGw/view?usp=drivesdk</t>
        </is>
      </c>
    </row>
    <row r="365" ht="12" customHeight="1">
      <c r="A365" t="inlineStr">
        <is>
          <t>202607</t>
        </is>
      </c>
      <c r="B365" t="inlineStr">
        <is>
          <t>SL</t>
        </is>
      </c>
      <c r="C365" t="inlineStr">
        <is>
          <t>opex</t>
        </is>
      </c>
      <c r="D365" t="inlineStr">
        <is>
          <t>technology</t>
        </is>
      </c>
      <c r="E365" t="inlineStr">
        <is>
          <t>SIMPLYCOM</t>
        </is>
      </c>
      <c r="F365" t="inlineStr"/>
      <c r="G365" s="50" t="n">
        <v>0.54</v>
      </c>
      <c r="H365" t="inlineStr">
        <is>
          <t>EUR</t>
        </is>
      </c>
      <c r="I365" t="inlineStr">
        <is>
          <t>EUR</t>
        </is>
      </c>
      <c r="J365" s="51" t="n">
        <v>1</v>
      </c>
      <c r="K365" s="50" t="n">
        <v>0.54</v>
      </c>
      <c r="L365" t="inlineStr">
        <is>
          <t>documents</t>
        </is>
      </c>
      <c r="M365" s="52" t="inlineStr">
        <is>
          <t>4727397</t>
        </is>
      </c>
      <c r="N365" t="inlineStr">
        <is>
          <t>https://drive.google.com/file/d/1vWhd7Pa5SP43onRKws4nymWiU7NozmOg/view?usp=drivesdk</t>
        </is>
      </c>
    </row>
    <row r="366" ht="12" customHeight="1">
      <c r="A366" t="inlineStr">
        <is>
          <t>202607</t>
        </is>
      </c>
      <c r="B366" t="inlineStr">
        <is>
          <t>SL</t>
        </is>
      </c>
      <c r="C366" t="inlineStr">
        <is>
          <t>opex</t>
        </is>
      </c>
      <c r="D366" t="inlineStr">
        <is>
          <t>administration</t>
        </is>
      </c>
      <c r="E366" t="inlineStr">
        <is>
          <t>TORRAS</t>
        </is>
      </c>
      <c r="F366" t="inlineStr"/>
      <c r="G366" s="50" t="n">
        <v>15</v>
      </c>
      <c r="H366" t="inlineStr">
        <is>
          <t>EUR</t>
        </is>
      </c>
      <c r="I366" t="inlineStr">
        <is>
          <t>EUR</t>
        </is>
      </c>
      <c r="J366" s="51" t="n">
        <v>1</v>
      </c>
      <c r="K366" s="50" t="n">
        <v>15</v>
      </c>
      <c r="L366" t="inlineStr">
        <is>
          <t>documents</t>
        </is>
      </c>
      <c r="M366" s="52" t="inlineStr">
        <is>
          <t>7/2781</t>
        </is>
      </c>
      <c r="N366" t="inlineStr">
        <is>
          <t>https://drive.google.com/file/d/1z8NVoi-_e47R6qkIxAaXaFscoze8wk2b/view?usp=drivesdk</t>
        </is>
      </c>
    </row>
    <row r="367" ht="12" customHeight="1">
      <c r="A367" t="inlineStr">
        <is>
          <t>202607</t>
        </is>
      </c>
      <c r="B367" t="inlineStr">
        <is>
          <t>SL</t>
        </is>
      </c>
      <c r="C367" t="inlineStr">
        <is>
          <t>cogs</t>
        </is>
      </c>
      <c r="D367" t="inlineStr">
        <is>
          <t>logistics</t>
        </is>
      </c>
      <c r="E367" t="inlineStr">
        <is>
          <t>UPS</t>
        </is>
      </c>
      <c r="F367" t="inlineStr"/>
      <c r="G367" s="50" t="n">
        <v>-569.03</v>
      </c>
      <c r="H367" t="inlineStr">
        <is>
          <t>EUR</t>
        </is>
      </c>
      <c r="I367" t="inlineStr">
        <is>
          <t>EUR</t>
        </is>
      </c>
      <c r="J367" s="51" t="n">
        <v>1</v>
      </c>
      <c r="K367" s="50" t="n">
        <v>-569.03</v>
      </c>
      <c r="L367" t="inlineStr">
        <is>
          <t>documents</t>
        </is>
      </c>
      <c r="M367" s="52" t="inlineStr">
        <is>
          <t>2003660927</t>
        </is>
      </c>
      <c r="N367" t="inlineStr">
        <is>
          <t>https://drive.google.com/file/d/11-v2MJhXEqPk_yYCx2KlK8ou1Hj1nl96/view?usp=drivesdk</t>
        </is>
      </c>
    </row>
    <row r="368" ht="12" customHeight="1">
      <c r="A368" t="inlineStr">
        <is>
          <t>202607</t>
        </is>
      </c>
      <c r="B368" t="inlineStr">
        <is>
          <t>SL</t>
        </is>
      </c>
      <c r="C368" t="inlineStr">
        <is>
          <t>cogs</t>
        </is>
      </c>
      <c r="D368" t="inlineStr">
        <is>
          <t>logistics</t>
        </is>
      </c>
      <c r="E368" t="inlineStr">
        <is>
          <t>UPS</t>
        </is>
      </c>
      <c r="F368" t="inlineStr"/>
      <c r="G368" s="50" t="n">
        <v>509.48</v>
      </c>
      <c r="H368" t="inlineStr">
        <is>
          <t>EUR</t>
        </is>
      </c>
      <c r="I368" t="inlineStr">
        <is>
          <t>EUR</t>
        </is>
      </c>
      <c r="J368" s="51" t="n">
        <v>1</v>
      </c>
      <c r="K368" s="50" t="n">
        <v>509.48</v>
      </c>
      <c r="L368" t="inlineStr">
        <is>
          <t>documents</t>
        </is>
      </c>
      <c r="M368" s="52" t="inlineStr">
        <is>
          <t>327870911</t>
        </is>
      </c>
      <c r="N368" t="inlineStr">
        <is>
          <t>https://drive.google.com/file/d/16ubitUS_HwiWCAlQIEN9NuPpQ3Kiu4wg/view?usp=drivesdk</t>
        </is>
      </c>
    </row>
    <row r="369" ht="12" customHeight="1">
      <c r="A369" t="inlineStr">
        <is>
          <t>202607</t>
        </is>
      </c>
      <c r="B369" t="inlineStr">
        <is>
          <t>SL</t>
        </is>
      </c>
      <c r="C369" t="inlineStr">
        <is>
          <t>cogs</t>
        </is>
      </c>
      <c r="D369" t="inlineStr">
        <is>
          <t>logistics</t>
        </is>
      </c>
      <c r="E369" t="inlineStr">
        <is>
          <t>UPS</t>
        </is>
      </c>
      <c r="F369" t="inlineStr"/>
      <c r="G369" s="50" t="n">
        <v>853.66</v>
      </c>
      <c r="H369" t="inlineStr">
        <is>
          <t>EUR</t>
        </is>
      </c>
      <c r="I369" t="inlineStr">
        <is>
          <t>EUR</t>
        </is>
      </c>
      <c r="J369" s="51" t="n">
        <v>1</v>
      </c>
      <c r="K369" s="50" t="n">
        <v>853.66</v>
      </c>
      <c r="L369" t="inlineStr">
        <is>
          <t>documents</t>
        </is>
      </c>
      <c r="M369" s="52" t="inlineStr">
        <is>
          <t>327903065</t>
        </is>
      </c>
      <c r="N369" t="inlineStr">
        <is>
          <t>https://drive.google.com/file/d/1hjw_XrPrz9bJ96OfjFlmMQIFAS8EGuwO/view?usp=drivesdk</t>
        </is>
      </c>
    </row>
    <row r="370" ht="12" customHeight="1">
      <c r="A370" t="inlineStr">
        <is>
          <t>202607</t>
        </is>
      </c>
      <c r="B370" t="inlineStr">
        <is>
          <t>SL</t>
        </is>
      </c>
      <c r="C370" t="inlineStr">
        <is>
          <t>cogs</t>
        </is>
      </c>
      <c r="D370" t="inlineStr">
        <is>
          <t>logistics</t>
        </is>
      </c>
      <c r="E370" t="inlineStr">
        <is>
          <t>UPS</t>
        </is>
      </c>
      <c r="F370" t="inlineStr"/>
      <c r="G370" s="50" t="n">
        <v>1336.55</v>
      </c>
      <c r="H370" t="inlineStr">
        <is>
          <t>EUR</t>
        </is>
      </c>
      <c r="I370" t="inlineStr">
        <is>
          <t>EUR</t>
        </is>
      </c>
      <c r="J370" s="51" t="n">
        <v>1</v>
      </c>
      <c r="K370" s="50" t="n">
        <v>1336.55</v>
      </c>
      <c r="L370" t="inlineStr">
        <is>
          <t>documents</t>
        </is>
      </c>
      <c r="M370" s="52" t="inlineStr">
        <is>
          <t>327934792</t>
        </is>
      </c>
      <c r="N370" t="inlineStr">
        <is>
          <t>https://drive.google.com/file/d/1A2tjqFyfnDai7ZyuG3PAxaNkx_P1PrBZ/view?usp=drivesdk</t>
        </is>
      </c>
    </row>
    <row r="371" ht="12" customHeight="1">
      <c r="A371" t="inlineStr">
        <is>
          <t>202607</t>
        </is>
      </c>
      <c r="B371" t="inlineStr">
        <is>
          <t>SL</t>
        </is>
      </c>
      <c r="C371" t="inlineStr">
        <is>
          <t>cogs</t>
        </is>
      </c>
      <c r="D371" t="inlineStr">
        <is>
          <t>logistics</t>
        </is>
      </c>
      <c r="E371" t="inlineStr">
        <is>
          <t>UPS</t>
        </is>
      </c>
      <c r="F371" t="inlineStr"/>
      <c r="G371" s="50" t="n">
        <v>5.23</v>
      </c>
      <c r="H371" t="inlineStr">
        <is>
          <t>EUR</t>
        </is>
      </c>
      <c r="I371" t="inlineStr">
        <is>
          <t>EUR</t>
        </is>
      </c>
      <c r="J371" s="51" t="n">
        <v>1</v>
      </c>
      <c r="K371" s="50" t="n">
        <v>5.23</v>
      </c>
      <c r="L371" t="inlineStr">
        <is>
          <t>documents</t>
        </is>
      </c>
      <c r="M371" s="52" t="inlineStr">
        <is>
          <t>838889502</t>
        </is>
      </c>
      <c r="N371" t="inlineStr">
        <is>
          <t>https://drive.google.com/file/d/10MqUF30Ux7n5Fvsju3KK47wWlXhb1deQ/view?usp=drivesdk</t>
        </is>
      </c>
    </row>
    <row r="372" ht="12" customHeight="1">
      <c r="A372" t="inlineStr">
        <is>
          <t>202607</t>
        </is>
      </c>
      <c r="B372" t="inlineStr">
        <is>
          <t>SL</t>
        </is>
      </c>
      <c r="C372" t="inlineStr">
        <is>
          <t>cogs</t>
        </is>
      </c>
      <c r="D372" t="inlineStr">
        <is>
          <t>logistics</t>
        </is>
      </c>
      <c r="E372" t="inlineStr">
        <is>
          <t>UPS</t>
        </is>
      </c>
      <c r="F372" t="inlineStr"/>
      <c r="G372" s="50" t="n">
        <v>10.6</v>
      </c>
      <c r="H372" t="inlineStr">
        <is>
          <t>EUR</t>
        </is>
      </c>
      <c r="I372" t="inlineStr">
        <is>
          <t>EUR</t>
        </is>
      </c>
      <c r="J372" s="51" t="n">
        <v>1</v>
      </c>
      <c r="K372" s="50" t="n">
        <v>10.6</v>
      </c>
      <c r="L372" t="inlineStr">
        <is>
          <t>documents</t>
        </is>
      </c>
      <c r="M372" s="52" t="inlineStr">
        <is>
          <t>838932834</t>
        </is>
      </c>
      <c r="N372" t="inlineStr">
        <is>
          <t>https://drive.google.com/file/d/1sO9yIL4F2nAwRKASwSF6ZpxjuzHEmOc7/view?usp=drivesdk</t>
        </is>
      </c>
    </row>
    <row r="373" ht="12" customHeight="1">
      <c r="A373" t="inlineStr">
        <is>
          <t>202607</t>
        </is>
      </c>
      <c r="B373" t="inlineStr">
        <is>
          <t>SL</t>
        </is>
      </c>
      <c r="C373" t="inlineStr">
        <is>
          <t>cogs</t>
        </is>
      </c>
      <c r="D373" t="inlineStr">
        <is>
          <t>logistics</t>
        </is>
      </c>
      <c r="E373" t="inlineStr">
        <is>
          <t>UPS</t>
        </is>
      </c>
      <c r="F373" t="inlineStr"/>
      <c r="G373" s="50" t="n">
        <v>5</v>
      </c>
      <c r="H373" t="inlineStr">
        <is>
          <t>EUR</t>
        </is>
      </c>
      <c r="I373" t="inlineStr">
        <is>
          <t>EUR</t>
        </is>
      </c>
      <c r="J373" s="51" t="n">
        <v>1</v>
      </c>
      <c r="K373" s="50" t="n">
        <v>5</v>
      </c>
      <c r="L373" t="inlineStr">
        <is>
          <t>documents</t>
        </is>
      </c>
      <c r="M373" s="52" t="inlineStr">
        <is>
          <t>838970930</t>
        </is>
      </c>
      <c r="N373" t="inlineStr">
        <is>
          <t>https://drive.google.com/file/d/1CktdzAiLdEaTGp8PTl1rBwlPK6ofbmCk/view?usp=drivesdk</t>
        </is>
      </c>
    </row>
    <row r="374" ht="12" customHeight="1">
      <c r="A374" t="inlineStr">
        <is>
          <t>202607</t>
        </is>
      </c>
      <c r="B374" t="inlineStr">
        <is>
          <t>SL</t>
        </is>
      </c>
      <c r="C374" t="inlineStr">
        <is>
          <t>opex</t>
        </is>
      </c>
      <c r="D374" t="inlineStr">
        <is>
          <t>technology</t>
        </is>
      </c>
      <c r="E374" t="inlineStr">
        <is>
          <t>YUMAAI</t>
        </is>
      </c>
      <c r="F374" t="inlineStr"/>
      <c r="G374" s="50" t="n">
        <v>440</v>
      </c>
      <c r="H374" t="inlineStr">
        <is>
          <t>EUR</t>
        </is>
      </c>
      <c r="I374" t="inlineStr">
        <is>
          <t>EUR</t>
        </is>
      </c>
      <c r="J374" s="51" t="n">
        <v>1</v>
      </c>
      <c r="K374" s="50" t="n">
        <v>440</v>
      </c>
      <c r="L374" t="inlineStr">
        <is>
          <t>documents</t>
        </is>
      </c>
      <c r="M374" s="52" t="inlineStr">
        <is>
          <t>OQXBYXMP-0010</t>
        </is>
      </c>
      <c r="N374" t="inlineStr">
        <is>
          <t>https://drive.google.com/file/d/1FXNVZoKgHf-kpedRvpbGDRh36qQQk2gb/view?usp=drivesdk</t>
        </is>
      </c>
    </row>
    <row r="375" ht="12" customHeight="1">
      <c r="A375" t="inlineStr">
        <is>
          <t>202601</t>
        </is>
      </c>
      <c r="B375" t="inlineStr">
        <is>
          <t>SL</t>
        </is>
      </c>
      <c r="C375" t="inlineStr">
        <is>
          <t>cogs</t>
        </is>
      </c>
      <c r="D375" t="inlineStr">
        <is>
          <t>royalties</t>
        </is>
      </c>
      <c r="E375" t="inlineStr">
        <is>
          <t>ROYALTIES</t>
        </is>
      </c>
      <c r="F375" t="inlineStr"/>
      <c r="G375" s="50" t="n">
        <v>13737</v>
      </c>
      <c r="H375" t="inlineStr">
        <is>
          <t>EUR</t>
        </is>
      </c>
      <c r="I375" t="inlineStr">
        <is>
          <t>EUR</t>
        </is>
      </c>
      <c r="J375" s="51" t="n">
        <v>1</v>
      </c>
      <c r="K375" s="50" t="n">
        <v>13737</v>
      </c>
      <c r="L375" t="inlineStr">
        <is>
          <t>artist_royalties_monthly_summary</t>
        </is>
      </c>
      <c r="M375" t="inlineStr"/>
      <c r="N375" t="inlineStr"/>
    </row>
    <row r="376" ht="12" customHeight="1">
      <c r="A376" t="inlineStr">
        <is>
          <t>202602</t>
        </is>
      </c>
      <c r="B376" t="inlineStr">
        <is>
          <t>SL</t>
        </is>
      </c>
      <c r="C376" t="inlineStr">
        <is>
          <t>cogs</t>
        </is>
      </c>
      <c r="D376" t="inlineStr">
        <is>
          <t>royalties</t>
        </is>
      </c>
      <c r="E376" t="inlineStr">
        <is>
          <t>ROYALTIES</t>
        </is>
      </c>
      <c r="F376" t="inlineStr"/>
      <c r="G376" s="50" t="n">
        <v>16662</v>
      </c>
      <c r="H376" t="inlineStr">
        <is>
          <t>EUR</t>
        </is>
      </c>
      <c r="I376" t="inlineStr">
        <is>
          <t>EUR</t>
        </is>
      </c>
      <c r="J376" s="51" t="n">
        <v>1</v>
      </c>
      <c r="K376" s="50" t="n">
        <v>16662</v>
      </c>
      <c r="L376" t="inlineStr">
        <is>
          <t>artist_royalties_monthly_summary</t>
        </is>
      </c>
      <c r="M376" t="inlineStr"/>
      <c r="N376" t="inlineStr"/>
    </row>
    <row r="377" ht="12" customHeight="1">
      <c r="A377" t="inlineStr">
        <is>
          <t>202603</t>
        </is>
      </c>
      <c r="B377" t="inlineStr">
        <is>
          <t>SL</t>
        </is>
      </c>
      <c r="C377" t="inlineStr">
        <is>
          <t>cogs</t>
        </is>
      </c>
      <c r="D377" t="inlineStr">
        <is>
          <t>royalties</t>
        </is>
      </c>
      <c r="E377" t="inlineStr">
        <is>
          <t>ROYALTIES</t>
        </is>
      </c>
      <c r="F377" t="inlineStr"/>
      <c r="G377" s="50" t="n">
        <v>14544</v>
      </c>
      <c r="H377" t="inlineStr">
        <is>
          <t>EUR</t>
        </is>
      </c>
      <c r="I377" t="inlineStr">
        <is>
          <t>EUR</t>
        </is>
      </c>
      <c r="J377" s="51" t="n">
        <v>1</v>
      </c>
      <c r="K377" s="50" t="n">
        <v>14544</v>
      </c>
      <c r="L377" t="inlineStr">
        <is>
          <t>artist_royalties_monthly_summary</t>
        </is>
      </c>
      <c r="M377" t="inlineStr"/>
      <c r="N377" t="inlineStr"/>
    </row>
    <row r="378" ht="12" customHeight="1">
      <c r="A378" t="inlineStr">
        <is>
          <t>202604</t>
        </is>
      </c>
      <c r="B378" t="inlineStr">
        <is>
          <t>SL</t>
        </is>
      </c>
      <c r="C378" t="inlineStr">
        <is>
          <t>cogs</t>
        </is>
      </c>
      <c r="D378" t="inlineStr">
        <is>
          <t>royalties</t>
        </is>
      </c>
      <c r="E378" t="inlineStr">
        <is>
          <t>ROYALTIES</t>
        </is>
      </c>
      <c r="F378" t="inlineStr"/>
      <c r="G378" s="50" t="n">
        <v>13605</v>
      </c>
      <c r="H378" t="inlineStr">
        <is>
          <t>EUR</t>
        </is>
      </c>
      <c r="I378" t="inlineStr">
        <is>
          <t>EUR</t>
        </is>
      </c>
      <c r="J378" s="51" t="n">
        <v>1</v>
      </c>
      <c r="K378" s="50" t="n">
        <v>13605</v>
      </c>
      <c r="L378" t="inlineStr">
        <is>
          <t>artist_royalties_monthly_summary</t>
        </is>
      </c>
      <c r="M378" t="inlineStr"/>
      <c r="N378" t="inlineStr"/>
    </row>
    <row r="379" ht="12" customHeight="1">
      <c r="A379" t="inlineStr">
        <is>
          <t>202605</t>
        </is>
      </c>
      <c r="B379" t="inlineStr">
        <is>
          <t>SL</t>
        </is>
      </c>
      <c r="C379" t="inlineStr">
        <is>
          <t>cogs</t>
        </is>
      </c>
      <c r="D379" t="inlineStr">
        <is>
          <t>royalties</t>
        </is>
      </c>
      <c r="E379" t="inlineStr">
        <is>
          <t>ROYALTIES</t>
        </is>
      </c>
      <c r="F379" t="inlineStr"/>
      <c r="G379" s="50" t="n">
        <v>13698</v>
      </c>
      <c r="H379" t="inlineStr">
        <is>
          <t>EUR</t>
        </is>
      </c>
      <c r="I379" t="inlineStr">
        <is>
          <t>EUR</t>
        </is>
      </c>
      <c r="J379" s="51" t="n">
        <v>1</v>
      </c>
      <c r="K379" s="50" t="n">
        <v>13698</v>
      </c>
      <c r="L379" t="inlineStr">
        <is>
          <t>artist_royalties_monthly_summary</t>
        </is>
      </c>
      <c r="M379" t="inlineStr"/>
      <c r="N379" t="inlineStr"/>
    </row>
    <row r="380" ht="12" customHeight="1">
      <c r="A380" t="inlineStr">
        <is>
          <t>202606</t>
        </is>
      </c>
      <c r="B380" t="inlineStr">
        <is>
          <t>SL</t>
        </is>
      </c>
      <c r="C380" t="inlineStr">
        <is>
          <t>cogs</t>
        </is>
      </c>
      <c r="D380" t="inlineStr">
        <is>
          <t>royalties</t>
        </is>
      </c>
      <c r="E380" t="inlineStr">
        <is>
          <t>ROYALTIES</t>
        </is>
      </c>
      <c r="F380" t="inlineStr"/>
      <c r="G380" s="50" t="n">
        <v>11562</v>
      </c>
      <c r="H380" t="inlineStr">
        <is>
          <t>EUR</t>
        </is>
      </c>
      <c r="I380" t="inlineStr">
        <is>
          <t>EUR</t>
        </is>
      </c>
      <c r="J380" s="51" t="n">
        <v>1</v>
      </c>
      <c r="K380" s="50" t="n">
        <v>11562</v>
      </c>
      <c r="L380" t="inlineStr">
        <is>
          <t>artist_royalties_monthly_summary</t>
        </is>
      </c>
      <c r="M380" t="inlineStr"/>
      <c r="N380" t="inlineStr"/>
    </row>
    <row r="381" ht="12" customHeight="1">
      <c r="A381" t="inlineStr">
        <is>
          <t>202601</t>
        </is>
      </c>
      <c r="B381" t="inlineStr">
        <is>
          <t>SL</t>
        </is>
      </c>
      <c r="C381" t="inlineStr">
        <is>
          <t>opex</t>
        </is>
      </c>
      <c r="D381" t="inlineStr">
        <is>
          <t>staff</t>
        </is>
      </c>
      <c r="E381" t="inlineStr">
        <is>
          <t>PAYROLL</t>
        </is>
      </c>
      <c r="F381" t="inlineStr"/>
      <c r="G381" s="50" t="n">
        <v>14731.84</v>
      </c>
      <c r="H381" t="inlineStr">
        <is>
          <t>EUR</t>
        </is>
      </c>
      <c r="I381" t="inlineStr">
        <is>
          <t>EUR</t>
        </is>
      </c>
      <c r="J381" s="51" t="n">
        <v>1</v>
      </c>
      <c r="K381" s="50" t="n">
        <v>14731.84</v>
      </c>
      <c r="L381" t="inlineStr">
        <is>
          <t>payroll_documents</t>
        </is>
      </c>
      <c r="M381" t="inlineStr"/>
      <c r="N381" t="inlineStr"/>
    </row>
    <row r="382" ht="12" customHeight="1">
      <c r="A382" t="inlineStr">
        <is>
          <t>202602</t>
        </is>
      </c>
      <c r="B382" t="inlineStr">
        <is>
          <t>SL</t>
        </is>
      </c>
      <c r="C382" t="inlineStr">
        <is>
          <t>opex</t>
        </is>
      </c>
      <c r="D382" t="inlineStr">
        <is>
          <t>staff</t>
        </is>
      </c>
      <c r="E382" t="inlineStr">
        <is>
          <t>PAYROLL</t>
        </is>
      </c>
      <c r="F382" t="inlineStr"/>
      <c r="G382" s="50" t="n">
        <v>14915.68</v>
      </c>
      <c r="H382" t="inlineStr">
        <is>
          <t>EUR</t>
        </is>
      </c>
      <c r="I382" t="inlineStr">
        <is>
          <t>EUR</t>
        </is>
      </c>
      <c r="J382" s="51" t="n">
        <v>1</v>
      </c>
      <c r="K382" s="50" t="n">
        <v>14915.68</v>
      </c>
      <c r="L382" t="inlineStr">
        <is>
          <t>payroll_documents</t>
        </is>
      </c>
      <c r="M382" t="inlineStr"/>
      <c r="N382" t="inlineStr"/>
    </row>
    <row r="383" ht="12" customHeight="1">
      <c r="A383" t="inlineStr">
        <is>
          <t>202603</t>
        </is>
      </c>
      <c r="B383" t="inlineStr">
        <is>
          <t>SL</t>
        </is>
      </c>
      <c r="C383" t="inlineStr">
        <is>
          <t>opex</t>
        </is>
      </c>
      <c r="D383" t="inlineStr">
        <is>
          <t>staff</t>
        </is>
      </c>
      <c r="E383" t="inlineStr">
        <is>
          <t>PAYROLL</t>
        </is>
      </c>
      <c r="F383" t="inlineStr"/>
      <c r="G383" s="50" t="n">
        <v>15349.42</v>
      </c>
      <c r="H383" t="inlineStr">
        <is>
          <t>EUR</t>
        </is>
      </c>
      <c r="I383" t="inlineStr">
        <is>
          <t>EUR</t>
        </is>
      </c>
      <c r="J383" s="51" t="n">
        <v>1</v>
      </c>
      <c r="K383" s="50" t="n">
        <v>15349.42</v>
      </c>
      <c r="L383" t="inlineStr">
        <is>
          <t>payroll_documents</t>
        </is>
      </c>
      <c r="M383" t="inlineStr"/>
      <c r="N383" t="inlineStr"/>
    </row>
    <row r="384" ht="12" customHeight="1">
      <c r="A384" t="inlineStr">
        <is>
          <t>202604</t>
        </is>
      </c>
      <c r="B384" t="inlineStr">
        <is>
          <t>SL</t>
        </is>
      </c>
      <c r="C384" t="inlineStr">
        <is>
          <t>opex</t>
        </is>
      </c>
      <c r="D384" t="inlineStr">
        <is>
          <t>staff</t>
        </is>
      </c>
      <c r="E384" t="inlineStr">
        <is>
          <t>PAYROLL</t>
        </is>
      </c>
      <c r="F384" t="inlineStr"/>
      <c r="G384" s="50" t="n">
        <v>15515.1</v>
      </c>
      <c r="H384" t="inlineStr">
        <is>
          <t>EUR</t>
        </is>
      </c>
      <c r="I384" t="inlineStr">
        <is>
          <t>EUR</t>
        </is>
      </c>
      <c r="J384" s="51" t="n">
        <v>1</v>
      </c>
      <c r="K384" s="50" t="n">
        <v>15515.1</v>
      </c>
      <c r="L384" t="inlineStr">
        <is>
          <t>payroll_documents</t>
        </is>
      </c>
      <c r="M384" t="inlineStr"/>
      <c r="N384" t="inlineStr"/>
    </row>
    <row r="385" ht="12" customHeight="1">
      <c r="A385" t="inlineStr">
        <is>
          <t>202605</t>
        </is>
      </c>
      <c r="B385" t="inlineStr">
        <is>
          <t>SL</t>
        </is>
      </c>
      <c r="C385" t="inlineStr">
        <is>
          <t>opex</t>
        </is>
      </c>
      <c r="D385" t="inlineStr">
        <is>
          <t>staff</t>
        </is>
      </c>
      <c r="E385" t="inlineStr">
        <is>
          <t>PAYROLL</t>
        </is>
      </c>
      <c r="F385" t="inlineStr"/>
      <c r="G385" s="50" t="n">
        <v>15515.1</v>
      </c>
      <c r="H385" t="inlineStr">
        <is>
          <t>EUR</t>
        </is>
      </c>
      <c r="I385" t="inlineStr">
        <is>
          <t>EUR</t>
        </is>
      </c>
      <c r="J385" s="51" t="n">
        <v>1</v>
      </c>
      <c r="K385" s="50" t="n">
        <v>15515.1</v>
      </c>
      <c r="L385" t="inlineStr">
        <is>
          <t>payroll_documents</t>
        </is>
      </c>
      <c r="M385" t="inlineStr"/>
      <c r="N385" t="inlineStr"/>
    </row>
    <row r="386" ht="12" customHeight="1">
      <c r="A386" t="inlineStr">
        <is>
          <t>202606</t>
        </is>
      </c>
      <c r="B386" t="inlineStr">
        <is>
          <t>SL</t>
        </is>
      </c>
      <c r="C386" t="inlineStr">
        <is>
          <t>opex</t>
        </is>
      </c>
      <c r="D386" t="inlineStr">
        <is>
          <t>staff</t>
        </is>
      </c>
      <c r="E386" t="inlineStr">
        <is>
          <t>PAYROLL</t>
        </is>
      </c>
      <c r="F386" t="inlineStr"/>
      <c r="G386" s="50" t="n">
        <v>15421.77</v>
      </c>
      <c r="H386" t="inlineStr">
        <is>
          <t>EUR</t>
        </is>
      </c>
      <c r="I386" t="inlineStr">
        <is>
          <t>EUR</t>
        </is>
      </c>
      <c r="J386" s="51" t="n">
        <v>1</v>
      </c>
      <c r="K386" s="50" t="n">
        <v>15421.77</v>
      </c>
      <c r="L386" t="inlineStr">
        <is>
          <t>payroll_documents</t>
        </is>
      </c>
      <c r="M386" t="inlineStr"/>
      <c r="N386" t="inlineStr"/>
    </row>
    <row r="387" ht="12" customHeight="1">
      <c r="A387" t="inlineStr">
        <is>
          <t>202607</t>
        </is>
      </c>
      <c r="B387" t="inlineStr">
        <is>
          <t>SL</t>
        </is>
      </c>
      <c r="C387" t="inlineStr">
        <is>
          <t>opex</t>
        </is>
      </c>
      <c r="D387" t="inlineStr">
        <is>
          <t>staff</t>
        </is>
      </c>
      <c r="E387" t="inlineStr">
        <is>
          <t>PAYROLL</t>
        </is>
      </c>
      <c r="F387" t="inlineStr"/>
      <c r="G387" s="50" t="n">
        <v>15515.1</v>
      </c>
      <c r="H387" t="inlineStr">
        <is>
          <t>EUR</t>
        </is>
      </c>
      <c r="I387" t="inlineStr">
        <is>
          <t>EUR</t>
        </is>
      </c>
      <c r="J387" s="51" t="n">
        <v>1</v>
      </c>
      <c r="K387" s="50" t="n">
        <v>15515.1</v>
      </c>
      <c r="L387" t="inlineStr">
        <is>
          <t>payroll_documents</t>
        </is>
      </c>
      <c r="M387" t="inlineStr"/>
      <c r="N387" t="inlineStr"/>
    </row>
    <row r="388" ht="12" customHeight="1">
      <c r="A388" t="inlineStr">
        <is>
          <t>202601</t>
        </is>
      </c>
      <c r="B388" t="inlineStr">
        <is>
          <t>SL</t>
        </is>
      </c>
      <c r="C388" t="inlineStr">
        <is>
          <t>opex</t>
        </is>
      </c>
      <c r="D388" t="inlineStr">
        <is>
          <t>otros_gastos</t>
        </is>
      </c>
      <c r="E388" t="inlineStr">
        <is>
          <t>OTROSGASTOS</t>
        </is>
      </c>
      <c r="F388" t="inlineStr">
        <is>
          <t>Otros gastos enero 2026</t>
        </is>
      </c>
      <c r="G388" s="50" t="n">
        <v>411.87</v>
      </c>
      <c r="H388" t="inlineStr">
        <is>
          <t>EUR</t>
        </is>
      </c>
      <c r="I388" t="inlineStr">
        <is>
          <t>EUR</t>
        </is>
      </c>
      <c r="J388" s="51" t="n">
        <v>1</v>
      </c>
      <c r="K388" s="50" t="n">
        <v>411.87</v>
      </c>
      <c r="L388" t="inlineStr">
        <is>
          <t>otros_gastos</t>
        </is>
      </c>
      <c r="M388" t="inlineStr"/>
      <c r="N388" t="inlineStr"/>
    </row>
    <row r="389" ht="12" customHeight="1">
      <c r="A389" t="inlineStr">
        <is>
          <t>202602</t>
        </is>
      </c>
      <c r="B389" t="inlineStr">
        <is>
          <t>SL</t>
        </is>
      </c>
      <c r="C389" t="inlineStr">
        <is>
          <t>opex</t>
        </is>
      </c>
      <c r="D389" t="inlineStr">
        <is>
          <t>otros_gastos</t>
        </is>
      </c>
      <c r="E389" t="inlineStr">
        <is>
          <t>OTROSGASTOS</t>
        </is>
      </c>
      <c r="F389" t="inlineStr">
        <is>
          <t>Otros gastos febrero 2026</t>
        </is>
      </c>
      <c r="G389" s="50" t="n">
        <v>554.46</v>
      </c>
      <c r="H389" t="inlineStr">
        <is>
          <t>EUR</t>
        </is>
      </c>
      <c r="I389" t="inlineStr">
        <is>
          <t>EUR</t>
        </is>
      </c>
      <c r="J389" s="51" t="n">
        <v>1</v>
      </c>
      <c r="K389" s="50" t="n">
        <v>554.46</v>
      </c>
      <c r="L389" t="inlineStr">
        <is>
          <t>otros_gastos</t>
        </is>
      </c>
      <c r="M389" t="inlineStr"/>
      <c r="N389" t="inlineStr"/>
    </row>
    <row r="390" ht="12" customHeight="1">
      <c r="A390" t="inlineStr">
        <is>
          <t>202604</t>
        </is>
      </c>
      <c r="B390" t="inlineStr">
        <is>
          <t>SL</t>
        </is>
      </c>
      <c r="C390" t="inlineStr">
        <is>
          <t>opex</t>
        </is>
      </c>
      <c r="D390" t="inlineStr">
        <is>
          <t>otros_gastos</t>
        </is>
      </c>
      <c r="E390" t="inlineStr">
        <is>
          <t>OTROSGASTOS</t>
        </is>
      </c>
      <c r="F390" t="inlineStr">
        <is>
          <t>Gastos no categorizados abril 2026</t>
        </is>
      </c>
      <c r="G390" s="50" t="n">
        <v>935.45</v>
      </c>
      <c r="H390" t="inlineStr">
        <is>
          <t>EUR</t>
        </is>
      </c>
      <c r="I390" t="inlineStr">
        <is>
          <t>EUR</t>
        </is>
      </c>
      <c r="J390" s="51" t="n">
        <v>1</v>
      </c>
      <c r="K390" s="50" t="n">
        <v>935.45</v>
      </c>
      <c r="L390" t="inlineStr">
        <is>
          <t>otros_gastos</t>
        </is>
      </c>
      <c r="M390" t="inlineStr"/>
      <c r="N390" t="inlineStr"/>
    </row>
    <row r="391" ht="12" customHeight="1">
      <c r="A391" t="inlineStr">
        <is>
          <t>202606</t>
        </is>
      </c>
      <c r="B391" t="inlineStr">
        <is>
          <t>SL</t>
        </is>
      </c>
      <c r="C391" t="inlineStr">
        <is>
          <t>opex</t>
        </is>
      </c>
      <c r="D391" t="inlineStr">
        <is>
          <t>otros_gastos</t>
        </is>
      </c>
      <c r="E391" t="inlineStr">
        <is>
          <t>OTROSGASTOS</t>
        </is>
      </c>
      <c r="F391" t="inlineStr">
        <is>
          <t>Otros gastos junio 2026</t>
        </is>
      </c>
      <c r="G391" s="50" t="n">
        <v>240.24</v>
      </c>
      <c r="H391" t="inlineStr">
        <is>
          <t>EUR</t>
        </is>
      </c>
      <c r="I391" t="inlineStr">
        <is>
          <t>EUR</t>
        </is>
      </c>
      <c r="J391" s="51" t="n">
        <v>1</v>
      </c>
      <c r="K391" s="50" t="n">
        <v>240.24</v>
      </c>
      <c r="L391" t="inlineStr">
        <is>
          <t>otros_gastos</t>
        </is>
      </c>
      <c r="M391" t="inlineStr"/>
      <c r="N391" t="inlineStr"/>
    </row>
  </sheetData>
  <hyperlinks>
    <hyperlink ref="A1" location="'P&amp;G-SL'!A1" display="&lt;- Volver a P&amp;G-SL"/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  <hyperlink xmlns:r="http://schemas.openxmlformats.org/officeDocument/2006/relationships" ref="M21" r:id="rId19"/>
    <hyperlink xmlns:r="http://schemas.openxmlformats.org/officeDocument/2006/relationships" ref="M22" r:id="rId20"/>
    <hyperlink xmlns:r="http://schemas.openxmlformats.org/officeDocument/2006/relationships" ref="M23" r:id="rId21"/>
    <hyperlink xmlns:r="http://schemas.openxmlformats.org/officeDocument/2006/relationships" ref="M24" r:id="rId22"/>
    <hyperlink xmlns:r="http://schemas.openxmlformats.org/officeDocument/2006/relationships" ref="M25" r:id="rId23"/>
    <hyperlink xmlns:r="http://schemas.openxmlformats.org/officeDocument/2006/relationships" ref="M26" r:id="rId24"/>
    <hyperlink xmlns:r="http://schemas.openxmlformats.org/officeDocument/2006/relationships" ref="M27" r:id="rId25"/>
    <hyperlink xmlns:r="http://schemas.openxmlformats.org/officeDocument/2006/relationships" ref="M28" r:id="rId26"/>
    <hyperlink xmlns:r="http://schemas.openxmlformats.org/officeDocument/2006/relationships" ref="M29" r:id="rId27"/>
    <hyperlink xmlns:r="http://schemas.openxmlformats.org/officeDocument/2006/relationships" ref="M30" r:id="rId28"/>
    <hyperlink xmlns:r="http://schemas.openxmlformats.org/officeDocument/2006/relationships" ref="M31" r:id="rId29"/>
    <hyperlink xmlns:r="http://schemas.openxmlformats.org/officeDocument/2006/relationships" ref="M32" r:id="rId30"/>
    <hyperlink xmlns:r="http://schemas.openxmlformats.org/officeDocument/2006/relationships" ref="M33" r:id="rId31"/>
    <hyperlink xmlns:r="http://schemas.openxmlformats.org/officeDocument/2006/relationships" ref="M34" r:id="rId32"/>
    <hyperlink xmlns:r="http://schemas.openxmlformats.org/officeDocument/2006/relationships" ref="M35" r:id="rId33"/>
    <hyperlink xmlns:r="http://schemas.openxmlformats.org/officeDocument/2006/relationships" ref="M36" r:id="rId34"/>
    <hyperlink xmlns:r="http://schemas.openxmlformats.org/officeDocument/2006/relationships" ref="M37" r:id="rId35"/>
    <hyperlink xmlns:r="http://schemas.openxmlformats.org/officeDocument/2006/relationships" ref="M38" r:id="rId36"/>
    <hyperlink xmlns:r="http://schemas.openxmlformats.org/officeDocument/2006/relationships" ref="M39" r:id="rId37"/>
    <hyperlink xmlns:r="http://schemas.openxmlformats.org/officeDocument/2006/relationships" ref="M40" r:id="rId38"/>
    <hyperlink xmlns:r="http://schemas.openxmlformats.org/officeDocument/2006/relationships" ref="M41" r:id="rId39"/>
    <hyperlink xmlns:r="http://schemas.openxmlformats.org/officeDocument/2006/relationships" ref="M42" r:id="rId40"/>
    <hyperlink xmlns:r="http://schemas.openxmlformats.org/officeDocument/2006/relationships" ref="M43" r:id="rId41"/>
    <hyperlink xmlns:r="http://schemas.openxmlformats.org/officeDocument/2006/relationships" ref="M44" r:id="rId42"/>
    <hyperlink xmlns:r="http://schemas.openxmlformats.org/officeDocument/2006/relationships" ref="M45" r:id="rId43"/>
    <hyperlink xmlns:r="http://schemas.openxmlformats.org/officeDocument/2006/relationships" ref="M46" r:id="rId44"/>
    <hyperlink xmlns:r="http://schemas.openxmlformats.org/officeDocument/2006/relationships" ref="M47" r:id="rId45"/>
    <hyperlink xmlns:r="http://schemas.openxmlformats.org/officeDocument/2006/relationships" ref="M48" r:id="rId46"/>
    <hyperlink xmlns:r="http://schemas.openxmlformats.org/officeDocument/2006/relationships" ref="M49" r:id="rId47"/>
    <hyperlink xmlns:r="http://schemas.openxmlformats.org/officeDocument/2006/relationships" ref="M50" r:id="rId48"/>
    <hyperlink xmlns:r="http://schemas.openxmlformats.org/officeDocument/2006/relationships" ref="M51" r:id="rId49"/>
    <hyperlink xmlns:r="http://schemas.openxmlformats.org/officeDocument/2006/relationships" ref="M52" r:id="rId50"/>
    <hyperlink xmlns:r="http://schemas.openxmlformats.org/officeDocument/2006/relationships" ref="M53" r:id="rId51"/>
    <hyperlink xmlns:r="http://schemas.openxmlformats.org/officeDocument/2006/relationships" ref="M54" r:id="rId52"/>
    <hyperlink xmlns:r="http://schemas.openxmlformats.org/officeDocument/2006/relationships" ref="M55" r:id="rId53"/>
    <hyperlink xmlns:r="http://schemas.openxmlformats.org/officeDocument/2006/relationships" ref="M56" r:id="rId54"/>
    <hyperlink xmlns:r="http://schemas.openxmlformats.org/officeDocument/2006/relationships" ref="M57" r:id="rId55"/>
    <hyperlink xmlns:r="http://schemas.openxmlformats.org/officeDocument/2006/relationships" ref="M58" r:id="rId56"/>
    <hyperlink xmlns:r="http://schemas.openxmlformats.org/officeDocument/2006/relationships" ref="M59" r:id="rId57"/>
    <hyperlink xmlns:r="http://schemas.openxmlformats.org/officeDocument/2006/relationships" ref="M60" r:id="rId58"/>
    <hyperlink xmlns:r="http://schemas.openxmlformats.org/officeDocument/2006/relationships" ref="M61" r:id="rId59"/>
    <hyperlink xmlns:r="http://schemas.openxmlformats.org/officeDocument/2006/relationships" ref="M62" r:id="rId60"/>
    <hyperlink xmlns:r="http://schemas.openxmlformats.org/officeDocument/2006/relationships" ref="M63" r:id="rId61"/>
    <hyperlink xmlns:r="http://schemas.openxmlformats.org/officeDocument/2006/relationships" ref="M64" r:id="rId62"/>
    <hyperlink xmlns:r="http://schemas.openxmlformats.org/officeDocument/2006/relationships" ref="M65" r:id="rId63"/>
    <hyperlink xmlns:r="http://schemas.openxmlformats.org/officeDocument/2006/relationships" ref="M66" r:id="rId64"/>
    <hyperlink xmlns:r="http://schemas.openxmlformats.org/officeDocument/2006/relationships" ref="M67" r:id="rId65"/>
    <hyperlink xmlns:r="http://schemas.openxmlformats.org/officeDocument/2006/relationships" ref="M68" r:id="rId66"/>
    <hyperlink xmlns:r="http://schemas.openxmlformats.org/officeDocument/2006/relationships" ref="M69" r:id="rId67"/>
    <hyperlink xmlns:r="http://schemas.openxmlformats.org/officeDocument/2006/relationships" ref="M70" r:id="rId68"/>
    <hyperlink xmlns:r="http://schemas.openxmlformats.org/officeDocument/2006/relationships" ref="M71" r:id="rId69"/>
    <hyperlink xmlns:r="http://schemas.openxmlformats.org/officeDocument/2006/relationships" ref="M72" r:id="rId70"/>
    <hyperlink xmlns:r="http://schemas.openxmlformats.org/officeDocument/2006/relationships" ref="M73" r:id="rId71"/>
    <hyperlink xmlns:r="http://schemas.openxmlformats.org/officeDocument/2006/relationships" ref="M74" r:id="rId72"/>
    <hyperlink xmlns:r="http://schemas.openxmlformats.org/officeDocument/2006/relationships" ref="M75" r:id="rId73"/>
    <hyperlink xmlns:r="http://schemas.openxmlformats.org/officeDocument/2006/relationships" ref="M76" r:id="rId74"/>
    <hyperlink xmlns:r="http://schemas.openxmlformats.org/officeDocument/2006/relationships" ref="M77" r:id="rId75"/>
    <hyperlink xmlns:r="http://schemas.openxmlformats.org/officeDocument/2006/relationships" ref="M78" r:id="rId76"/>
    <hyperlink xmlns:r="http://schemas.openxmlformats.org/officeDocument/2006/relationships" ref="M79" r:id="rId77"/>
    <hyperlink xmlns:r="http://schemas.openxmlformats.org/officeDocument/2006/relationships" ref="M80" r:id="rId78"/>
    <hyperlink xmlns:r="http://schemas.openxmlformats.org/officeDocument/2006/relationships" ref="M81" r:id="rId79"/>
    <hyperlink xmlns:r="http://schemas.openxmlformats.org/officeDocument/2006/relationships" ref="M82" r:id="rId80"/>
    <hyperlink xmlns:r="http://schemas.openxmlformats.org/officeDocument/2006/relationships" ref="M83" r:id="rId81"/>
    <hyperlink xmlns:r="http://schemas.openxmlformats.org/officeDocument/2006/relationships" ref="M84" r:id="rId82"/>
    <hyperlink xmlns:r="http://schemas.openxmlformats.org/officeDocument/2006/relationships" ref="M85" r:id="rId83"/>
    <hyperlink xmlns:r="http://schemas.openxmlformats.org/officeDocument/2006/relationships" ref="M86" r:id="rId84"/>
    <hyperlink xmlns:r="http://schemas.openxmlformats.org/officeDocument/2006/relationships" ref="M87" r:id="rId85"/>
    <hyperlink xmlns:r="http://schemas.openxmlformats.org/officeDocument/2006/relationships" ref="M88" r:id="rId86"/>
    <hyperlink xmlns:r="http://schemas.openxmlformats.org/officeDocument/2006/relationships" ref="M89" r:id="rId87"/>
    <hyperlink xmlns:r="http://schemas.openxmlformats.org/officeDocument/2006/relationships" ref="M90" r:id="rId88"/>
    <hyperlink xmlns:r="http://schemas.openxmlformats.org/officeDocument/2006/relationships" ref="M91" r:id="rId89"/>
    <hyperlink xmlns:r="http://schemas.openxmlformats.org/officeDocument/2006/relationships" ref="M92" r:id="rId90"/>
    <hyperlink xmlns:r="http://schemas.openxmlformats.org/officeDocument/2006/relationships" ref="M93" r:id="rId91"/>
    <hyperlink xmlns:r="http://schemas.openxmlformats.org/officeDocument/2006/relationships" ref="M94" r:id="rId92"/>
    <hyperlink xmlns:r="http://schemas.openxmlformats.org/officeDocument/2006/relationships" ref="M95" r:id="rId93"/>
    <hyperlink xmlns:r="http://schemas.openxmlformats.org/officeDocument/2006/relationships" ref="M96" r:id="rId94"/>
    <hyperlink xmlns:r="http://schemas.openxmlformats.org/officeDocument/2006/relationships" ref="M97" r:id="rId95"/>
    <hyperlink xmlns:r="http://schemas.openxmlformats.org/officeDocument/2006/relationships" ref="M98" r:id="rId96"/>
    <hyperlink xmlns:r="http://schemas.openxmlformats.org/officeDocument/2006/relationships" ref="M99" r:id="rId97"/>
    <hyperlink xmlns:r="http://schemas.openxmlformats.org/officeDocument/2006/relationships" ref="M100" r:id="rId98"/>
    <hyperlink xmlns:r="http://schemas.openxmlformats.org/officeDocument/2006/relationships" ref="M101" r:id="rId99"/>
    <hyperlink xmlns:r="http://schemas.openxmlformats.org/officeDocument/2006/relationships" ref="M102" r:id="rId100"/>
    <hyperlink xmlns:r="http://schemas.openxmlformats.org/officeDocument/2006/relationships" ref="M103" r:id="rId101"/>
    <hyperlink xmlns:r="http://schemas.openxmlformats.org/officeDocument/2006/relationships" ref="M104" r:id="rId102"/>
    <hyperlink xmlns:r="http://schemas.openxmlformats.org/officeDocument/2006/relationships" ref="M105" r:id="rId103"/>
    <hyperlink xmlns:r="http://schemas.openxmlformats.org/officeDocument/2006/relationships" ref="M106" r:id="rId104"/>
    <hyperlink xmlns:r="http://schemas.openxmlformats.org/officeDocument/2006/relationships" ref="M107" r:id="rId105"/>
    <hyperlink xmlns:r="http://schemas.openxmlformats.org/officeDocument/2006/relationships" ref="M108" r:id="rId106"/>
    <hyperlink xmlns:r="http://schemas.openxmlformats.org/officeDocument/2006/relationships" ref="M109" r:id="rId107"/>
    <hyperlink xmlns:r="http://schemas.openxmlformats.org/officeDocument/2006/relationships" ref="M110" r:id="rId108"/>
    <hyperlink xmlns:r="http://schemas.openxmlformats.org/officeDocument/2006/relationships" ref="M111" r:id="rId109"/>
    <hyperlink xmlns:r="http://schemas.openxmlformats.org/officeDocument/2006/relationships" ref="M112" r:id="rId110"/>
    <hyperlink xmlns:r="http://schemas.openxmlformats.org/officeDocument/2006/relationships" ref="M113" r:id="rId111"/>
    <hyperlink xmlns:r="http://schemas.openxmlformats.org/officeDocument/2006/relationships" ref="M114" r:id="rId112"/>
    <hyperlink xmlns:r="http://schemas.openxmlformats.org/officeDocument/2006/relationships" ref="M115" r:id="rId113"/>
    <hyperlink xmlns:r="http://schemas.openxmlformats.org/officeDocument/2006/relationships" ref="M116" r:id="rId114"/>
    <hyperlink xmlns:r="http://schemas.openxmlformats.org/officeDocument/2006/relationships" ref="M117" r:id="rId115"/>
    <hyperlink xmlns:r="http://schemas.openxmlformats.org/officeDocument/2006/relationships" ref="M118" r:id="rId116"/>
    <hyperlink xmlns:r="http://schemas.openxmlformats.org/officeDocument/2006/relationships" ref="M119" r:id="rId117"/>
    <hyperlink xmlns:r="http://schemas.openxmlformats.org/officeDocument/2006/relationships" ref="M120" r:id="rId118"/>
    <hyperlink xmlns:r="http://schemas.openxmlformats.org/officeDocument/2006/relationships" ref="M121" r:id="rId119"/>
    <hyperlink xmlns:r="http://schemas.openxmlformats.org/officeDocument/2006/relationships" ref="M122" r:id="rId120"/>
    <hyperlink xmlns:r="http://schemas.openxmlformats.org/officeDocument/2006/relationships" ref="M123" r:id="rId121"/>
    <hyperlink xmlns:r="http://schemas.openxmlformats.org/officeDocument/2006/relationships" ref="M124" r:id="rId122"/>
    <hyperlink xmlns:r="http://schemas.openxmlformats.org/officeDocument/2006/relationships" ref="M125" r:id="rId123"/>
    <hyperlink xmlns:r="http://schemas.openxmlformats.org/officeDocument/2006/relationships" ref="M126" r:id="rId124"/>
    <hyperlink xmlns:r="http://schemas.openxmlformats.org/officeDocument/2006/relationships" ref="M127" r:id="rId125"/>
    <hyperlink xmlns:r="http://schemas.openxmlformats.org/officeDocument/2006/relationships" ref="M128" r:id="rId126"/>
    <hyperlink xmlns:r="http://schemas.openxmlformats.org/officeDocument/2006/relationships" ref="M129" r:id="rId127"/>
    <hyperlink xmlns:r="http://schemas.openxmlformats.org/officeDocument/2006/relationships" ref="M130" r:id="rId128"/>
    <hyperlink xmlns:r="http://schemas.openxmlformats.org/officeDocument/2006/relationships" ref="M131" r:id="rId129"/>
    <hyperlink xmlns:r="http://schemas.openxmlformats.org/officeDocument/2006/relationships" ref="M132" r:id="rId130"/>
    <hyperlink xmlns:r="http://schemas.openxmlformats.org/officeDocument/2006/relationships" ref="M133" r:id="rId131"/>
    <hyperlink xmlns:r="http://schemas.openxmlformats.org/officeDocument/2006/relationships" ref="M134" r:id="rId132"/>
    <hyperlink xmlns:r="http://schemas.openxmlformats.org/officeDocument/2006/relationships" ref="M135" r:id="rId133"/>
    <hyperlink xmlns:r="http://schemas.openxmlformats.org/officeDocument/2006/relationships" ref="M136" r:id="rId134"/>
    <hyperlink xmlns:r="http://schemas.openxmlformats.org/officeDocument/2006/relationships" ref="M137" r:id="rId135"/>
    <hyperlink xmlns:r="http://schemas.openxmlformats.org/officeDocument/2006/relationships" ref="M138" r:id="rId136"/>
    <hyperlink xmlns:r="http://schemas.openxmlformats.org/officeDocument/2006/relationships" ref="M139" r:id="rId137"/>
    <hyperlink xmlns:r="http://schemas.openxmlformats.org/officeDocument/2006/relationships" ref="M140" r:id="rId138"/>
    <hyperlink xmlns:r="http://schemas.openxmlformats.org/officeDocument/2006/relationships" ref="M141" r:id="rId139"/>
    <hyperlink xmlns:r="http://schemas.openxmlformats.org/officeDocument/2006/relationships" ref="M142" r:id="rId140"/>
    <hyperlink xmlns:r="http://schemas.openxmlformats.org/officeDocument/2006/relationships" ref="M143" r:id="rId141"/>
    <hyperlink xmlns:r="http://schemas.openxmlformats.org/officeDocument/2006/relationships" ref="M144" r:id="rId142"/>
    <hyperlink xmlns:r="http://schemas.openxmlformats.org/officeDocument/2006/relationships" ref="M145" r:id="rId143"/>
    <hyperlink xmlns:r="http://schemas.openxmlformats.org/officeDocument/2006/relationships" ref="M146" r:id="rId144"/>
    <hyperlink xmlns:r="http://schemas.openxmlformats.org/officeDocument/2006/relationships" ref="M147" r:id="rId145"/>
    <hyperlink xmlns:r="http://schemas.openxmlformats.org/officeDocument/2006/relationships" ref="M148" r:id="rId146"/>
    <hyperlink xmlns:r="http://schemas.openxmlformats.org/officeDocument/2006/relationships" ref="M149" r:id="rId147"/>
    <hyperlink xmlns:r="http://schemas.openxmlformats.org/officeDocument/2006/relationships" ref="M150" r:id="rId148"/>
    <hyperlink xmlns:r="http://schemas.openxmlformats.org/officeDocument/2006/relationships" ref="M151" r:id="rId149"/>
    <hyperlink xmlns:r="http://schemas.openxmlformats.org/officeDocument/2006/relationships" ref="M152" r:id="rId150"/>
    <hyperlink xmlns:r="http://schemas.openxmlformats.org/officeDocument/2006/relationships" ref="M153" r:id="rId151"/>
    <hyperlink xmlns:r="http://schemas.openxmlformats.org/officeDocument/2006/relationships" ref="M154" r:id="rId152"/>
    <hyperlink xmlns:r="http://schemas.openxmlformats.org/officeDocument/2006/relationships" ref="M155" r:id="rId153"/>
    <hyperlink xmlns:r="http://schemas.openxmlformats.org/officeDocument/2006/relationships" ref="M156" r:id="rId154"/>
    <hyperlink xmlns:r="http://schemas.openxmlformats.org/officeDocument/2006/relationships" ref="M157" r:id="rId155"/>
    <hyperlink xmlns:r="http://schemas.openxmlformats.org/officeDocument/2006/relationships" ref="M158" r:id="rId156"/>
    <hyperlink xmlns:r="http://schemas.openxmlformats.org/officeDocument/2006/relationships" ref="M159" r:id="rId157"/>
    <hyperlink xmlns:r="http://schemas.openxmlformats.org/officeDocument/2006/relationships" ref="M160" r:id="rId158"/>
    <hyperlink xmlns:r="http://schemas.openxmlformats.org/officeDocument/2006/relationships" ref="M161" r:id="rId159"/>
    <hyperlink xmlns:r="http://schemas.openxmlformats.org/officeDocument/2006/relationships" ref="M162" r:id="rId160"/>
    <hyperlink xmlns:r="http://schemas.openxmlformats.org/officeDocument/2006/relationships" ref="M163" r:id="rId161"/>
    <hyperlink xmlns:r="http://schemas.openxmlformats.org/officeDocument/2006/relationships" ref="M164" r:id="rId162"/>
    <hyperlink xmlns:r="http://schemas.openxmlformats.org/officeDocument/2006/relationships" ref="M165" r:id="rId163"/>
    <hyperlink xmlns:r="http://schemas.openxmlformats.org/officeDocument/2006/relationships" ref="M166" r:id="rId164"/>
    <hyperlink xmlns:r="http://schemas.openxmlformats.org/officeDocument/2006/relationships" ref="M167" r:id="rId165"/>
    <hyperlink xmlns:r="http://schemas.openxmlformats.org/officeDocument/2006/relationships" ref="M168" r:id="rId166"/>
    <hyperlink xmlns:r="http://schemas.openxmlformats.org/officeDocument/2006/relationships" ref="M169" r:id="rId167"/>
    <hyperlink xmlns:r="http://schemas.openxmlformats.org/officeDocument/2006/relationships" ref="M170" r:id="rId168"/>
    <hyperlink xmlns:r="http://schemas.openxmlformats.org/officeDocument/2006/relationships" ref="M171" r:id="rId169"/>
    <hyperlink xmlns:r="http://schemas.openxmlformats.org/officeDocument/2006/relationships" ref="M172" r:id="rId170"/>
    <hyperlink xmlns:r="http://schemas.openxmlformats.org/officeDocument/2006/relationships" ref="M173" r:id="rId171"/>
    <hyperlink xmlns:r="http://schemas.openxmlformats.org/officeDocument/2006/relationships" ref="M174" r:id="rId172"/>
    <hyperlink xmlns:r="http://schemas.openxmlformats.org/officeDocument/2006/relationships" ref="M175" r:id="rId173"/>
    <hyperlink xmlns:r="http://schemas.openxmlformats.org/officeDocument/2006/relationships" ref="M176" r:id="rId174"/>
    <hyperlink xmlns:r="http://schemas.openxmlformats.org/officeDocument/2006/relationships" ref="M177" r:id="rId175"/>
    <hyperlink xmlns:r="http://schemas.openxmlformats.org/officeDocument/2006/relationships" ref="M178" r:id="rId176"/>
    <hyperlink xmlns:r="http://schemas.openxmlformats.org/officeDocument/2006/relationships" ref="M179" r:id="rId177"/>
    <hyperlink xmlns:r="http://schemas.openxmlformats.org/officeDocument/2006/relationships" ref="M180" r:id="rId178"/>
    <hyperlink xmlns:r="http://schemas.openxmlformats.org/officeDocument/2006/relationships" ref="M181" r:id="rId179"/>
    <hyperlink xmlns:r="http://schemas.openxmlformats.org/officeDocument/2006/relationships" ref="M182" r:id="rId180"/>
    <hyperlink xmlns:r="http://schemas.openxmlformats.org/officeDocument/2006/relationships" ref="M183" r:id="rId181"/>
    <hyperlink xmlns:r="http://schemas.openxmlformats.org/officeDocument/2006/relationships" ref="M184" r:id="rId182"/>
    <hyperlink xmlns:r="http://schemas.openxmlformats.org/officeDocument/2006/relationships" ref="M185" r:id="rId183"/>
    <hyperlink xmlns:r="http://schemas.openxmlformats.org/officeDocument/2006/relationships" ref="M186" r:id="rId184"/>
    <hyperlink xmlns:r="http://schemas.openxmlformats.org/officeDocument/2006/relationships" ref="M187" r:id="rId185"/>
    <hyperlink xmlns:r="http://schemas.openxmlformats.org/officeDocument/2006/relationships" ref="M188" r:id="rId186"/>
    <hyperlink xmlns:r="http://schemas.openxmlformats.org/officeDocument/2006/relationships" ref="M189" r:id="rId187"/>
    <hyperlink xmlns:r="http://schemas.openxmlformats.org/officeDocument/2006/relationships" ref="M190" r:id="rId188"/>
    <hyperlink xmlns:r="http://schemas.openxmlformats.org/officeDocument/2006/relationships" ref="M191" r:id="rId189"/>
    <hyperlink xmlns:r="http://schemas.openxmlformats.org/officeDocument/2006/relationships" ref="M192" r:id="rId190"/>
    <hyperlink xmlns:r="http://schemas.openxmlformats.org/officeDocument/2006/relationships" ref="M193" r:id="rId191"/>
    <hyperlink xmlns:r="http://schemas.openxmlformats.org/officeDocument/2006/relationships" ref="M194" r:id="rId192"/>
    <hyperlink xmlns:r="http://schemas.openxmlformats.org/officeDocument/2006/relationships" ref="M195" r:id="rId193"/>
    <hyperlink xmlns:r="http://schemas.openxmlformats.org/officeDocument/2006/relationships" ref="M196" r:id="rId194"/>
    <hyperlink xmlns:r="http://schemas.openxmlformats.org/officeDocument/2006/relationships" ref="M197" r:id="rId195"/>
    <hyperlink xmlns:r="http://schemas.openxmlformats.org/officeDocument/2006/relationships" ref="M198" r:id="rId196"/>
    <hyperlink xmlns:r="http://schemas.openxmlformats.org/officeDocument/2006/relationships" ref="M199" r:id="rId197"/>
    <hyperlink xmlns:r="http://schemas.openxmlformats.org/officeDocument/2006/relationships" ref="M200" r:id="rId198"/>
    <hyperlink xmlns:r="http://schemas.openxmlformats.org/officeDocument/2006/relationships" ref="M201" r:id="rId199"/>
    <hyperlink xmlns:r="http://schemas.openxmlformats.org/officeDocument/2006/relationships" ref="M202" r:id="rId200"/>
    <hyperlink xmlns:r="http://schemas.openxmlformats.org/officeDocument/2006/relationships" ref="M203" r:id="rId201"/>
    <hyperlink xmlns:r="http://schemas.openxmlformats.org/officeDocument/2006/relationships" ref="M204" r:id="rId202"/>
    <hyperlink xmlns:r="http://schemas.openxmlformats.org/officeDocument/2006/relationships" ref="M205" r:id="rId203"/>
    <hyperlink xmlns:r="http://schemas.openxmlformats.org/officeDocument/2006/relationships" ref="M206" r:id="rId204"/>
    <hyperlink xmlns:r="http://schemas.openxmlformats.org/officeDocument/2006/relationships" ref="M207" r:id="rId205"/>
    <hyperlink xmlns:r="http://schemas.openxmlformats.org/officeDocument/2006/relationships" ref="M208" r:id="rId206"/>
    <hyperlink xmlns:r="http://schemas.openxmlformats.org/officeDocument/2006/relationships" ref="M209" r:id="rId207"/>
    <hyperlink xmlns:r="http://schemas.openxmlformats.org/officeDocument/2006/relationships" ref="M210" r:id="rId208"/>
    <hyperlink xmlns:r="http://schemas.openxmlformats.org/officeDocument/2006/relationships" ref="M211" r:id="rId209"/>
    <hyperlink xmlns:r="http://schemas.openxmlformats.org/officeDocument/2006/relationships" ref="M212" r:id="rId210"/>
    <hyperlink xmlns:r="http://schemas.openxmlformats.org/officeDocument/2006/relationships" ref="M213" r:id="rId211"/>
    <hyperlink xmlns:r="http://schemas.openxmlformats.org/officeDocument/2006/relationships" ref="M214" r:id="rId212"/>
    <hyperlink xmlns:r="http://schemas.openxmlformats.org/officeDocument/2006/relationships" ref="M215" r:id="rId213"/>
    <hyperlink xmlns:r="http://schemas.openxmlformats.org/officeDocument/2006/relationships" ref="M216" r:id="rId214"/>
    <hyperlink xmlns:r="http://schemas.openxmlformats.org/officeDocument/2006/relationships" ref="M217" r:id="rId215"/>
    <hyperlink xmlns:r="http://schemas.openxmlformats.org/officeDocument/2006/relationships" ref="M218" r:id="rId216"/>
    <hyperlink xmlns:r="http://schemas.openxmlformats.org/officeDocument/2006/relationships" ref="M219" r:id="rId217"/>
    <hyperlink xmlns:r="http://schemas.openxmlformats.org/officeDocument/2006/relationships" ref="M220" r:id="rId218"/>
    <hyperlink xmlns:r="http://schemas.openxmlformats.org/officeDocument/2006/relationships" ref="M221" r:id="rId219"/>
    <hyperlink xmlns:r="http://schemas.openxmlformats.org/officeDocument/2006/relationships" ref="M222" r:id="rId220"/>
    <hyperlink xmlns:r="http://schemas.openxmlformats.org/officeDocument/2006/relationships" ref="M223" r:id="rId221"/>
    <hyperlink xmlns:r="http://schemas.openxmlformats.org/officeDocument/2006/relationships" ref="M224" r:id="rId222"/>
    <hyperlink xmlns:r="http://schemas.openxmlformats.org/officeDocument/2006/relationships" ref="M225" r:id="rId223"/>
    <hyperlink xmlns:r="http://schemas.openxmlformats.org/officeDocument/2006/relationships" ref="M226" r:id="rId224"/>
    <hyperlink xmlns:r="http://schemas.openxmlformats.org/officeDocument/2006/relationships" ref="M227" r:id="rId225"/>
    <hyperlink xmlns:r="http://schemas.openxmlformats.org/officeDocument/2006/relationships" ref="M228" r:id="rId226"/>
    <hyperlink xmlns:r="http://schemas.openxmlformats.org/officeDocument/2006/relationships" ref="M229" r:id="rId227"/>
    <hyperlink xmlns:r="http://schemas.openxmlformats.org/officeDocument/2006/relationships" ref="M230" r:id="rId228"/>
    <hyperlink xmlns:r="http://schemas.openxmlformats.org/officeDocument/2006/relationships" ref="M231" r:id="rId229"/>
    <hyperlink xmlns:r="http://schemas.openxmlformats.org/officeDocument/2006/relationships" ref="M232" r:id="rId230"/>
    <hyperlink xmlns:r="http://schemas.openxmlformats.org/officeDocument/2006/relationships" ref="M233" r:id="rId231"/>
    <hyperlink xmlns:r="http://schemas.openxmlformats.org/officeDocument/2006/relationships" ref="M234" r:id="rId232"/>
    <hyperlink xmlns:r="http://schemas.openxmlformats.org/officeDocument/2006/relationships" ref="M235" r:id="rId233"/>
    <hyperlink xmlns:r="http://schemas.openxmlformats.org/officeDocument/2006/relationships" ref="M236" r:id="rId234"/>
    <hyperlink xmlns:r="http://schemas.openxmlformats.org/officeDocument/2006/relationships" ref="M237" r:id="rId235"/>
    <hyperlink xmlns:r="http://schemas.openxmlformats.org/officeDocument/2006/relationships" ref="M238" r:id="rId236"/>
    <hyperlink xmlns:r="http://schemas.openxmlformats.org/officeDocument/2006/relationships" ref="M239" r:id="rId237"/>
    <hyperlink xmlns:r="http://schemas.openxmlformats.org/officeDocument/2006/relationships" ref="M240" r:id="rId238"/>
    <hyperlink xmlns:r="http://schemas.openxmlformats.org/officeDocument/2006/relationships" ref="M241" r:id="rId239"/>
    <hyperlink xmlns:r="http://schemas.openxmlformats.org/officeDocument/2006/relationships" ref="M242" r:id="rId240"/>
    <hyperlink xmlns:r="http://schemas.openxmlformats.org/officeDocument/2006/relationships" ref="M243" r:id="rId241"/>
    <hyperlink xmlns:r="http://schemas.openxmlformats.org/officeDocument/2006/relationships" ref="M244" r:id="rId242"/>
    <hyperlink xmlns:r="http://schemas.openxmlformats.org/officeDocument/2006/relationships" ref="M245" r:id="rId243"/>
    <hyperlink xmlns:r="http://schemas.openxmlformats.org/officeDocument/2006/relationships" ref="M246" r:id="rId244"/>
    <hyperlink xmlns:r="http://schemas.openxmlformats.org/officeDocument/2006/relationships" ref="M247" r:id="rId245"/>
    <hyperlink xmlns:r="http://schemas.openxmlformats.org/officeDocument/2006/relationships" ref="M248" r:id="rId246"/>
    <hyperlink xmlns:r="http://schemas.openxmlformats.org/officeDocument/2006/relationships" ref="M249" r:id="rId247"/>
    <hyperlink xmlns:r="http://schemas.openxmlformats.org/officeDocument/2006/relationships" ref="M250" r:id="rId248"/>
    <hyperlink xmlns:r="http://schemas.openxmlformats.org/officeDocument/2006/relationships" ref="M251" r:id="rId249"/>
    <hyperlink xmlns:r="http://schemas.openxmlformats.org/officeDocument/2006/relationships" ref="M252" r:id="rId250"/>
    <hyperlink xmlns:r="http://schemas.openxmlformats.org/officeDocument/2006/relationships" ref="M253" r:id="rId251"/>
    <hyperlink xmlns:r="http://schemas.openxmlformats.org/officeDocument/2006/relationships" ref="M254" r:id="rId252"/>
    <hyperlink xmlns:r="http://schemas.openxmlformats.org/officeDocument/2006/relationships" ref="M255" r:id="rId253"/>
    <hyperlink xmlns:r="http://schemas.openxmlformats.org/officeDocument/2006/relationships" ref="M256" r:id="rId254"/>
    <hyperlink xmlns:r="http://schemas.openxmlformats.org/officeDocument/2006/relationships" ref="M257" r:id="rId255"/>
    <hyperlink xmlns:r="http://schemas.openxmlformats.org/officeDocument/2006/relationships" ref="M258" r:id="rId256"/>
    <hyperlink xmlns:r="http://schemas.openxmlformats.org/officeDocument/2006/relationships" ref="M259" r:id="rId257"/>
    <hyperlink xmlns:r="http://schemas.openxmlformats.org/officeDocument/2006/relationships" ref="M260" r:id="rId258"/>
    <hyperlink xmlns:r="http://schemas.openxmlformats.org/officeDocument/2006/relationships" ref="M261" r:id="rId259"/>
    <hyperlink xmlns:r="http://schemas.openxmlformats.org/officeDocument/2006/relationships" ref="M262" r:id="rId260"/>
    <hyperlink xmlns:r="http://schemas.openxmlformats.org/officeDocument/2006/relationships" ref="M263" r:id="rId261"/>
    <hyperlink xmlns:r="http://schemas.openxmlformats.org/officeDocument/2006/relationships" ref="M264" r:id="rId262"/>
    <hyperlink xmlns:r="http://schemas.openxmlformats.org/officeDocument/2006/relationships" ref="M265" r:id="rId263"/>
    <hyperlink xmlns:r="http://schemas.openxmlformats.org/officeDocument/2006/relationships" ref="M266" r:id="rId264"/>
    <hyperlink xmlns:r="http://schemas.openxmlformats.org/officeDocument/2006/relationships" ref="M267" r:id="rId265"/>
    <hyperlink xmlns:r="http://schemas.openxmlformats.org/officeDocument/2006/relationships" ref="M268" r:id="rId266"/>
    <hyperlink xmlns:r="http://schemas.openxmlformats.org/officeDocument/2006/relationships" ref="M269" r:id="rId267"/>
    <hyperlink xmlns:r="http://schemas.openxmlformats.org/officeDocument/2006/relationships" ref="M270" r:id="rId268"/>
    <hyperlink xmlns:r="http://schemas.openxmlformats.org/officeDocument/2006/relationships" ref="M271" r:id="rId269"/>
    <hyperlink xmlns:r="http://schemas.openxmlformats.org/officeDocument/2006/relationships" ref="M272" r:id="rId270"/>
    <hyperlink xmlns:r="http://schemas.openxmlformats.org/officeDocument/2006/relationships" ref="M273" r:id="rId271"/>
    <hyperlink xmlns:r="http://schemas.openxmlformats.org/officeDocument/2006/relationships" ref="M274" r:id="rId272"/>
    <hyperlink xmlns:r="http://schemas.openxmlformats.org/officeDocument/2006/relationships" ref="M275" r:id="rId273"/>
    <hyperlink xmlns:r="http://schemas.openxmlformats.org/officeDocument/2006/relationships" ref="M276" r:id="rId274"/>
    <hyperlink xmlns:r="http://schemas.openxmlformats.org/officeDocument/2006/relationships" ref="M277" r:id="rId275"/>
    <hyperlink xmlns:r="http://schemas.openxmlformats.org/officeDocument/2006/relationships" ref="M278" r:id="rId276"/>
    <hyperlink xmlns:r="http://schemas.openxmlformats.org/officeDocument/2006/relationships" ref="M279" r:id="rId277"/>
    <hyperlink xmlns:r="http://schemas.openxmlformats.org/officeDocument/2006/relationships" ref="M280" r:id="rId278"/>
    <hyperlink xmlns:r="http://schemas.openxmlformats.org/officeDocument/2006/relationships" ref="M281" r:id="rId279"/>
    <hyperlink xmlns:r="http://schemas.openxmlformats.org/officeDocument/2006/relationships" ref="M282" r:id="rId280"/>
    <hyperlink xmlns:r="http://schemas.openxmlformats.org/officeDocument/2006/relationships" ref="M283" r:id="rId281"/>
    <hyperlink xmlns:r="http://schemas.openxmlformats.org/officeDocument/2006/relationships" ref="M284" r:id="rId282"/>
    <hyperlink xmlns:r="http://schemas.openxmlformats.org/officeDocument/2006/relationships" ref="M285" r:id="rId283"/>
    <hyperlink xmlns:r="http://schemas.openxmlformats.org/officeDocument/2006/relationships" ref="M286" r:id="rId284"/>
    <hyperlink xmlns:r="http://schemas.openxmlformats.org/officeDocument/2006/relationships" ref="M287" r:id="rId285"/>
    <hyperlink xmlns:r="http://schemas.openxmlformats.org/officeDocument/2006/relationships" ref="M288" r:id="rId286"/>
    <hyperlink xmlns:r="http://schemas.openxmlformats.org/officeDocument/2006/relationships" ref="M289" r:id="rId287"/>
    <hyperlink xmlns:r="http://schemas.openxmlformats.org/officeDocument/2006/relationships" ref="M290" r:id="rId288"/>
    <hyperlink xmlns:r="http://schemas.openxmlformats.org/officeDocument/2006/relationships" ref="M291" r:id="rId289"/>
    <hyperlink xmlns:r="http://schemas.openxmlformats.org/officeDocument/2006/relationships" ref="M292" r:id="rId290"/>
    <hyperlink xmlns:r="http://schemas.openxmlformats.org/officeDocument/2006/relationships" ref="M293" r:id="rId291"/>
    <hyperlink xmlns:r="http://schemas.openxmlformats.org/officeDocument/2006/relationships" ref="M294" r:id="rId292"/>
    <hyperlink xmlns:r="http://schemas.openxmlformats.org/officeDocument/2006/relationships" ref="M295" r:id="rId293"/>
    <hyperlink xmlns:r="http://schemas.openxmlformats.org/officeDocument/2006/relationships" ref="M296" r:id="rId294"/>
    <hyperlink xmlns:r="http://schemas.openxmlformats.org/officeDocument/2006/relationships" ref="M297" r:id="rId295"/>
    <hyperlink xmlns:r="http://schemas.openxmlformats.org/officeDocument/2006/relationships" ref="M298" r:id="rId296"/>
    <hyperlink xmlns:r="http://schemas.openxmlformats.org/officeDocument/2006/relationships" ref="M299" r:id="rId297"/>
    <hyperlink xmlns:r="http://schemas.openxmlformats.org/officeDocument/2006/relationships" ref="M300" r:id="rId298"/>
    <hyperlink xmlns:r="http://schemas.openxmlformats.org/officeDocument/2006/relationships" ref="M301" r:id="rId299"/>
    <hyperlink xmlns:r="http://schemas.openxmlformats.org/officeDocument/2006/relationships" ref="M302" r:id="rId300"/>
    <hyperlink xmlns:r="http://schemas.openxmlformats.org/officeDocument/2006/relationships" ref="M303" r:id="rId301"/>
    <hyperlink xmlns:r="http://schemas.openxmlformats.org/officeDocument/2006/relationships" ref="M304" r:id="rId302"/>
    <hyperlink xmlns:r="http://schemas.openxmlformats.org/officeDocument/2006/relationships" ref="M305" r:id="rId303"/>
    <hyperlink xmlns:r="http://schemas.openxmlformats.org/officeDocument/2006/relationships" ref="M306" r:id="rId304"/>
    <hyperlink xmlns:r="http://schemas.openxmlformats.org/officeDocument/2006/relationships" ref="M307" r:id="rId305"/>
    <hyperlink xmlns:r="http://schemas.openxmlformats.org/officeDocument/2006/relationships" ref="M308" r:id="rId306"/>
    <hyperlink xmlns:r="http://schemas.openxmlformats.org/officeDocument/2006/relationships" ref="M309" r:id="rId307"/>
    <hyperlink xmlns:r="http://schemas.openxmlformats.org/officeDocument/2006/relationships" ref="M310" r:id="rId308"/>
    <hyperlink xmlns:r="http://schemas.openxmlformats.org/officeDocument/2006/relationships" ref="M311" r:id="rId309"/>
    <hyperlink xmlns:r="http://schemas.openxmlformats.org/officeDocument/2006/relationships" ref="M312" r:id="rId310"/>
    <hyperlink xmlns:r="http://schemas.openxmlformats.org/officeDocument/2006/relationships" ref="M313" r:id="rId311"/>
    <hyperlink xmlns:r="http://schemas.openxmlformats.org/officeDocument/2006/relationships" ref="M314" r:id="rId312"/>
    <hyperlink xmlns:r="http://schemas.openxmlformats.org/officeDocument/2006/relationships" ref="M315" r:id="rId313"/>
    <hyperlink xmlns:r="http://schemas.openxmlformats.org/officeDocument/2006/relationships" ref="M316" r:id="rId314"/>
    <hyperlink xmlns:r="http://schemas.openxmlformats.org/officeDocument/2006/relationships" ref="M317" r:id="rId315"/>
    <hyperlink xmlns:r="http://schemas.openxmlformats.org/officeDocument/2006/relationships" ref="M318" r:id="rId316"/>
    <hyperlink xmlns:r="http://schemas.openxmlformats.org/officeDocument/2006/relationships" ref="M319" r:id="rId317"/>
    <hyperlink xmlns:r="http://schemas.openxmlformats.org/officeDocument/2006/relationships" ref="M320" r:id="rId318"/>
    <hyperlink xmlns:r="http://schemas.openxmlformats.org/officeDocument/2006/relationships" ref="M321" r:id="rId319"/>
    <hyperlink xmlns:r="http://schemas.openxmlformats.org/officeDocument/2006/relationships" ref="M322" r:id="rId320"/>
    <hyperlink xmlns:r="http://schemas.openxmlformats.org/officeDocument/2006/relationships" ref="M323" r:id="rId321"/>
    <hyperlink xmlns:r="http://schemas.openxmlformats.org/officeDocument/2006/relationships" ref="M324" r:id="rId322"/>
    <hyperlink xmlns:r="http://schemas.openxmlformats.org/officeDocument/2006/relationships" ref="M325" r:id="rId323"/>
    <hyperlink xmlns:r="http://schemas.openxmlformats.org/officeDocument/2006/relationships" ref="M326" r:id="rId324"/>
    <hyperlink xmlns:r="http://schemas.openxmlformats.org/officeDocument/2006/relationships" ref="M327" r:id="rId325"/>
    <hyperlink xmlns:r="http://schemas.openxmlformats.org/officeDocument/2006/relationships" ref="M328" r:id="rId326"/>
    <hyperlink xmlns:r="http://schemas.openxmlformats.org/officeDocument/2006/relationships" ref="M329" r:id="rId327"/>
    <hyperlink xmlns:r="http://schemas.openxmlformats.org/officeDocument/2006/relationships" ref="M330" r:id="rId328"/>
    <hyperlink xmlns:r="http://schemas.openxmlformats.org/officeDocument/2006/relationships" ref="M331" r:id="rId329"/>
    <hyperlink xmlns:r="http://schemas.openxmlformats.org/officeDocument/2006/relationships" ref="M332" r:id="rId330"/>
    <hyperlink xmlns:r="http://schemas.openxmlformats.org/officeDocument/2006/relationships" ref="M333" r:id="rId331"/>
    <hyperlink xmlns:r="http://schemas.openxmlformats.org/officeDocument/2006/relationships" ref="M334" r:id="rId332"/>
    <hyperlink xmlns:r="http://schemas.openxmlformats.org/officeDocument/2006/relationships" ref="M335" r:id="rId333"/>
    <hyperlink xmlns:r="http://schemas.openxmlformats.org/officeDocument/2006/relationships" ref="M336" r:id="rId334"/>
    <hyperlink xmlns:r="http://schemas.openxmlformats.org/officeDocument/2006/relationships" ref="M337" r:id="rId335"/>
    <hyperlink xmlns:r="http://schemas.openxmlformats.org/officeDocument/2006/relationships" ref="M338" r:id="rId336"/>
    <hyperlink xmlns:r="http://schemas.openxmlformats.org/officeDocument/2006/relationships" ref="M339" r:id="rId337"/>
    <hyperlink xmlns:r="http://schemas.openxmlformats.org/officeDocument/2006/relationships" ref="M340" r:id="rId338"/>
    <hyperlink xmlns:r="http://schemas.openxmlformats.org/officeDocument/2006/relationships" ref="M341" r:id="rId339"/>
    <hyperlink xmlns:r="http://schemas.openxmlformats.org/officeDocument/2006/relationships" ref="M342" r:id="rId340"/>
    <hyperlink xmlns:r="http://schemas.openxmlformats.org/officeDocument/2006/relationships" ref="M343" r:id="rId341"/>
    <hyperlink xmlns:r="http://schemas.openxmlformats.org/officeDocument/2006/relationships" ref="M344" r:id="rId342"/>
    <hyperlink xmlns:r="http://schemas.openxmlformats.org/officeDocument/2006/relationships" ref="M345" r:id="rId343"/>
    <hyperlink xmlns:r="http://schemas.openxmlformats.org/officeDocument/2006/relationships" ref="M346" r:id="rId344"/>
    <hyperlink xmlns:r="http://schemas.openxmlformats.org/officeDocument/2006/relationships" ref="M347" r:id="rId345"/>
    <hyperlink xmlns:r="http://schemas.openxmlformats.org/officeDocument/2006/relationships" ref="M348" r:id="rId346"/>
    <hyperlink xmlns:r="http://schemas.openxmlformats.org/officeDocument/2006/relationships" ref="M349" r:id="rId347"/>
    <hyperlink xmlns:r="http://schemas.openxmlformats.org/officeDocument/2006/relationships" ref="M350" r:id="rId348"/>
    <hyperlink xmlns:r="http://schemas.openxmlformats.org/officeDocument/2006/relationships" ref="M351" r:id="rId349"/>
    <hyperlink xmlns:r="http://schemas.openxmlformats.org/officeDocument/2006/relationships" ref="M352" r:id="rId350"/>
    <hyperlink xmlns:r="http://schemas.openxmlformats.org/officeDocument/2006/relationships" ref="M353" r:id="rId351"/>
    <hyperlink xmlns:r="http://schemas.openxmlformats.org/officeDocument/2006/relationships" ref="M354" r:id="rId352"/>
    <hyperlink xmlns:r="http://schemas.openxmlformats.org/officeDocument/2006/relationships" ref="M355" r:id="rId353"/>
    <hyperlink xmlns:r="http://schemas.openxmlformats.org/officeDocument/2006/relationships" ref="M356" r:id="rId354"/>
    <hyperlink xmlns:r="http://schemas.openxmlformats.org/officeDocument/2006/relationships" ref="M357" r:id="rId355"/>
    <hyperlink xmlns:r="http://schemas.openxmlformats.org/officeDocument/2006/relationships" ref="M358" r:id="rId356"/>
    <hyperlink xmlns:r="http://schemas.openxmlformats.org/officeDocument/2006/relationships" ref="M359" r:id="rId357"/>
    <hyperlink xmlns:r="http://schemas.openxmlformats.org/officeDocument/2006/relationships" ref="M360" r:id="rId358"/>
    <hyperlink xmlns:r="http://schemas.openxmlformats.org/officeDocument/2006/relationships" ref="M361" r:id="rId359"/>
    <hyperlink xmlns:r="http://schemas.openxmlformats.org/officeDocument/2006/relationships" ref="M362" r:id="rId360"/>
    <hyperlink xmlns:r="http://schemas.openxmlformats.org/officeDocument/2006/relationships" ref="M363" r:id="rId361"/>
    <hyperlink xmlns:r="http://schemas.openxmlformats.org/officeDocument/2006/relationships" ref="M364" r:id="rId362"/>
    <hyperlink xmlns:r="http://schemas.openxmlformats.org/officeDocument/2006/relationships" ref="M365" r:id="rId363"/>
    <hyperlink xmlns:r="http://schemas.openxmlformats.org/officeDocument/2006/relationships" ref="M366" r:id="rId364"/>
    <hyperlink xmlns:r="http://schemas.openxmlformats.org/officeDocument/2006/relationships" ref="M367" r:id="rId365"/>
    <hyperlink xmlns:r="http://schemas.openxmlformats.org/officeDocument/2006/relationships" ref="M368" r:id="rId366"/>
    <hyperlink xmlns:r="http://schemas.openxmlformats.org/officeDocument/2006/relationships" ref="M369" r:id="rId367"/>
    <hyperlink xmlns:r="http://schemas.openxmlformats.org/officeDocument/2006/relationships" ref="M370" r:id="rId368"/>
    <hyperlink xmlns:r="http://schemas.openxmlformats.org/officeDocument/2006/relationships" ref="M371" r:id="rId369"/>
    <hyperlink xmlns:r="http://schemas.openxmlformats.org/officeDocument/2006/relationships" ref="M372" r:id="rId370"/>
    <hyperlink xmlns:r="http://schemas.openxmlformats.org/officeDocument/2006/relationships" ref="M373" r:id="rId371"/>
    <hyperlink xmlns:r="http://schemas.openxmlformats.org/officeDocument/2006/relationships" ref="M374" r:id="rId37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9" customWidth="1" min="5" max="5"/>
    <col width="20" customWidth="1" min="6" max="6"/>
    <col width="14" customWidth="1" min="7" max="7"/>
    <col width="18" customWidth="1" min="8" max="8"/>
    <col width="14" customWidth="1" min="9" max="9"/>
  </cols>
  <sheetData>
    <row r="1" ht="12" customHeight="1">
      <c r="A1" s="48" t="inlineStr">
        <is>
          <t>&lt;- Volver a P&amp;G-SL</t>
        </is>
      </c>
    </row>
    <row r="2" ht="12" customHeight="1">
      <c r="A2" s="49" t="inlineStr">
        <is>
          <t>yyyymm</t>
        </is>
      </c>
      <c r="B2" s="49" t="inlineStr">
        <is>
          <t>entity</t>
        </is>
      </c>
      <c r="C2" s="49" t="inlineStr">
        <is>
          <t>supplier_code</t>
        </is>
      </c>
      <c r="D2" s="49" t="inlineStr">
        <is>
          <t>amount_original</t>
        </is>
      </c>
      <c r="E2" s="49" t="inlineStr">
        <is>
          <t>currency_original</t>
        </is>
      </c>
      <c r="F2" s="49" t="inlineStr">
        <is>
          <t>reporting_currency</t>
        </is>
      </c>
      <c r="G2" s="49" t="inlineStr">
        <is>
          <t>fx_rate</t>
        </is>
      </c>
      <c r="H2" s="49" t="inlineStr">
        <is>
          <t>amount_reporting</t>
        </is>
      </c>
      <c r="I2" s="49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PAYPAL</t>
        </is>
      </c>
      <c r="D3" s="50" t="n">
        <v>1382.84</v>
      </c>
      <c r="E3" t="inlineStr">
        <is>
          <t>EUR</t>
        </is>
      </c>
      <c r="F3" t="inlineStr">
        <is>
          <t>EUR</t>
        </is>
      </c>
      <c r="G3" s="51" t="n">
        <v>1</v>
      </c>
      <c r="H3" s="50" t="n">
        <v>1382.84</v>
      </c>
      <c r="I3" t="inlineStr">
        <is>
          <t>payment_fee_monthly_summary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SHOPIFY</t>
        </is>
      </c>
      <c r="D4" s="50" t="n">
        <v>2623.76</v>
      </c>
      <c r="E4" t="inlineStr">
        <is>
          <t>EUR</t>
        </is>
      </c>
      <c r="F4" t="inlineStr">
        <is>
          <t>EUR</t>
        </is>
      </c>
      <c r="G4" s="51" t="n">
        <v>1</v>
      </c>
      <c r="H4" s="50" t="n">
        <v>2623.76</v>
      </c>
      <c r="I4" t="inlineStr">
        <is>
          <t>payment_fee_monthly_summary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PAYPAL</t>
        </is>
      </c>
      <c r="D5" s="50" t="n">
        <v>1172.84</v>
      </c>
      <c r="E5" t="inlineStr">
        <is>
          <t>EUR</t>
        </is>
      </c>
      <c r="F5" t="inlineStr">
        <is>
          <t>EUR</t>
        </is>
      </c>
      <c r="G5" s="51" t="n">
        <v>1</v>
      </c>
      <c r="H5" s="50" t="n">
        <v>1172.84</v>
      </c>
      <c r="I5" t="inlineStr">
        <is>
          <t>payment_fee_monthly_summary</t>
        </is>
      </c>
    </row>
    <row r="6" ht="12" customHeight="1">
      <c r="A6" t="inlineStr">
        <is>
          <t>202602</t>
        </is>
      </c>
      <c r="B6" t="inlineStr">
        <is>
          <t>SL</t>
        </is>
      </c>
      <c r="C6" t="inlineStr">
        <is>
          <t>SHOPIFY</t>
        </is>
      </c>
      <c r="D6" s="50" t="n">
        <v>2661.9</v>
      </c>
      <c r="E6" t="inlineStr">
        <is>
          <t>EUR</t>
        </is>
      </c>
      <c r="F6" t="inlineStr">
        <is>
          <t>EUR</t>
        </is>
      </c>
      <c r="G6" s="51" t="n">
        <v>1</v>
      </c>
      <c r="H6" s="50" t="n">
        <v>2661.9</v>
      </c>
      <c r="I6" t="inlineStr">
        <is>
          <t>payment_fee_monthly_summary</t>
        </is>
      </c>
    </row>
    <row r="7" ht="12" customHeight="1">
      <c r="A7" t="inlineStr">
        <is>
          <t>202603</t>
        </is>
      </c>
      <c r="B7" t="inlineStr">
        <is>
          <t>SL</t>
        </is>
      </c>
      <c r="C7" t="inlineStr">
        <is>
          <t>PAYPAL</t>
        </is>
      </c>
      <c r="D7" s="50" t="n">
        <v>1432.27</v>
      </c>
      <c r="E7" t="inlineStr">
        <is>
          <t>EUR</t>
        </is>
      </c>
      <c r="F7" t="inlineStr">
        <is>
          <t>EUR</t>
        </is>
      </c>
      <c r="G7" s="51" t="n">
        <v>1</v>
      </c>
      <c r="H7" s="50" t="n">
        <v>1432.27</v>
      </c>
      <c r="I7" t="inlineStr">
        <is>
          <t>payment_fee_monthly_summary</t>
        </is>
      </c>
    </row>
    <row r="8" ht="12" customHeight="1">
      <c r="A8" t="inlineStr">
        <is>
          <t>202603</t>
        </is>
      </c>
      <c r="B8" t="inlineStr">
        <is>
          <t>SL</t>
        </is>
      </c>
      <c r="C8" t="inlineStr">
        <is>
          <t>SHOPIFY</t>
        </is>
      </c>
      <c r="D8" s="50" t="n">
        <v>2910.29</v>
      </c>
      <c r="E8" t="inlineStr">
        <is>
          <t>EUR</t>
        </is>
      </c>
      <c r="F8" t="inlineStr">
        <is>
          <t>EUR</t>
        </is>
      </c>
      <c r="G8" s="51" t="n">
        <v>1</v>
      </c>
      <c r="H8" s="50" t="n">
        <v>2910.29</v>
      </c>
      <c r="I8" t="inlineStr">
        <is>
          <t>payment_fee_monthly_summary</t>
        </is>
      </c>
    </row>
    <row r="9" ht="12" customHeight="1">
      <c r="A9" t="inlineStr">
        <is>
          <t>202604</t>
        </is>
      </c>
      <c r="B9" t="inlineStr">
        <is>
          <t>SL</t>
        </is>
      </c>
      <c r="C9" t="inlineStr">
        <is>
          <t>PAYPAL</t>
        </is>
      </c>
      <c r="D9" s="50" t="n">
        <v>1264.93</v>
      </c>
      <c r="E9" t="inlineStr">
        <is>
          <t>EUR</t>
        </is>
      </c>
      <c r="F9" t="inlineStr">
        <is>
          <t>EUR</t>
        </is>
      </c>
      <c r="G9" s="51" t="n">
        <v>1</v>
      </c>
      <c r="H9" s="50" t="n">
        <v>1264.93</v>
      </c>
      <c r="I9" t="inlineStr">
        <is>
          <t>payment_fee_monthly_summary</t>
        </is>
      </c>
    </row>
    <row r="10" ht="12" customHeight="1">
      <c r="A10" t="inlineStr">
        <is>
          <t>202604</t>
        </is>
      </c>
      <c r="B10" t="inlineStr">
        <is>
          <t>SL</t>
        </is>
      </c>
      <c r="C10" t="inlineStr">
        <is>
          <t>SHOPIFY</t>
        </is>
      </c>
      <c r="D10" s="50" t="n">
        <v>2532.09</v>
      </c>
      <c r="E10" t="inlineStr">
        <is>
          <t>EUR</t>
        </is>
      </c>
      <c r="F10" t="inlineStr">
        <is>
          <t>EUR</t>
        </is>
      </c>
      <c r="G10" s="51" t="n">
        <v>1</v>
      </c>
      <c r="H10" s="50" t="n">
        <v>2532.09</v>
      </c>
      <c r="I10" t="inlineStr">
        <is>
          <t>payment_fee_monthly_summary</t>
        </is>
      </c>
    </row>
    <row r="11" ht="12" customHeight="1">
      <c r="A11" t="inlineStr">
        <is>
          <t>202605</t>
        </is>
      </c>
      <c r="B11" t="inlineStr">
        <is>
          <t>SL</t>
        </is>
      </c>
      <c r="C11" t="inlineStr">
        <is>
          <t>PAYPAL</t>
        </is>
      </c>
      <c r="D11" s="50" t="n">
        <v>1146.27</v>
      </c>
      <c r="E11" t="inlineStr">
        <is>
          <t>EUR</t>
        </is>
      </c>
      <c r="F11" t="inlineStr">
        <is>
          <t>EUR</t>
        </is>
      </c>
      <c r="G11" s="51" t="n">
        <v>1</v>
      </c>
      <c r="H11" s="50" t="n">
        <v>1146.27</v>
      </c>
      <c r="I11" t="inlineStr">
        <is>
          <t>payment_fee_monthly_summary</t>
        </is>
      </c>
    </row>
    <row r="12" ht="12" customHeight="1">
      <c r="A12" t="inlineStr">
        <is>
          <t>202605</t>
        </is>
      </c>
      <c r="B12" t="inlineStr">
        <is>
          <t>SL</t>
        </is>
      </c>
      <c r="C12" t="inlineStr">
        <is>
          <t>SHOPIFY</t>
        </is>
      </c>
      <c r="D12" s="50" t="n">
        <v>2606.84</v>
      </c>
      <c r="E12" t="inlineStr">
        <is>
          <t>EUR</t>
        </is>
      </c>
      <c r="F12" t="inlineStr">
        <is>
          <t>EUR</t>
        </is>
      </c>
      <c r="G12" s="51" t="n">
        <v>1</v>
      </c>
      <c r="H12" s="50" t="n">
        <v>2606.84</v>
      </c>
      <c r="I12" t="inlineStr">
        <is>
          <t>payment_fee_monthly_summary</t>
        </is>
      </c>
    </row>
    <row r="13" ht="12" customHeight="1">
      <c r="A13" t="inlineStr">
        <is>
          <t>202606</t>
        </is>
      </c>
      <c r="B13" t="inlineStr">
        <is>
          <t>SL</t>
        </is>
      </c>
      <c r="C13" t="inlineStr">
        <is>
          <t>PAYPAL</t>
        </is>
      </c>
      <c r="D13" s="50" t="n">
        <v>28.24</v>
      </c>
      <c r="E13" t="inlineStr">
        <is>
          <t>CZK</t>
        </is>
      </c>
      <c r="F13" t="inlineStr">
        <is>
          <t>EUR</t>
        </is>
      </c>
      <c r="G13" s="51" t="n">
        <v>0.04122691</v>
      </c>
      <c r="H13" s="50" t="n">
        <v>1.16</v>
      </c>
      <c r="I13" t="inlineStr">
        <is>
          <t>payment_fee_monthly_summary</t>
        </is>
      </c>
    </row>
    <row r="14" ht="12" customHeight="1">
      <c r="A14" t="inlineStr">
        <is>
          <t>202606</t>
        </is>
      </c>
      <c r="B14" t="inlineStr">
        <is>
          <t>SL</t>
        </is>
      </c>
      <c r="C14" t="inlineStr">
        <is>
          <t>PAYPAL</t>
        </is>
      </c>
      <c r="D14" s="50" t="n">
        <v>1003</v>
      </c>
      <c r="E14" t="inlineStr">
        <is>
          <t>EUR</t>
        </is>
      </c>
      <c r="F14" t="inlineStr">
        <is>
          <t>EUR</t>
        </is>
      </c>
      <c r="G14" s="51" t="n">
        <v>1</v>
      </c>
      <c r="H14" s="50" t="n">
        <v>1003</v>
      </c>
      <c r="I14" t="inlineStr">
        <is>
          <t>payment_fee_monthly_summary</t>
        </is>
      </c>
    </row>
    <row r="15" ht="12" customHeight="1">
      <c r="A15" t="inlineStr">
        <is>
          <t>202606</t>
        </is>
      </c>
      <c r="B15" t="inlineStr">
        <is>
          <t>SL</t>
        </is>
      </c>
      <c r="C15" t="inlineStr">
        <is>
          <t>SHOPIFY</t>
        </is>
      </c>
      <c r="D15" s="50" t="n">
        <v>2248.96</v>
      </c>
      <c r="E15" t="inlineStr">
        <is>
          <t>EUR</t>
        </is>
      </c>
      <c r="F15" t="inlineStr">
        <is>
          <t>EUR</t>
        </is>
      </c>
      <c r="G15" s="51" t="n">
        <v>1</v>
      </c>
      <c r="H15" s="50" t="n">
        <v>2248.96</v>
      </c>
      <c r="I15" t="inlineStr">
        <is>
          <t>payment_fee_monthly_summary</t>
        </is>
      </c>
    </row>
    <row r="16" ht="12" customHeight="1">
      <c r="A16" t="inlineStr">
        <is>
          <t>202607</t>
        </is>
      </c>
      <c r="B16" t="inlineStr">
        <is>
          <t>SL</t>
        </is>
      </c>
      <c r="C16" t="inlineStr">
        <is>
          <t>PAYPAL</t>
        </is>
      </c>
      <c r="D16" s="50" t="n">
        <v>1150.68</v>
      </c>
      <c r="E16" t="inlineStr">
        <is>
          <t>EUR</t>
        </is>
      </c>
      <c r="F16" t="inlineStr">
        <is>
          <t>EUR</t>
        </is>
      </c>
      <c r="G16" s="51" t="n">
        <v>1</v>
      </c>
      <c r="H16" s="50" t="n">
        <v>1150.68</v>
      </c>
      <c r="I16" t="inlineStr">
        <is>
          <t>payment_fee_monthly_summary</t>
        </is>
      </c>
    </row>
    <row r="17" ht="12" customHeight="1">
      <c r="A17" t="inlineStr">
        <is>
          <t>202607</t>
        </is>
      </c>
      <c r="B17" t="inlineStr">
        <is>
          <t>SL</t>
        </is>
      </c>
      <c r="C17" t="inlineStr">
        <is>
          <t>SHOPIFY</t>
        </is>
      </c>
      <c r="D17" s="50" t="n">
        <v>3052.63</v>
      </c>
      <c r="E17" t="inlineStr">
        <is>
          <t>EUR</t>
        </is>
      </c>
      <c r="F17" t="inlineStr">
        <is>
          <t>EUR</t>
        </is>
      </c>
      <c r="G17" s="51" t="n">
        <v>1</v>
      </c>
      <c r="H17" s="50" t="n">
        <v>3052.63</v>
      </c>
      <c r="I17" t="inlineStr">
        <is>
          <t>payment_fee_monthly_summary</t>
        </is>
      </c>
    </row>
  </sheetData>
  <hyperlinks>
    <hyperlink ref="A1" location="'P&amp;G-SL'!A1" display="&lt;- Volver a P&amp;G-SL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6" customWidth="1" min="5" max="5"/>
    <col width="14" customWidth="1" min="6" max="6"/>
    <col width="14" customWidth="1" min="7" max="7"/>
  </cols>
  <sheetData>
    <row r="1" ht="12" customHeight="1">
      <c r="A1" s="48" t="inlineStr">
        <is>
          <t>&lt;- Volver a P&amp;G-SL</t>
        </is>
      </c>
    </row>
    <row r="2" ht="12" customHeight="1">
      <c r="A2" s="49" t="inlineStr">
        <is>
          <t>yyyymm</t>
        </is>
      </c>
      <c r="B2" s="49" t="inlineStr">
        <is>
          <t>rate_date</t>
        </is>
      </c>
      <c r="C2" s="49" t="inlineStr">
        <is>
          <t>currency_original</t>
        </is>
      </c>
      <c r="D2" s="49" t="inlineStr">
        <is>
          <t>reporting_currency</t>
        </is>
      </c>
      <c r="E2" s="49" t="inlineStr">
        <is>
          <t>reference_rate</t>
        </is>
      </c>
      <c r="F2" s="49" t="inlineStr">
        <is>
          <t>fx_rate</t>
        </is>
      </c>
      <c r="G2" s="49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2026-01-01</t>
        </is>
      </c>
      <c r="C3" t="inlineStr">
        <is>
          <t>EUR</t>
        </is>
      </c>
      <c r="D3" t="inlineStr">
        <is>
          <t>EUR</t>
        </is>
      </c>
      <c r="E3" s="51" t="n">
        <v>1</v>
      </c>
      <c r="F3" s="51" t="n">
        <v>1</v>
      </c>
      <c r="G3" t="inlineStr">
        <is>
          <t>identity</t>
        </is>
      </c>
    </row>
    <row r="4" ht="12" customHeight="1">
      <c r="A4" t="inlineStr">
        <is>
          <t>202601</t>
        </is>
      </c>
      <c r="B4" t="inlineStr">
        <is>
          <t>2026-01-30</t>
        </is>
      </c>
      <c r="C4" t="inlineStr">
        <is>
          <t>GBP</t>
        </is>
      </c>
      <c r="D4" t="inlineStr">
        <is>
          <t>EUR</t>
        </is>
      </c>
      <c r="E4" s="51" t="n">
        <v>0.8662</v>
      </c>
      <c r="F4" s="51" t="n">
        <v>1.15446779</v>
      </c>
      <c r="G4" t="inlineStr">
        <is>
          <t>https://www.ecb.europa.eu/stats/eurofxref/eurofxref-hist.xml</t>
        </is>
      </c>
    </row>
    <row r="5" ht="12" customHeight="1">
      <c r="A5" t="inlineStr">
        <is>
          <t>202601</t>
        </is>
      </c>
      <c r="B5" t="inlineStr">
        <is>
          <t>2026-01-30</t>
        </is>
      </c>
      <c r="C5" t="inlineStr">
        <is>
          <t>USD</t>
        </is>
      </c>
      <c r="D5" t="inlineStr">
        <is>
          <t>EUR</t>
        </is>
      </c>
      <c r="E5" s="51" t="n">
        <v>1.1919</v>
      </c>
      <c r="F5" s="51" t="n">
        <v>0.83899656</v>
      </c>
      <c r="G5" t="inlineStr">
        <is>
          <t>https://www.ecb.europa.eu/stats/eurofxref/eurofxref-hist.xml</t>
        </is>
      </c>
    </row>
    <row r="6" ht="12" customHeight="1">
      <c r="A6" t="inlineStr">
        <is>
          <t>202602</t>
        </is>
      </c>
      <c r="B6" t="inlineStr">
        <is>
          <t>2026-02-01</t>
        </is>
      </c>
      <c r="C6" t="inlineStr">
        <is>
          <t>EUR</t>
        </is>
      </c>
      <c r="D6" t="inlineStr">
        <is>
          <t>EUR</t>
        </is>
      </c>
      <c r="E6" s="51" t="n">
        <v>1</v>
      </c>
      <c r="F6" s="51" t="n">
        <v>1</v>
      </c>
      <c r="G6" t="inlineStr">
        <is>
          <t>identity</t>
        </is>
      </c>
    </row>
    <row r="7" ht="12" customHeight="1">
      <c r="A7" t="inlineStr">
        <is>
          <t>202602</t>
        </is>
      </c>
      <c r="B7" t="inlineStr">
        <is>
          <t>2026-02-27</t>
        </is>
      </c>
      <c r="C7" t="inlineStr">
        <is>
          <t>GBP</t>
        </is>
      </c>
      <c r="D7" t="inlineStr">
        <is>
          <t>EUR</t>
        </is>
      </c>
      <c r="E7" s="51" t="n">
        <v>0.8763</v>
      </c>
      <c r="F7" s="51" t="n">
        <v>1.1411617</v>
      </c>
      <c r="G7" t="inlineStr">
        <is>
          <t>https://www.ecb.europa.eu/stats/eurofxref/eurofxref-hist.xml</t>
        </is>
      </c>
    </row>
    <row r="8" ht="12" customHeight="1">
      <c r="A8" t="inlineStr">
        <is>
          <t>202602</t>
        </is>
      </c>
      <c r="B8" t="inlineStr">
        <is>
          <t>2026-02-27</t>
        </is>
      </c>
      <c r="C8" t="inlineStr">
        <is>
          <t>USD</t>
        </is>
      </c>
      <c r="D8" t="inlineStr">
        <is>
          <t>EUR</t>
        </is>
      </c>
      <c r="E8" s="51" t="n">
        <v>1.1805</v>
      </c>
      <c r="F8" s="51" t="n">
        <v>0.84709869</v>
      </c>
      <c r="G8" t="inlineStr">
        <is>
          <t>https://www.ecb.europa.eu/stats/eurofxref/eurofxref-hist.xml</t>
        </is>
      </c>
    </row>
    <row r="9" ht="12" customHeight="1">
      <c r="A9" t="inlineStr">
        <is>
          <t>202603</t>
        </is>
      </c>
      <c r="B9" t="inlineStr">
        <is>
          <t>2026-03-01</t>
        </is>
      </c>
      <c r="C9" t="inlineStr">
        <is>
          <t>EUR</t>
        </is>
      </c>
      <c r="D9" t="inlineStr">
        <is>
          <t>EUR</t>
        </is>
      </c>
      <c r="E9" s="51" t="n">
        <v>1</v>
      </c>
      <c r="F9" s="51" t="n">
        <v>1</v>
      </c>
      <c r="G9" t="inlineStr">
        <is>
          <t>identity</t>
        </is>
      </c>
    </row>
    <row r="10" ht="12" customHeight="1">
      <c r="A10" t="inlineStr">
        <is>
          <t>202603</t>
        </is>
      </c>
      <c r="B10" t="inlineStr">
        <is>
          <t>2026-03-31</t>
        </is>
      </c>
      <c r="C10" t="inlineStr">
        <is>
          <t>GBP</t>
        </is>
      </c>
      <c r="D10" t="inlineStr">
        <is>
          <t>EUR</t>
        </is>
      </c>
      <c r="E10" s="51" t="n">
        <v>0.86833</v>
      </c>
      <c r="F10" s="51" t="n">
        <v>1.1516359</v>
      </c>
      <c r="G10" t="inlineStr">
        <is>
          <t>https://www.ecb.europa.eu/stats/eurofxref/eurofxref-hist.xml</t>
        </is>
      </c>
    </row>
    <row r="11" ht="12" customHeight="1">
      <c r="A11" t="inlineStr">
        <is>
          <t>202603</t>
        </is>
      </c>
      <c r="B11" t="inlineStr">
        <is>
          <t>2026-03-31</t>
        </is>
      </c>
      <c r="C11" t="inlineStr">
        <is>
          <t>USD</t>
        </is>
      </c>
      <c r="D11" t="inlineStr">
        <is>
          <t>EUR</t>
        </is>
      </c>
      <c r="E11" s="51" t="n">
        <v>1.1498</v>
      </c>
      <c r="F11" s="51" t="n">
        <v>0.86971647</v>
      </c>
      <c r="G11" t="inlineStr">
        <is>
          <t>https://www.ecb.europa.eu/stats/eurofxref/eurofxref-hist.xml</t>
        </is>
      </c>
    </row>
    <row r="12" ht="12" customHeight="1">
      <c r="A12" t="inlineStr">
        <is>
          <t>202604</t>
        </is>
      </c>
      <c r="B12" t="inlineStr">
        <is>
          <t>2026-04-01</t>
        </is>
      </c>
      <c r="C12" t="inlineStr">
        <is>
          <t>EUR</t>
        </is>
      </c>
      <c r="D12" t="inlineStr">
        <is>
          <t>EUR</t>
        </is>
      </c>
      <c r="E12" s="51" t="n">
        <v>1</v>
      </c>
      <c r="F12" s="51" t="n">
        <v>1</v>
      </c>
      <c r="G12" t="inlineStr">
        <is>
          <t>identity</t>
        </is>
      </c>
    </row>
    <row r="13" ht="12" customHeight="1">
      <c r="A13" t="inlineStr">
        <is>
          <t>202604</t>
        </is>
      </c>
      <c r="B13" t="inlineStr">
        <is>
          <t>2026-04-30</t>
        </is>
      </c>
      <c r="C13" t="inlineStr">
        <is>
          <t>GBP</t>
        </is>
      </c>
      <c r="D13" t="inlineStr">
        <is>
          <t>EUR</t>
        </is>
      </c>
      <c r="E13" s="51" t="n">
        <v>0.86625</v>
      </c>
      <c r="F13" s="51" t="n">
        <v>1.15440115</v>
      </c>
      <c r="G13" t="inlineStr">
        <is>
          <t>https://www.ecb.europa.eu/stats/eurofxref/eurofxref-hist.xml</t>
        </is>
      </c>
    </row>
    <row r="14" ht="12" customHeight="1">
      <c r="A14" t="inlineStr">
        <is>
          <t>202604</t>
        </is>
      </c>
      <c r="B14" t="inlineStr">
        <is>
          <t>2026-04-30</t>
        </is>
      </c>
      <c r="C14" t="inlineStr">
        <is>
          <t>USD</t>
        </is>
      </c>
      <c r="D14" t="inlineStr">
        <is>
          <t>EUR</t>
        </is>
      </c>
      <c r="E14" s="51" t="n">
        <v>1.1702</v>
      </c>
      <c r="F14" s="51" t="n">
        <v>0.85455478</v>
      </c>
      <c r="G14" t="inlineStr">
        <is>
          <t>https://www.ecb.europa.eu/stats/eurofxref/eurofxref-hist.xml</t>
        </is>
      </c>
    </row>
    <row r="15" ht="12" customHeight="1">
      <c r="A15" t="inlineStr">
        <is>
          <t>202605</t>
        </is>
      </c>
      <c r="B15" t="inlineStr">
        <is>
          <t>2026-05-01</t>
        </is>
      </c>
      <c r="C15" t="inlineStr">
        <is>
          <t>EUR</t>
        </is>
      </c>
      <c r="D15" t="inlineStr">
        <is>
          <t>EUR</t>
        </is>
      </c>
      <c r="E15" s="51" t="n">
        <v>1</v>
      </c>
      <c r="F15" s="51" t="n">
        <v>1</v>
      </c>
      <c r="G15" t="inlineStr">
        <is>
          <t>identity</t>
        </is>
      </c>
    </row>
    <row r="16" ht="12" customHeight="1">
      <c r="A16" t="inlineStr">
        <is>
          <t>202605</t>
        </is>
      </c>
      <c r="B16" t="inlineStr">
        <is>
          <t>2026-05-29</t>
        </is>
      </c>
      <c r="C16" t="inlineStr">
        <is>
          <t>GBP</t>
        </is>
      </c>
      <c r="D16" t="inlineStr">
        <is>
          <t>EUR</t>
        </is>
      </c>
      <c r="E16" s="51" t="n">
        <v>0.8672299999999999</v>
      </c>
      <c r="F16" s="51" t="n">
        <v>1.15309664</v>
      </c>
      <c r="G16" t="inlineStr">
        <is>
          <t>https://www.ecb.europa.eu/stats/eurofxref/eurofxref-hist.xml</t>
        </is>
      </c>
    </row>
    <row r="17" ht="12" customHeight="1">
      <c r="A17" t="inlineStr">
        <is>
          <t>202605</t>
        </is>
      </c>
      <c r="B17" t="inlineStr">
        <is>
          <t>2026-05-29</t>
        </is>
      </c>
      <c r="C17" t="inlineStr">
        <is>
          <t>USD</t>
        </is>
      </c>
      <c r="D17" t="inlineStr">
        <is>
          <t>EUR</t>
        </is>
      </c>
      <c r="E17" s="51" t="n">
        <v>1.1644</v>
      </c>
      <c r="F17" s="51" t="n">
        <v>0.8588114100000001</v>
      </c>
      <c r="G17" t="inlineStr">
        <is>
          <t>https://www.ecb.europa.eu/stats/eurofxref/eurofxref-hist.xml</t>
        </is>
      </c>
    </row>
    <row r="18" ht="12" customHeight="1">
      <c r="A18" t="inlineStr">
        <is>
          <t>202606</t>
        </is>
      </c>
      <c r="B18" t="inlineStr">
        <is>
          <t>2026-06-30</t>
        </is>
      </c>
      <c r="C18" t="inlineStr">
        <is>
          <t>CZK</t>
        </is>
      </c>
      <c r="D18" t="inlineStr">
        <is>
          <t>EUR</t>
        </is>
      </c>
      <c r="E18" s="51" t="n">
        <v>24.256</v>
      </c>
      <c r="F18" s="51" t="n">
        <v>0.04122691</v>
      </c>
      <c r="G18" t="inlineStr">
        <is>
          <t>https://www.ecb.europa.eu/stats/eurofxref/eurofxref-hist.xml</t>
        </is>
      </c>
    </row>
    <row r="19" ht="12" customHeight="1">
      <c r="A19" t="inlineStr">
        <is>
          <t>202606</t>
        </is>
      </c>
      <c r="B19" t="inlineStr">
        <is>
          <t>2026-06-01</t>
        </is>
      </c>
      <c r="C19" t="inlineStr">
        <is>
          <t>EUR</t>
        </is>
      </c>
      <c r="D19" t="inlineStr">
        <is>
          <t>EUR</t>
        </is>
      </c>
      <c r="E19" s="51" t="n">
        <v>1</v>
      </c>
      <c r="F19" s="51" t="n">
        <v>1</v>
      </c>
      <c r="G19" t="inlineStr">
        <is>
          <t>identity</t>
        </is>
      </c>
    </row>
    <row r="20" ht="12" customHeight="1">
      <c r="A20" t="inlineStr">
        <is>
          <t>202606</t>
        </is>
      </c>
      <c r="B20" t="inlineStr">
        <is>
          <t>2026-06-30</t>
        </is>
      </c>
      <c r="C20" t="inlineStr">
        <is>
          <t>GBP</t>
        </is>
      </c>
      <c r="D20" t="inlineStr">
        <is>
          <t>EUR</t>
        </is>
      </c>
      <c r="E20" s="51" t="n">
        <v>0.86178</v>
      </c>
      <c r="F20" s="51" t="n">
        <v>1.16038896</v>
      </c>
      <c r="G20" t="inlineStr">
        <is>
          <t>https://www.ecb.europa.eu/stats/eurofxref/eurofxref-hist.xml</t>
        </is>
      </c>
    </row>
    <row r="21" ht="12" customHeight="1">
      <c r="A21" t="inlineStr">
        <is>
          <t>202606</t>
        </is>
      </c>
      <c r="B21" t="inlineStr">
        <is>
          <t>2026-06-30</t>
        </is>
      </c>
      <c r="C21" t="inlineStr">
        <is>
          <t>USD</t>
        </is>
      </c>
      <c r="D21" t="inlineStr">
        <is>
          <t>EUR</t>
        </is>
      </c>
      <c r="E21" s="51" t="n">
        <v>1.1394</v>
      </c>
      <c r="F21" s="51" t="n">
        <v>0.87765491</v>
      </c>
      <c r="G21" t="inlineStr">
        <is>
          <t>https://www.ecb.europa.eu/stats/eurofxref/eurofxref-hist.xml</t>
        </is>
      </c>
    </row>
    <row r="22" ht="12" customHeight="1">
      <c r="A22" t="inlineStr">
        <is>
          <t>202607</t>
        </is>
      </c>
      <c r="B22" t="inlineStr">
        <is>
          <t>2026-07-01</t>
        </is>
      </c>
      <c r="C22" t="inlineStr">
        <is>
          <t>EUR</t>
        </is>
      </c>
      <c r="D22" t="inlineStr">
        <is>
          <t>EUR</t>
        </is>
      </c>
      <c r="E22" s="51" t="n">
        <v>1</v>
      </c>
      <c r="F22" s="51" t="n">
        <v>1</v>
      </c>
      <c r="G22" t="inlineStr">
        <is>
          <t>identity</t>
        </is>
      </c>
    </row>
    <row r="23" ht="12" customHeight="1">
      <c r="A23" t="inlineStr">
        <is>
          <t>202607</t>
        </is>
      </c>
      <c r="B23" t="inlineStr">
        <is>
          <t>2026-07-30</t>
        </is>
      </c>
      <c r="C23" t="inlineStr">
        <is>
          <t>GBP</t>
        </is>
      </c>
      <c r="D23" t="inlineStr">
        <is>
          <t>EUR</t>
        </is>
      </c>
      <c r="E23" s="51" t="n">
        <v>0.85715</v>
      </c>
      <c r="F23" s="51" t="n">
        <v>1.16665694</v>
      </c>
      <c r="G23" t="inlineStr">
        <is>
          <t>https://www.ecb.europa.eu/stats/eurofxref/eurofxref-hist.xml</t>
        </is>
      </c>
    </row>
    <row r="24" ht="12" customHeight="1">
      <c r="A24" t="inlineStr">
        <is>
          <t>202607</t>
        </is>
      </c>
      <c r="B24" t="inlineStr">
        <is>
          <t>2026-07-30</t>
        </is>
      </c>
      <c r="C24" t="inlineStr">
        <is>
          <t>USD</t>
        </is>
      </c>
      <c r="D24" t="inlineStr">
        <is>
          <t>EUR</t>
        </is>
      </c>
      <c r="E24" s="51" t="n">
        <v>1.1476</v>
      </c>
      <c r="F24" s="51" t="n">
        <v>0.87138376</v>
      </c>
      <c r="G24" t="inlineStr">
        <is>
          <t>https://www.ecb.europa.eu/stats/eurofxref/eurofxref-hist.xml</t>
        </is>
      </c>
    </row>
    <row r="25" ht="12" customHeight="1">
      <c r="A25" t="inlineStr">
        <is>
          <t>202608</t>
        </is>
      </c>
      <c r="B25" t="inlineStr">
        <is>
          <t>2026-07-30</t>
        </is>
      </c>
      <c r="C25" t="inlineStr">
        <is>
          <t>GBP</t>
        </is>
      </c>
      <c r="D25" t="inlineStr">
        <is>
          <t>EUR</t>
        </is>
      </c>
      <c r="E25" s="51" t="n">
        <v>0.85715</v>
      </c>
      <c r="F25" s="51" t="n">
        <v>1.16665694</v>
      </c>
      <c r="G25" t="inlineStr">
        <is>
          <t>https://www.ecb.europa.eu/stats/eurofxref/eurofxref-hist.xml (latest available, no ECB data for 202608)</t>
        </is>
      </c>
    </row>
    <row r="26" ht="12" customHeight="1">
      <c r="A26" t="inlineStr">
        <is>
          <t>202608</t>
        </is>
      </c>
      <c r="B26" t="inlineStr">
        <is>
          <t>2026-07-30</t>
        </is>
      </c>
      <c r="C26" t="inlineStr">
        <is>
          <t>USD</t>
        </is>
      </c>
      <c r="D26" t="inlineStr">
        <is>
          <t>EUR</t>
        </is>
      </c>
      <c r="E26" s="51" t="n">
        <v>1.1476</v>
      </c>
      <c r="F26" s="51" t="n">
        <v>0.87138376</v>
      </c>
      <c r="G26" t="inlineStr">
        <is>
          <t>https://www.ecb.europa.eu/stats/eurofxref/eurofxref-hist.xml (latest available, no ECB data for 202608)</t>
        </is>
      </c>
    </row>
    <row r="27" ht="12" customHeight="1">
      <c r="A27" t="inlineStr">
        <is>
          <t>202609</t>
        </is>
      </c>
      <c r="B27" t="inlineStr">
        <is>
          <t>2026-07-30</t>
        </is>
      </c>
      <c r="C27" t="inlineStr">
        <is>
          <t>GBP</t>
        </is>
      </c>
      <c r="D27" t="inlineStr">
        <is>
          <t>EUR</t>
        </is>
      </c>
      <c r="E27" s="51" t="n">
        <v>0.85715</v>
      </c>
      <c r="F27" s="51" t="n">
        <v>1.16665694</v>
      </c>
      <c r="G27" t="inlineStr">
        <is>
          <t>https://www.ecb.europa.eu/stats/eurofxref/eurofxref-hist.xml (latest available, no ECB data for 202609)</t>
        </is>
      </c>
    </row>
    <row r="28" ht="12" customHeight="1">
      <c r="A28" t="inlineStr">
        <is>
          <t>202609</t>
        </is>
      </c>
      <c r="B28" t="inlineStr">
        <is>
          <t>2026-07-30</t>
        </is>
      </c>
      <c r="C28" t="inlineStr">
        <is>
          <t>USD</t>
        </is>
      </c>
      <c r="D28" t="inlineStr">
        <is>
          <t>EUR</t>
        </is>
      </c>
      <c r="E28" s="51" t="n">
        <v>1.1476</v>
      </c>
      <c r="F28" s="51" t="n">
        <v>0.87138376</v>
      </c>
      <c r="G28" t="inlineStr">
        <is>
          <t>https://www.ecb.europa.eu/stats/eurofxref/eurofxref-hist.xml (latest available, no ECB data for 202609)</t>
        </is>
      </c>
    </row>
    <row r="29" ht="12" customHeight="1">
      <c r="A29" t="inlineStr">
        <is>
          <t>202610</t>
        </is>
      </c>
      <c r="B29" t="inlineStr">
        <is>
          <t>2026-07-30</t>
        </is>
      </c>
      <c r="C29" t="inlineStr">
        <is>
          <t>GBP</t>
        </is>
      </c>
      <c r="D29" t="inlineStr">
        <is>
          <t>EUR</t>
        </is>
      </c>
      <c r="E29" s="51" t="n">
        <v>0.85715</v>
      </c>
      <c r="F29" s="51" t="n">
        <v>1.16665694</v>
      </c>
      <c r="G29" t="inlineStr">
        <is>
          <t>https://www.ecb.europa.eu/stats/eurofxref/eurofxref-hist.xml (latest available, no ECB data for 202610)</t>
        </is>
      </c>
    </row>
    <row r="30" ht="12" customHeight="1">
      <c r="A30" t="inlineStr">
        <is>
          <t>202610</t>
        </is>
      </c>
      <c r="B30" t="inlineStr">
        <is>
          <t>2026-07-30</t>
        </is>
      </c>
      <c r="C30" t="inlineStr">
        <is>
          <t>USD</t>
        </is>
      </c>
      <c r="D30" t="inlineStr">
        <is>
          <t>EUR</t>
        </is>
      </c>
      <c r="E30" s="51" t="n">
        <v>1.1476</v>
      </c>
      <c r="F30" s="51" t="n">
        <v>0.87138376</v>
      </c>
      <c r="G30" t="inlineStr">
        <is>
          <t>https://www.ecb.europa.eu/stats/eurofxref/eurofxref-hist.xml (latest available, no ECB data for 202610)</t>
        </is>
      </c>
    </row>
    <row r="31" ht="12" customHeight="1">
      <c r="A31" t="inlineStr">
        <is>
          <t>202611</t>
        </is>
      </c>
      <c r="B31" t="inlineStr">
        <is>
          <t>2026-07-30</t>
        </is>
      </c>
      <c r="C31" t="inlineStr">
        <is>
          <t>GBP</t>
        </is>
      </c>
      <c r="D31" t="inlineStr">
        <is>
          <t>EUR</t>
        </is>
      </c>
      <c r="E31" s="51" t="n">
        <v>0.85715</v>
      </c>
      <c r="F31" s="51" t="n">
        <v>1.16665694</v>
      </c>
      <c r="G31" t="inlineStr">
        <is>
          <t>https://www.ecb.europa.eu/stats/eurofxref/eurofxref-hist.xml (latest available, no ECB data for 202611)</t>
        </is>
      </c>
    </row>
    <row r="32" ht="12" customHeight="1">
      <c r="A32" t="inlineStr">
        <is>
          <t>202611</t>
        </is>
      </c>
      <c r="B32" t="inlineStr">
        <is>
          <t>2026-07-30</t>
        </is>
      </c>
      <c r="C32" t="inlineStr">
        <is>
          <t>USD</t>
        </is>
      </c>
      <c r="D32" t="inlineStr">
        <is>
          <t>EUR</t>
        </is>
      </c>
      <c r="E32" s="51" t="n">
        <v>1.1476</v>
      </c>
      <c r="F32" s="51" t="n">
        <v>0.87138376</v>
      </c>
      <c r="G32" t="inlineStr">
        <is>
          <t>https://www.ecb.europa.eu/stats/eurofxref/eurofxref-hist.xml (latest available, no ECB data for 202611)</t>
        </is>
      </c>
    </row>
    <row r="33" ht="12" customHeight="1">
      <c r="A33" t="inlineStr">
        <is>
          <t>202612</t>
        </is>
      </c>
      <c r="B33" t="inlineStr">
        <is>
          <t>2026-07-30</t>
        </is>
      </c>
      <c r="C33" t="inlineStr">
        <is>
          <t>GBP</t>
        </is>
      </c>
      <c r="D33" t="inlineStr">
        <is>
          <t>EUR</t>
        </is>
      </c>
      <c r="E33" s="51" t="n">
        <v>0.85715</v>
      </c>
      <c r="F33" s="51" t="n">
        <v>1.16665694</v>
      </c>
      <c r="G33" t="inlineStr">
        <is>
          <t>https://www.ecb.europa.eu/stats/eurofxref/eurofxref-hist.xml (latest available, no ECB data for 202612)</t>
        </is>
      </c>
    </row>
    <row r="34" ht="12" customHeight="1">
      <c r="A34" t="inlineStr">
        <is>
          <t>202612</t>
        </is>
      </c>
      <c r="B34" t="inlineStr">
        <is>
          <t>2026-07-30</t>
        </is>
      </c>
      <c r="C34" t="inlineStr">
        <is>
          <t>USD</t>
        </is>
      </c>
      <c r="D34" t="inlineStr">
        <is>
          <t>EUR</t>
        </is>
      </c>
      <c r="E34" s="51" t="n">
        <v>1.1476</v>
      </c>
      <c r="F34" s="51" t="n">
        <v>0.87138376</v>
      </c>
      <c r="G34" t="inlineStr">
        <is>
          <t>https://www.ecb.europa.eu/stats/eurofxref/eurofxref-hist.xml (latest available, no ECB data for 202612)</t>
        </is>
      </c>
    </row>
  </sheetData>
  <hyperlinks>
    <hyperlink ref="A1" location="'P&amp;G-SL'!A1" display="&lt;- Volver a P&amp;G-SL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48" t="inlineStr">
        <is>
          <t>&lt;- Volver a P&amp;G-SL</t>
        </is>
      </c>
    </row>
    <row r="2" ht="12" customHeight="1">
      <c r="A2" s="49" t="inlineStr">
        <is>
          <t>supplier_code</t>
        </is>
      </c>
      <c r="B2" s="49" t="inlineStr">
        <is>
          <t>supplier_name</t>
        </is>
      </c>
      <c r="C2" s="49" t="inlineStr">
        <is>
          <t>current_folder</t>
        </is>
      </c>
      <c r="D2" s="49" t="inlineStr">
        <is>
          <t>destination_path</t>
        </is>
      </c>
      <c r="E2" s="49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ADEPLUS</t>
        </is>
      </c>
      <c r="B14" t="inlineStr">
        <is>
          <t>ADEPLUS</t>
        </is>
      </c>
      <c r="C14" t="inlineStr">
        <is>
          <t>Adeplus</t>
        </is>
      </c>
      <c r="D14" t="inlineStr">
        <is>
          <t>expenses/opex/administration</t>
        </is>
      </c>
      <c r="E14" t="inlineStr">
        <is>
          <t>Data protection services</t>
        </is>
      </c>
    </row>
    <row r="15" ht="12" customHeight="1">
      <c r="A15" t="inlineStr">
        <is>
          <t>BBVACNC</t>
        </is>
      </c>
      <c r="B15" t="inlineStr">
        <is>
          <t>BANCO BILBAO VIZCAYA ARGENTARIA, S.A.</t>
        </is>
      </c>
      <c r="C15" t="inlineStr">
        <is>
          <t>CNC</t>
        </is>
      </c>
      <c r="D15" t="inlineStr">
        <is>
          <t>expenses/opex/administration</t>
        </is>
      </c>
      <c r="E15" t="inlineStr"/>
    </row>
    <row r="16" ht="12" customHeight="1">
      <c r="A16" t="inlineStr">
        <is>
          <t>CLARIS</t>
        </is>
      </c>
      <c r="B16" t="inlineStr">
        <is>
          <t>CLARIS</t>
        </is>
      </c>
      <c r="C16" t="inlineStr">
        <is>
          <t>CLARIS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CONTASIMPLE</t>
        </is>
      </c>
      <c r="B17" t="inlineStr">
        <is>
          <t>CONTASIMPLE</t>
        </is>
      </c>
      <c r="C17" t="inlineStr">
        <is>
          <t>Contasimple</t>
        </is>
      </c>
      <c r="D17" t="inlineStr">
        <is>
          <t>expenses/opex/administration</t>
        </is>
      </c>
      <c r="E17" t="inlineStr">
        <is>
          <t>Accounting software subscription</t>
        </is>
      </c>
    </row>
    <row r="18" ht="12" customHeight="1">
      <c r="A18" t="inlineStr">
        <is>
          <t>HANNUN</t>
        </is>
      </c>
      <c r="B18" t="inlineStr">
        <is>
          <t>HANNUN</t>
        </is>
      </c>
      <c r="C18" t="inlineStr">
        <is>
          <t>HANNUN</t>
        </is>
      </c>
      <c r="D18" t="inlineStr">
        <is>
          <t>expenses/opex/administration</t>
        </is>
      </c>
      <c r="E18" t="inlineStr">
        <is>
          <t>Bidirectional HANNUN relationship; incoming expense invoices and outgoing customer invoices</t>
        </is>
      </c>
    </row>
    <row r="19" ht="12" customHeight="1">
      <c r="A19" t="inlineStr">
        <is>
          <t>LINKEDIN</t>
        </is>
      </c>
      <c r="B19" t="inlineStr">
        <is>
          <t>LINKEDIN</t>
        </is>
      </c>
      <c r="C19" t="inlineStr">
        <is>
          <t>LinkedIn</t>
        </is>
      </c>
      <c r="D19" t="inlineStr">
        <is>
          <t>expenses/opex/administration</t>
        </is>
      </c>
      <c r="E19" t="inlineStr">
        <is>
          <t>LinkedIn hiring and recruiting invoices</t>
        </is>
      </c>
    </row>
    <row r="20" ht="12" customHeight="1">
      <c r="A20" t="inlineStr">
        <is>
          <t>LIZENZERO</t>
        </is>
      </c>
      <c r="B20" t="inlineStr">
        <is>
          <t>LIZENZERO</t>
        </is>
      </c>
      <c r="C20" t="inlineStr">
        <is>
          <t>Lizenzero</t>
        </is>
      </c>
      <c r="D20" t="inlineStr">
        <is>
          <t>expenses/opex/administration</t>
        </is>
      </c>
      <c r="E20" t="inlineStr">
        <is>
          <t>Packaging license</t>
        </is>
      </c>
    </row>
    <row r="21" ht="12" customHeight="1">
      <c r="A21" t="inlineStr">
        <is>
          <t>NODA</t>
        </is>
      </c>
      <c r="B21" t="inlineStr">
        <is>
          <t>NODA</t>
        </is>
      </c>
      <c r="C21" t="inlineStr">
        <is>
          <t>NODA Asesores</t>
        </is>
      </c>
      <c r="D21" t="inlineStr">
        <is>
          <t>expenses/opex/administration</t>
        </is>
      </c>
      <c r="E21" t="inlineStr"/>
    </row>
    <row r="22" ht="12" customHeight="1">
      <c r="A22" t="inlineStr">
        <is>
          <t>NOTARIOSMONTESQUINZA</t>
        </is>
      </c>
      <c r="B22" t="inlineStr">
        <is>
          <t>NOTARIOSMONTESQUINZA</t>
        </is>
      </c>
      <c r="C22" t="inlineStr">
        <is>
          <t>Notarios Monte Esquinza</t>
        </is>
      </c>
      <c r="D22" t="inlineStr">
        <is>
          <t>expenses/opex/administration</t>
        </is>
      </c>
      <c r="E22" t="inlineStr">
        <is>
          <t>Notary and registry invoices</t>
        </is>
      </c>
    </row>
    <row r="23" ht="12" customHeight="1">
      <c r="A23" t="inlineStr">
        <is>
          <t>REGUS</t>
        </is>
      </c>
      <c r="B23" t="inlineStr">
        <is>
          <t>REGUS</t>
        </is>
      </c>
      <c r="C23" t="inlineStr">
        <is>
          <t>regus</t>
        </is>
      </c>
      <c r="D23" t="inlineStr">
        <is>
          <t>expenses/opex/administration</t>
        </is>
      </c>
      <c r="E23" t="inlineStr"/>
    </row>
    <row r="24" ht="12" customHeight="1">
      <c r="A24" t="inlineStr">
        <is>
          <t>TORRAS</t>
        </is>
      </c>
      <c r="B24" t="inlineStr">
        <is>
          <t>TORRAS</t>
        </is>
      </c>
      <c r="C24" t="inlineStr">
        <is>
          <t>TORRAS</t>
        </is>
      </c>
      <c r="D24" t="inlineStr">
        <is>
          <t>expenses/opex/administration</t>
        </is>
      </c>
      <c r="E24" t="inlineStr"/>
    </row>
    <row r="25" ht="12" customHeight="1">
      <c r="A25" t="inlineStr">
        <is>
          <t>VITALY</t>
        </is>
      </c>
      <c r="B25" t="inlineStr">
        <is>
          <t>VITALY</t>
        </is>
      </c>
      <c r="C25" t="inlineStr">
        <is>
          <t>Vitaly</t>
        </is>
      </c>
      <c r="D25" t="inlineStr">
        <is>
          <t>expenses/opex/administration</t>
        </is>
      </c>
      <c r="E25" t="inlineStr">
        <is>
          <t>Annual prevention and occupational health service</t>
        </is>
      </c>
    </row>
    <row r="26" ht="12" customHeight="1">
      <c r="A26" t="inlineStr">
        <is>
          <t>GOOGLEADS</t>
        </is>
      </c>
      <c r="B26" t="inlineStr">
        <is>
          <t>GOOGLEADS</t>
        </is>
      </c>
      <c r="C26" t="inlineStr">
        <is>
          <t>Google</t>
        </is>
      </c>
      <c r="D26" t="inlineStr">
        <is>
          <t>expenses/opex/marketing</t>
        </is>
      </c>
      <c r="E26" t="inlineStr"/>
    </row>
    <row r="27" ht="12" customHeight="1">
      <c r="A27" t="inlineStr">
        <is>
          <t>METAADS</t>
        </is>
      </c>
      <c r="B27" t="inlineStr">
        <is>
          <t>METAADS</t>
        </is>
      </c>
      <c r="C27" t="inlineStr">
        <is>
          <t>Meta</t>
        </is>
      </c>
      <c r="D27" t="inlineStr">
        <is>
          <t>expenses/opex/marketing</t>
        </is>
      </c>
      <c r="E27" t="inlineStr"/>
    </row>
    <row r="28" ht="12" customHeight="1">
      <c r="A28" t="inlineStr">
        <is>
          <t>DOSCONSULTING</t>
        </is>
      </c>
      <c r="B28" t="inlineStr">
        <is>
          <t>DOSCONSULTING</t>
        </is>
      </c>
      <c r="C28" t="inlineStr">
        <is>
          <t>Nóminas</t>
        </is>
      </c>
      <c r="D28" t="inlineStr">
        <is>
          <t>expenses/opex/staff</t>
        </is>
      </c>
      <c r="E28" t="inlineStr">
        <is>
          <t>Monthly payroll management for SL</t>
        </is>
      </c>
    </row>
    <row r="29" ht="12" customHeight="1">
      <c r="A29" t="inlineStr">
        <is>
          <t>ADOBE</t>
        </is>
      </c>
      <c r="B29" t="inlineStr">
        <is>
          <t>ADOBE</t>
        </is>
      </c>
      <c r="C29" t="inlineStr">
        <is>
          <t>ADOBE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CANVA</t>
        </is>
      </c>
      <c r="B30" t="inlineStr">
        <is>
          <t>CANVA</t>
        </is>
      </c>
      <c r="C30" t="inlineStr">
        <is>
          <t>canva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GODADDY</t>
        </is>
      </c>
      <c r="B31" t="inlineStr">
        <is>
          <t>GODADDY</t>
        </is>
      </c>
      <c r="C31" t="inlineStr">
        <is>
          <t>godaddy</t>
        </is>
      </c>
      <c r="D31" t="inlineStr">
        <is>
          <t>expenses/opex/technology</t>
        </is>
      </c>
      <c r="E31" t="inlineStr"/>
    </row>
    <row r="32" ht="12" customHeight="1">
      <c r="A32" t="inlineStr">
        <is>
          <t>GOOGLEWORKSPACE</t>
        </is>
      </c>
      <c r="B32" t="inlineStr">
        <is>
          <t>GOOGLEWORKSPACE</t>
        </is>
      </c>
      <c r="C32" t="inlineStr">
        <is>
          <t>Google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GORGIAS</t>
        </is>
      </c>
      <c r="B33" t="inlineStr">
        <is>
          <t>GORGIAS</t>
        </is>
      </c>
      <c r="C33" t="inlineStr">
        <is>
          <t>Gorgias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HETZNER</t>
        </is>
      </c>
      <c r="B34" t="inlineStr">
        <is>
          <t>HETZNER</t>
        </is>
      </c>
      <c r="C34" t="inlineStr">
        <is>
          <t>HETZNER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KONVOAI</t>
        </is>
      </c>
      <c r="B35" t="inlineStr">
        <is>
          <t>KONVOAI</t>
        </is>
      </c>
      <c r="C35" t="inlineStr">
        <is>
          <t>konvo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MASMOVIL</t>
        </is>
      </c>
      <c r="B36" t="inlineStr">
        <is>
          <t>MASMOVIL</t>
        </is>
      </c>
      <c r="C36" t="inlineStr">
        <is>
          <t>mas movil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MICROSOFT</t>
        </is>
      </c>
      <c r="B37" t="inlineStr">
        <is>
          <t>MICROSOFT</t>
        </is>
      </c>
      <c r="C37" t="inlineStr">
        <is>
          <t>MICROSOFT</t>
        </is>
      </c>
      <c r="D37" t="inlineStr">
        <is>
          <t>expenses/opex/technology</t>
        </is>
      </c>
      <c r="E37" t="inlineStr"/>
    </row>
    <row r="38" ht="12" customHeight="1">
      <c r="A38" t="inlineStr">
        <is>
          <t>OPENAI</t>
        </is>
      </c>
      <c r="B38" t="inlineStr">
        <is>
          <t>OPENAI</t>
        </is>
      </c>
      <c r="C38" t="inlineStr">
        <is>
          <t>chatgpt</t>
        </is>
      </c>
      <c r="D38" t="inlineStr">
        <is>
          <t>expenses/opex/technology</t>
        </is>
      </c>
      <c r="E38" t="inlineStr">
        <is>
          <t>Groups ChatGPT and API</t>
        </is>
      </c>
    </row>
    <row r="39" ht="12" customHeight="1">
      <c r="A39" t="inlineStr">
        <is>
          <t>PRODUCTHERO</t>
        </is>
      </c>
      <c r="B39" t="inlineStr">
        <is>
          <t>PRODUCTHERO</t>
        </is>
      </c>
      <c r="C39" t="inlineStr">
        <is>
          <t>ProductHERO</t>
        </is>
      </c>
      <c r="D39" t="inlineStr">
        <is>
          <t>expenses/opex/technology</t>
        </is>
      </c>
      <c r="E39" t="inlineStr"/>
    </row>
    <row r="40" ht="12" customHeight="1">
      <c r="A40" t="inlineStr">
        <is>
          <t>RAILWAY</t>
        </is>
      </c>
      <c r="B40" t="inlineStr">
        <is>
          <t>RAILWAY</t>
        </is>
      </c>
      <c r="C40" t="inlineStr">
        <is>
          <t>RAILWAY</t>
        </is>
      </c>
      <c r="D40" t="inlineStr">
        <is>
          <t>expenses/opex/technology</t>
        </is>
      </c>
      <c r="E40" t="inlineStr"/>
    </row>
    <row r="41" ht="12" customHeight="1">
      <c r="A41" t="inlineStr">
        <is>
          <t>REVER</t>
        </is>
      </c>
      <c r="B41" t="inlineStr">
        <is>
          <t>REVER</t>
        </is>
      </c>
      <c r="C41" t="inlineStr">
        <is>
          <t>REVER</t>
        </is>
      </c>
      <c r="D41" t="inlineStr">
        <is>
          <t>expenses/opex/technology</t>
        </is>
      </c>
      <c r="E41" t="inlineStr"/>
    </row>
    <row r="42" ht="12" customHeight="1">
      <c r="A42" t="inlineStr">
        <is>
          <t>SHOPIFY</t>
        </is>
      </c>
      <c r="B42" t="inlineStr">
        <is>
          <t>SHOPIFY</t>
        </is>
      </c>
      <c r="C42" t="inlineStr">
        <is>
          <t>Shopify</t>
        </is>
      </c>
      <c r="D42" t="inlineStr">
        <is>
          <t>expenses/opex/technology</t>
        </is>
      </c>
      <c r="E42" t="inlineStr"/>
    </row>
    <row r="43" ht="12" customHeight="1">
      <c r="A43" t="inlineStr">
        <is>
          <t>SIMPLYCOM</t>
        </is>
      </c>
      <c r="B43" t="inlineStr">
        <is>
          <t>SIMPLYCOM</t>
        </is>
      </c>
      <c r="C43" t="inlineStr">
        <is>
          <t>SimplyCom</t>
        </is>
      </c>
      <c r="D43" t="inlineStr">
        <is>
          <t>expenses/opex/technology</t>
        </is>
      </c>
      <c r="E43" t="inlineStr">
        <is>
          <t>Domain and DNS services</t>
        </is>
      </c>
    </row>
    <row r="44" ht="12" customHeight="1">
      <c r="A44" t="inlineStr">
        <is>
          <t>SYNCWITH</t>
        </is>
      </c>
      <c r="B44" t="inlineStr">
        <is>
          <t>SYNCWITH</t>
        </is>
      </c>
      <c r="C44" t="inlineStr">
        <is>
          <t>SyncWith</t>
        </is>
      </c>
      <c r="D44" t="inlineStr">
        <is>
          <t>expenses/opex/technology</t>
        </is>
      </c>
      <c r="E44" t="inlineStr">
        <is>
          <t>Monthly subscription invoiced one month in arrears</t>
        </is>
      </c>
    </row>
    <row r="45" ht="12" customHeight="1">
      <c r="A45" t="inlineStr">
        <is>
          <t>YUMAAI</t>
        </is>
      </c>
      <c r="B45" t="inlineStr">
        <is>
          <t>YUMAAI</t>
        </is>
      </c>
      <c r="C45" t="inlineStr">
        <is>
          <t>YUMA</t>
        </is>
      </c>
      <c r="D45" t="inlineStr">
        <is>
          <t>expenses/opex/technology</t>
        </is>
      </c>
      <c r="E45" t="inlineStr"/>
    </row>
    <row r="46" ht="12" customHeight="1">
      <c r="A46" t="inlineStr">
        <is>
          <t>LIVITUM</t>
        </is>
      </c>
      <c r="B46" t="inlineStr">
        <is>
          <t>LIVITUM</t>
        </is>
      </c>
      <c r="C46" t="inlineStr">
        <is>
          <t>709. Rappels</t>
        </is>
      </c>
      <c r="D46" t="inlineStr">
        <is>
          <t>income/other_income/rappels</t>
        </is>
      </c>
      <c r="E46" t="inlineStr">
        <is>
          <t>Rappel issued to Livitum</t>
        </is>
      </c>
    </row>
    <row r="47" ht="12" customHeight="1">
      <c r="A47" t="inlineStr">
        <is>
          <t>CHOOSE</t>
        </is>
      </c>
      <c r="B47" t="inlineStr">
        <is>
          <t>CHOOSE</t>
        </is>
      </c>
      <c r="C47" t="inlineStr">
        <is>
          <t>CHOOSE</t>
        </is>
      </c>
      <c r="D47" t="inlineStr">
        <is>
          <t>income/sales/marketplaces</t>
        </is>
      </c>
      <c r="E47" t="inlineStr">
        <is>
          <t>Outgoing partner invoice</t>
        </is>
      </c>
    </row>
    <row r="48" ht="12" customHeight="1">
      <c r="A48" t="inlineStr">
        <is>
          <t>MAISONS</t>
        </is>
      </c>
      <c r="B48" t="inlineStr">
        <is>
          <t>MAISONS</t>
        </is>
      </c>
      <c r="C48" t="inlineStr">
        <is>
          <t>Maisons du Monde</t>
        </is>
      </c>
      <c r="D48" t="inlineStr">
        <is>
          <t>income/sales/marketplaces</t>
        </is>
      </c>
      <c r="E48" t="inlineStr">
        <is>
          <t>Marketplace commissions and subscription invoices shown as negative marketplace revenue</t>
        </is>
      </c>
    </row>
    <row r="49" ht="12" customHeight="1">
      <c r="A49" t="inlineStr">
        <is>
          <t>TOASTY</t>
        </is>
      </c>
      <c r="B49" t="inlineStr">
        <is>
          <t>TOASTY</t>
        </is>
      </c>
      <c r="C49" t="inlineStr">
        <is>
          <t>TOASTY</t>
        </is>
      </c>
      <c r="D49" t="inlineStr">
        <is>
          <t>income/sales/marketplaces</t>
        </is>
      </c>
      <c r="E49" t="inlineStr">
        <is>
          <t>Outgoing partner invoice</t>
        </is>
      </c>
    </row>
    <row r="50" ht="12" customHeight="1">
      <c r="A50" t="inlineStr">
        <is>
          <t>QHANDS</t>
        </is>
      </c>
      <c r="B50" t="inlineStr">
        <is>
          <t>QHANDS</t>
        </is>
      </c>
      <c r="C50" t="inlineStr">
        <is>
          <t>QHANDS</t>
        </is>
      </c>
      <c r="D50" t="inlineStr">
        <is>
          <t>income/shared-services</t>
        </is>
      </c>
      <c r="E50" t="inlineStr">
        <is>
          <t>Outgoing CNC rental invoice</t>
        </is>
      </c>
    </row>
  </sheetData>
  <hyperlinks>
    <hyperlink ref="A1" location="'P&amp;G-SL'!A1" display="&lt;- Volver a P&amp;G-SL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12" customHeight="1">
      <c r="A1" s="48" t="inlineStr">
        <is>
          <t>&lt;- Volver a P&amp;G-SL</t>
        </is>
      </c>
    </row>
    <row r="2" ht="12" customHeight="1">
      <c r="A2" s="49" t="inlineStr">
        <is>
          <t>yyyymm</t>
        </is>
      </c>
      <c r="B2" s="49" t="inlineStr">
        <is>
          <t>scope</t>
        </is>
      </c>
      <c r="C2" s="49" t="inlineStr">
        <is>
          <t>gross_amount</t>
        </is>
      </c>
    </row>
    <row r="3" ht="12" customHeight="1">
      <c r="A3" t="inlineStr">
        <is>
          <t>202601</t>
        </is>
      </c>
      <c r="B3" t="inlineStr">
        <is>
          <t>eu</t>
        </is>
      </c>
      <c r="C3" t="n">
        <v>11994</v>
      </c>
    </row>
    <row r="4" ht="12" customHeight="1">
      <c r="A4" t="inlineStr">
        <is>
          <t>202602</t>
        </is>
      </c>
      <c r="B4" t="inlineStr">
        <is>
          <t>eu</t>
        </is>
      </c>
      <c r="C4" t="n">
        <v>14322</v>
      </c>
    </row>
    <row r="5" ht="12" customHeight="1">
      <c r="A5" t="inlineStr">
        <is>
          <t>202603</t>
        </is>
      </c>
      <c r="B5" t="inlineStr">
        <is>
          <t>eu</t>
        </is>
      </c>
      <c r="C5" t="n">
        <v>11865</v>
      </c>
    </row>
    <row r="6" ht="12" customHeight="1">
      <c r="A6" t="inlineStr">
        <is>
          <t>202604</t>
        </is>
      </c>
      <c r="B6" t="inlineStr">
        <is>
          <t>eu</t>
        </is>
      </c>
      <c r="C6" t="n">
        <v>11421</v>
      </c>
    </row>
    <row r="7" ht="12" customHeight="1">
      <c r="A7" t="inlineStr">
        <is>
          <t>202605</t>
        </is>
      </c>
      <c r="B7" t="inlineStr">
        <is>
          <t>eu</t>
        </is>
      </c>
      <c r="C7" t="n">
        <v>11598</v>
      </c>
    </row>
    <row r="8" ht="12" customHeight="1">
      <c r="A8" t="inlineStr">
        <is>
          <t>202606</t>
        </is>
      </c>
      <c r="B8" t="inlineStr">
        <is>
          <t>eu</t>
        </is>
      </c>
      <c r="C8" t="n">
        <v>9252</v>
      </c>
    </row>
    <row r="9" ht="12" customHeight="1">
      <c r="A9" t="inlineStr">
        <is>
          <t>202601</t>
        </is>
      </c>
      <c r="B9" t="inlineStr">
        <is>
          <t>uk</t>
        </is>
      </c>
      <c r="C9" t="n">
        <v>1272</v>
      </c>
    </row>
    <row r="10" ht="12" customHeight="1">
      <c r="A10" t="inlineStr">
        <is>
          <t>202602</t>
        </is>
      </c>
      <c r="B10" t="inlineStr">
        <is>
          <t>uk</t>
        </is>
      </c>
      <c r="C10" t="n">
        <v>1596</v>
      </c>
    </row>
    <row r="11" ht="12" customHeight="1">
      <c r="A11" t="inlineStr">
        <is>
          <t>202603</t>
        </is>
      </c>
      <c r="B11" t="inlineStr">
        <is>
          <t>uk</t>
        </is>
      </c>
      <c r="C11" t="n">
        <v>1938</v>
      </c>
    </row>
    <row r="12" ht="12" customHeight="1">
      <c r="A12" t="inlineStr">
        <is>
          <t>202604</t>
        </is>
      </c>
      <c r="B12" t="inlineStr">
        <is>
          <t>uk</t>
        </is>
      </c>
      <c r="C12" t="n">
        <v>1617</v>
      </c>
    </row>
    <row r="13" ht="12" customHeight="1">
      <c r="A13" t="inlineStr">
        <is>
          <t>202605</t>
        </is>
      </c>
      <c r="B13" t="inlineStr">
        <is>
          <t>uk</t>
        </is>
      </c>
      <c r="C13" t="n">
        <v>1629</v>
      </c>
    </row>
    <row r="14" ht="12" customHeight="1">
      <c r="A14" t="inlineStr">
        <is>
          <t>202606</t>
        </is>
      </c>
      <c r="B14" t="inlineStr">
        <is>
          <t>uk</t>
        </is>
      </c>
      <c r="C14" t="n">
        <v>1767</v>
      </c>
    </row>
    <row r="15" ht="12" customHeight="1">
      <c r="A15" t="inlineStr">
        <is>
          <t>202601</t>
        </is>
      </c>
      <c r="B15" t="inlineStr">
        <is>
          <t>us</t>
        </is>
      </c>
      <c r="C15" t="n">
        <v>471</v>
      </c>
    </row>
    <row r="16" ht="12" customHeight="1">
      <c r="A16" t="inlineStr">
        <is>
          <t>202602</t>
        </is>
      </c>
      <c r="B16" t="inlineStr">
        <is>
          <t>us</t>
        </is>
      </c>
      <c r="C16" t="n">
        <v>744</v>
      </c>
    </row>
    <row r="17" ht="12" customHeight="1">
      <c r="A17" t="inlineStr">
        <is>
          <t>202603</t>
        </is>
      </c>
      <c r="B17" t="inlineStr">
        <is>
          <t>us</t>
        </is>
      </c>
      <c r="C17" t="n">
        <v>741</v>
      </c>
    </row>
    <row r="18" ht="12" customHeight="1">
      <c r="A18" t="inlineStr">
        <is>
          <t>202604</t>
        </is>
      </c>
      <c r="B18" t="inlineStr">
        <is>
          <t>us</t>
        </is>
      </c>
      <c r="C18" t="n">
        <v>567</v>
      </c>
    </row>
    <row r="19" ht="12" customHeight="1">
      <c r="A19" t="inlineStr">
        <is>
          <t>202605</t>
        </is>
      </c>
      <c r="B19" t="inlineStr">
        <is>
          <t>us</t>
        </is>
      </c>
      <c r="C19" t="n">
        <v>471</v>
      </c>
    </row>
    <row r="20" ht="12" customHeight="1">
      <c r="A20" t="inlineStr">
        <is>
          <t>202606</t>
        </is>
      </c>
      <c r="B20" t="inlineStr">
        <is>
          <t>us</t>
        </is>
      </c>
      <c r="C20" t="n">
        <v>543</v>
      </c>
    </row>
  </sheetData>
  <hyperlinks>
    <hyperlink ref="A1" location="'P&amp;G-SL'!A1" display="&lt;- Volver a P&amp;G-SL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1" customHeight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</row>
    <row r="2" ht="12" customHeight="1">
      <c r="A2" s="2" t="inlineStr">
        <is>
          <t>Nº Facturas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</row>
    <row r="4" ht="12" customHeight="1">
      <c r="A4" s="53" t="inlineStr">
        <is>
          <t>Turnover</t>
        </is>
      </c>
      <c r="B4" s="54" t="n"/>
      <c r="C4" s="54" t="n"/>
      <c r="D4" s="54" t="n">
        <v>19</v>
      </c>
      <c r="E4" s="54" t="n">
        <v>19</v>
      </c>
      <c r="F4" s="54" t="n">
        <v>16</v>
      </c>
      <c r="G4" s="54" t="n">
        <v>16</v>
      </c>
      <c r="H4" s="54" t="n">
        <v>16</v>
      </c>
      <c r="I4" s="54" t="n">
        <v>20</v>
      </c>
      <c r="J4" s="54" t="n">
        <v>14</v>
      </c>
      <c r="K4" s="54" t="n">
        <v>0</v>
      </c>
      <c r="L4" s="54" t="n">
        <v>0</v>
      </c>
      <c r="M4" s="54" t="n">
        <v>0</v>
      </c>
      <c r="N4" s="54" t="n">
        <v>0</v>
      </c>
      <c r="O4" s="54" t="n">
        <v>0</v>
      </c>
      <c r="P4" s="54" t="n">
        <v>120</v>
      </c>
      <c r="Q4" s="54" t="n"/>
    </row>
    <row r="5" ht="12" customHeight="1">
      <c r="A5" s="55" t="n"/>
      <c r="B5" s="56" t="inlineStr">
        <is>
          <t>Product sales</t>
        </is>
      </c>
      <c r="C5" s="55" t="n"/>
      <c r="D5" s="55" t="n">
        <v>15</v>
      </c>
      <c r="E5" s="55" t="n">
        <v>14</v>
      </c>
      <c r="F5" s="55" t="n">
        <v>12</v>
      </c>
      <c r="G5" s="55" t="n">
        <v>12</v>
      </c>
      <c r="H5" s="55" t="n">
        <v>13</v>
      </c>
      <c r="I5" s="55" t="n">
        <v>15</v>
      </c>
      <c r="J5" s="55" t="n">
        <v>14</v>
      </c>
      <c r="K5" s="55" t="n">
        <v>0</v>
      </c>
      <c r="L5" s="55" t="n">
        <v>0</v>
      </c>
      <c r="M5" s="55" t="n">
        <v>0</v>
      </c>
      <c r="N5" s="55" t="n">
        <v>0</v>
      </c>
      <c r="O5" s="55" t="n">
        <v>0</v>
      </c>
      <c r="P5" s="55" t="n">
        <v>95</v>
      </c>
      <c r="Q5" s="55" t="n"/>
    </row>
    <row r="6" ht="12" customHeight="1">
      <c r="A6" s="57" t="n"/>
      <c r="B6" s="57" t="n"/>
      <c r="C6" s="58" t="inlineStr">
        <is>
          <t>Shopify</t>
        </is>
      </c>
      <c r="D6" s="57" t="n">
        <v>11</v>
      </c>
      <c r="E6" s="57" t="n">
        <v>11</v>
      </c>
      <c r="F6" s="57" t="n">
        <v>9</v>
      </c>
      <c r="G6" s="57" t="n">
        <v>10</v>
      </c>
      <c r="H6" s="57" t="n">
        <v>11</v>
      </c>
      <c r="I6" s="57" t="n">
        <v>11</v>
      </c>
      <c r="J6" s="57" t="n">
        <v>14</v>
      </c>
      <c r="K6" s="57" t="n">
        <v>0</v>
      </c>
      <c r="L6" s="57" t="n">
        <v>0</v>
      </c>
      <c r="M6" s="57" t="n">
        <v>0</v>
      </c>
      <c r="N6" s="57" t="n">
        <v>0</v>
      </c>
      <c r="O6" s="57" t="n">
        <v>0</v>
      </c>
      <c r="P6" s="57" t="n">
        <v>77</v>
      </c>
      <c r="Q6" s="57" t="n"/>
    </row>
    <row r="7" ht="12" customHeight="1">
      <c r="C7" t="inlineStr">
        <is>
          <t>ES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</v>
      </c>
    </row>
    <row r="8" ht="12" customHeight="1">
      <c r="C8" t="inlineStr">
        <is>
          <t>FR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</v>
      </c>
    </row>
    <row r="9" ht="12" customHeight="1">
      <c r="C9" t="inlineStr">
        <is>
          <t>DE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</v>
      </c>
    </row>
    <row r="10" ht="12" customHeight="1">
      <c r="C10" t="inlineStr">
        <is>
          <t>IT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</row>
    <row r="11" ht="12" customHeight="1">
      <c r="C11" t="inlineStr">
        <is>
          <t>AT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</v>
      </c>
    </row>
    <row r="12" ht="12" customHeight="1">
      <c r="C12" t="inlineStr">
        <is>
          <t>BE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</v>
      </c>
    </row>
    <row r="13" ht="12" customHeight="1">
      <c r="C13" t="inlineStr">
        <is>
          <t>NL</t>
        </is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</v>
      </c>
    </row>
    <row r="14" ht="12" customHeight="1">
      <c r="C14" t="inlineStr">
        <is>
          <t>PT</t>
        </is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</row>
    <row r="15" ht="12" customHeight="1">
      <c r="C15" t="inlineStr">
        <is>
          <t>CZ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</row>
    <row r="16" ht="12" customHeight="1">
      <c r="C16" t="inlineStr">
        <is>
          <t>DK</t>
        </is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</v>
      </c>
    </row>
    <row r="17" ht="12" customHeight="1">
      <c r="C17" t="inlineStr">
        <is>
          <t>IE</t>
        </is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</v>
      </c>
    </row>
    <row r="18" ht="12" customHeight="1">
      <c r="C18" t="inlineStr">
        <is>
          <t>LU</t>
        </is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</v>
      </c>
    </row>
    <row r="19" ht="12" customHeight="1">
      <c r="C19" t="inlineStr">
        <is>
          <t>PL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</row>
    <row r="20" ht="12" customHeight="1">
      <c r="C20" t="inlineStr">
        <is>
          <t>SE</t>
        </is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</row>
    <row r="21" ht="12" customHeight="1">
      <c r="A21" s="57" t="n"/>
      <c r="B21" s="57" t="n"/>
      <c r="C21" s="58" t="inlineStr">
        <is>
          <t>Marketplaces</t>
        </is>
      </c>
      <c r="D21" s="57" t="n">
        <v>1</v>
      </c>
      <c r="E21" s="57" t="n">
        <v>2</v>
      </c>
      <c r="F21" s="57" t="n">
        <v>2</v>
      </c>
      <c r="G21" s="57" t="n">
        <v>1</v>
      </c>
      <c r="H21" s="57" t="n">
        <v>2</v>
      </c>
      <c r="I21" s="57" t="n">
        <v>3</v>
      </c>
      <c r="J21" s="57" t="n">
        <v>0</v>
      </c>
      <c r="K21" s="57" t="n">
        <v>0</v>
      </c>
      <c r="L21" s="57" t="n">
        <v>0</v>
      </c>
      <c r="M21" s="57" t="n">
        <v>0</v>
      </c>
      <c r="N21" s="57" t="n">
        <v>0</v>
      </c>
      <c r="O21" s="57" t="n">
        <v>0</v>
      </c>
      <c r="P21" s="57" t="n">
        <v>11</v>
      </c>
      <c r="Q21" s="57" t="n"/>
    </row>
    <row r="22" ht="12" customHeight="1">
      <c r="C22" t="inlineStr">
        <is>
          <t>HANNUN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s="59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</v>
      </c>
    </row>
    <row r="23" ht="12" customHeight="1">
      <c r="C23" t="inlineStr">
        <is>
          <t>TOASTY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s="59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</row>
    <row r="24" ht="12" customHeight="1">
      <c r="C24" t="inlineStr">
        <is>
          <t>CHOOSE</t>
        </is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s="59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</row>
    <row r="25" ht="12" customHeight="1">
      <c r="C25" t="inlineStr">
        <is>
          <t>MAISONSDUMONDE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</row>
    <row r="26" ht="12" customHeight="1">
      <c r="A26" s="57" t="n"/>
      <c r="B26" s="57" t="n"/>
      <c r="C26" s="58" t="inlineStr">
        <is>
          <t>Rappels</t>
        </is>
      </c>
      <c r="D26" s="57" t="n">
        <v>1</v>
      </c>
      <c r="E26" s="57" t="n">
        <v>0</v>
      </c>
      <c r="F26" s="57" t="n">
        <v>0</v>
      </c>
      <c r="G26" s="57" t="n">
        <v>0</v>
      </c>
      <c r="H26" s="57" t="n">
        <v>0</v>
      </c>
      <c r="I26" s="57" t="n">
        <v>0</v>
      </c>
      <c r="J26" s="57" t="n">
        <v>0</v>
      </c>
      <c r="K26" s="57" t="n">
        <v>0</v>
      </c>
      <c r="L26" s="57" t="n">
        <v>0</v>
      </c>
      <c r="M26" s="57" t="n">
        <v>0</v>
      </c>
      <c r="N26" s="57" t="n">
        <v>0</v>
      </c>
      <c r="O26" s="57" t="n">
        <v>0</v>
      </c>
      <c r="P26" s="57" t="n">
        <v>1</v>
      </c>
      <c r="Q26" s="57" t="n"/>
    </row>
    <row r="27" ht="12" customHeight="1">
      <c r="C27" t="inlineStr">
        <is>
          <t>LIVITUM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</row>
    <row r="28" ht="12" customHeight="1">
      <c r="A28" s="57" t="n"/>
      <c r="B28" s="57" t="n"/>
      <c r="C28" s="58" t="inlineStr">
        <is>
          <t>Supplies</t>
        </is>
      </c>
      <c r="D28" s="57" t="n">
        <v>2</v>
      </c>
      <c r="E28" s="57" t="n">
        <v>1</v>
      </c>
      <c r="F28" s="57" t="n">
        <v>1</v>
      </c>
      <c r="G28" s="57" t="n">
        <v>1</v>
      </c>
      <c r="H28" s="57" t="n">
        <v>0</v>
      </c>
      <c r="I28" s="57" t="n">
        <v>1</v>
      </c>
      <c r="J28" s="57" t="n">
        <v>0</v>
      </c>
      <c r="K28" s="57" t="n">
        <v>0</v>
      </c>
      <c r="L28" s="57" t="n">
        <v>0</v>
      </c>
      <c r="M28" s="57" t="n">
        <v>0</v>
      </c>
      <c r="N28" s="57" t="n">
        <v>0</v>
      </c>
      <c r="O28" s="57" t="n">
        <v>0</v>
      </c>
      <c r="P28" s="57" t="n">
        <v>6</v>
      </c>
      <c r="Q28" s="57" t="n"/>
    </row>
    <row r="29" ht="12" customHeight="1">
      <c r="C29" t="inlineStr">
        <is>
          <t>REVER</t>
        </is>
      </c>
      <c r="D29" t="n">
        <v>2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s="5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</v>
      </c>
    </row>
    <row r="30" ht="12" customHeight="1"/>
    <row r="31" ht="12" customHeight="1">
      <c r="A31" s="55" t="n"/>
      <c r="B31" s="56" t="inlineStr">
        <is>
          <t>Services</t>
        </is>
      </c>
      <c r="C31" s="55" t="n"/>
      <c r="D31" s="55" t="n">
        <v>3</v>
      </c>
      <c r="E31" s="55" t="n">
        <v>5</v>
      </c>
      <c r="F31" s="55" t="n">
        <v>4</v>
      </c>
      <c r="G31" s="55" t="n">
        <v>3</v>
      </c>
      <c r="H31" s="55" t="n">
        <v>3</v>
      </c>
      <c r="I31" s="55" t="n">
        <v>4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22</v>
      </c>
      <c r="Q31" s="55" t="n"/>
    </row>
    <row r="32" ht="12" customHeight="1">
      <c r="C32" t="inlineStr">
        <is>
          <t>HANNUN</t>
        </is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s="59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</v>
      </c>
    </row>
    <row r="33" ht="12" customHeight="1">
      <c r="C33" t="inlineStr">
        <is>
          <t>QHANDS</t>
        </is>
      </c>
      <c r="D33" t="n">
        <v>0</v>
      </c>
      <c r="E33" t="n">
        <v>2</v>
      </c>
      <c r="F33" t="n">
        <v>1</v>
      </c>
      <c r="G33" t="n">
        <v>1</v>
      </c>
      <c r="H33" t="n">
        <v>1</v>
      </c>
      <c r="I33" t="n">
        <v>1</v>
      </c>
      <c r="J33" s="59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</v>
      </c>
    </row>
    <row r="34" ht="12" customHeight="1">
      <c r="C34" t="inlineStr">
        <is>
          <t>Ltd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s="59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</v>
      </c>
    </row>
    <row r="35" ht="12" customHeight="1">
      <c r="C35" t="inlineStr">
        <is>
          <t>Inc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s="59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</v>
      </c>
    </row>
    <row r="36" ht="12" customHeight="1">
      <c r="A36" s="57" t="n"/>
      <c r="B36" s="58" t="inlineStr">
        <is>
          <t>Uncategorized income</t>
        </is>
      </c>
      <c r="C36" s="57" t="n"/>
      <c r="D36" s="57" t="n">
        <v>1</v>
      </c>
      <c r="E36" s="57" t="n">
        <v>0</v>
      </c>
      <c r="F36" s="57" t="n">
        <v>0</v>
      </c>
      <c r="G36" s="57" t="n">
        <v>1</v>
      </c>
      <c r="H36" s="57" t="n">
        <v>0</v>
      </c>
      <c r="I36" s="57" t="n">
        <v>1</v>
      </c>
      <c r="J36" s="59" t="n">
        <v>0</v>
      </c>
      <c r="K36" s="57" t="n">
        <v>0</v>
      </c>
      <c r="L36" s="57" t="n">
        <v>0</v>
      </c>
      <c r="M36" s="57" t="n">
        <v>0</v>
      </c>
      <c r="N36" s="57" t="n">
        <v>0</v>
      </c>
      <c r="O36" s="57" t="n">
        <v>0</v>
      </c>
      <c r="P36" s="57" t="n">
        <v>3</v>
      </c>
      <c r="Q36" s="57" t="n"/>
    </row>
    <row r="37" ht="12" customHeight="1"/>
    <row r="38" ht="12" customHeight="1">
      <c r="A38" s="53" t="inlineStr">
        <is>
          <t>Expenses</t>
        </is>
      </c>
      <c r="B38" s="54" t="n"/>
      <c r="C38" s="54" t="n"/>
      <c r="D38" s="54" t="n">
        <v>52</v>
      </c>
      <c r="E38" s="54" t="n">
        <v>48</v>
      </c>
      <c r="F38" s="54" t="n">
        <v>55</v>
      </c>
      <c r="G38" s="54" t="n">
        <v>48</v>
      </c>
      <c r="H38" s="54" t="n">
        <v>43</v>
      </c>
      <c r="I38" s="54" t="n">
        <v>56</v>
      </c>
      <c r="J38" s="54" t="n">
        <v>34</v>
      </c>
      <c r="K38" s="54" t="n">
        <v>0</v>
      </c>
      <c r="L38" s="54" t="n">
        <v>0</v>
      </c>
      <c r="M38" s="54" t="n">
        <v>0</v>
      </c>
      <c r="N38" s="54" t="n">
        <v>0</v>
      </c>
      <c r="O38" s="54" t="n">
        <v>0</v>
      </c>
      <c r="P38" s="54" t="n">
        <v>336</v>
      </c>
      <c r="Q38" s="54" t="n"/>
    </row>
    <row r="39" ht="12" customHeight="1">
      <c r="A39" s="55" t="n"/>
      <c r="B39" s="56" t="inlineStr">
        <is>
          <t>COGS</t>
        </is>
      </c>
      <c r="C39" s="55" t="n"/>
      <c r="D39" s="55" t="n">
        <v>28</v>
      </c>
      <c r="E39" s="55" t="n">
        <v>22</v>
      </c>
      <c r="F39" s="55" t="n">
        <v>29</v>
      </c>
      <c r="G39" s="55" t="n">
        <v>24</v>
      </c>
      <c r="H39" s="55" t="n">
        <v>19</v>
      </c>
      <c r="I39" s="55" t="n">
        <v>25</v>
      </c>
      <c r="J39" s="55" t="n">
        <v>16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163</v>
      </c>
      <c r="Q39" s="55" t="n"/>
    </row>
    <row r="40" ht="12" customHeight="1">
      <c r="A40" s="57" t="n"/>
      <c r="B40" s="57" t="n"/>
      <c r="C40" s="58" t="inlineStr">
        <is>
          <t>Manufacturing</t>
        </is>
      </c>
      <c r="D40" s="57" t="n">
        <v>9</v>
      </c>
      <c r="E40" s="57" t="n">
        <v>12</v>
      </c>
      <c r="F40" s="57" t="n">
        <v>15</v>
      </c>
      <c r="G40" s="57" t="n">
        <v>9</v>
      </c>
      <c r="H40" s="57" t="n">
        <v>8</v>
      </c>
      <c r="I40" s="57" t="n">
        <v>10</v>
      </c>
      <c r="J40" s="57" t="n">
        <v>7</v>
      </c>
      <c r="K40" s="57" t="n">
        <v>0</v>
      </c>
      <c r="L40" s="57" t="n">
        <v>0</v>
      </c>
      <c r="M40" s="57" t="n">
        <v>0</v>
      </c>
      <c r="N40" s="57" t="n">
        <v>0</v>
      </c>
      <c r="O40" s="57" t="n">
        <v>0</v>
      </c>
      <c r="P40" s="57" t="n">
        <v>70</v>
      </c>
      <c r="Q40" s="57" t="n"/>
    </row>
    <row r="41" ht="12" customHeight="1">
      <c r="C41" t="inlineStr">
        <is>
          <t>APPHOTOCAN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</v>
      </c>
    </row>
    <row r="42" ht="12" customHeight="1">
      <c r="C42" t="inlineStr">
        <is>
          <t>APPHOTOES</t>
        </is>
      </c>
      <c r="D42" t="n">
        <v>4</v>
      </c>
      <c r="E42" t="n">
        <v>7</v>
      </c>
      <c r="F42" t="n">
        <v>9</v>
      </c>
      <c r="G42" t="n">
        <v>5</v>
      </c>
      <c r="H42" t="n">
        <v>4</v>
      </c>
      <c r="I42" t="n">
        <v>4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37</v>
      </c>
    </row>
    <row r="43" ht="12" customHeight="1">
      <c r="C43" t="inlineStr">
        <is>
          <t>ARTLINK</t>
        </is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s="59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</row>
    <row r="44" ht="12" customHeight="1">
      <c r="C44" t="inlineStr">
        <is>
          <t>DCT</t>
        </is>
      </c>
      <c r="D44" t="n">
        <v>3</v>
      </c>
      <c r="E44" t="n">
        <v>3</v>
      </c>
      <c r="F44" t="n">
        <v>2</v>
      </c>
      <c r="G44" t="n">
        <v>2</v>
      </c>
      <c r="H44" t="n">
        <v>2</v>
      </c>
      <c r="I44" t="n">
        <v>3</v>
      </c>
      <c r="J44" s="59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</v>
      </c>
    </row>
    <row r="45" ht="12" customHeight="1">
      <c r="C45" t="inlineStr">
        <is>
          <t>PRESSING</t>
        </is>
      </c>
      <c r="D45" t="n">
        <v>1</v>
      </c>
      <c r="E45" t="n">
        <v>1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</v>
      </c>
    </row>
    <row r="46" ht="12" customHeight="1">
      <c r="A46" s="57" t="n"/>
      <c r="B46" s="57" t="n"/>
      <c r="C46" s="58" t="inlineStr">
        <is>
          <t>Logistics</t>
        </is>
      </c>
      <c r="D46" s="57" t="n">
        <v>16</v>
      </c>
      <c r="E46" s="57" t="n">
        <v>7</v>
      </c>
      <c r="F46" s="57" t="n">
        <v>11</v>
      </c>
      <c r="G46" s="57" t="n">
        <v>12</v>
      </c>
      <c r="H46" s="57" t="n">
        <v>8</v>
      </c>
      <c r="I46" s="57" t="n">
        <v>11</v>
      </c>
      <c r="J46" s="57" t="n">
        <v>7</v>
      </c>
      <c r="K46" s="57" t="n">
        <v>0</v>
      </c>
      <c r="L46" s="57" t="n">
        <v>0</v>
      </c>
      <c r="M46" s="57" t="n">
        <v>0</v>
      </c>
      <c r="N46" s="57" t="n">
        <v>0</v>
      </c>
      <c r="O46" s="57" t="n">
        <v>0</v>
      </c>
      <c r="P46" s="57" t="n">
        <v>72</v>
      </c>
      <c r="Q46" s="57" t="n"/>
    </row>
    <row r="47" ht="12" customHeight="1">
      <c r="C47" t="inlineStr">
        <is>
          <t>CORREOS</t>
        </is>
      </c>
      <c r="D47" t="n">
        <v>2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s="59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7</v>
      </c>
    </row>
    <row r="48" ht="12" customHeight="1">
      <c r="C48" t="inlineStr">
        <is>
          <t>CORREOSCAN</t>
        </is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s="59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</row>
    <row r="49" ht="12" customHeight="1">
      <c r="C49" t="inlineStr">
        <is>
          <t>GLS</t>
        </is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s="5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 ht="12" customHeight="1">
      <c r="C50" t="inlineStr">
        <is>
          <t>SPRINGGDS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</row>
    <row r="51" ht="12" customHeight="1">
      <c r="C51" t="inlineStr">
        <is>
          <t>UPS</t>
        </is>
      </c>
      <c r="D51" t="n">
        <v>11</v>
      </c>
      <c r="E51" t="n">
        <v>4</v>
      </c>
      <c r="F51" t="n">
        <v>8</v>
      </c>
      <c r="G51" t="n">
        <v>9</v>
      </c>
      <c r="H51" t="n">
        <v>5</v>
      </c>
      <c r="I51" t="n">
        <v>8</v>
      </c>
      <c r="J51" t="n">
        <v>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52</v>
      </c>
    </row>
    <row r="52" ht="12" customHeight="1">
      <c r="A52" s="57" t="n"/>
      <c r="B52" s="57" t="n"/>
      <c r="C52" s="58" t="inlineStr">
        <is>
          <t>Royalties</t>
        </is>
      </c>
      <c r="D52" s="57" t="n">
        <v>1</v>
      </c>
      <c r="E52" s="57" t="n">
        <v>1</v>
      </c>
      <c r="F52" s="57" t="n">
        <v>1</v>
      </c>
      <c r="G52" s="57" t="n">
        <v>1</v>
      </c>
      <c r="H52" s="57" t="n">
        <v>1</v>
      </c>
      <c r="I52" s="57" t="n">
        <v>1</v>
      </c>
      <c r="J52" s="57" t="n">
        <v>0</v>
      </c>
      <c r="K52" s="57" t="n">
        <v>0</v>
      </c>
      <c r="L52" s="57" t="n">
        <v>0</v>
      </c>
      <c r="M52" s="57" t="n">
        <v>0</v>
      </c>
      <c r="N52" s="57" t="n">
        <v>0</v>
      </c>
      <c r="O52" s="57" t="n">
        <v>0</v>
      </c>
      <c r="P52" s="57" t="n">
        <v>6</v>
      </c>
      <c r="Q52" s="57" t="n"/>
    </row>
    <row r="53" ht="12" customHeight="1">
      <c r="C53" t="inlineStr">
        <is>
          <t>ROYALTIES</t>
        </is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s="59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6</v>
      </c>
    </row>
    <row r="54" ht="12" customHeight="1">
      <c r="C54" t="inlineStr">
        <is>
          <t>eu</t>
        </is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s="59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</row>
    <row r="55" ht="12" customHeight="1">
      <c r="C55" t="inlineStr">
        <is>
          <t>uk</t>
        </is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s="59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6</v>
      </c>
    </row>
    <row r="56" ht="12" customHeight="1">
      <c r="C56" t="inlineStr">
        <is>
          <t>us</t>
        </is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s="59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6</v>
      </c>
    </row>
    <row r="57" ht="12" customHeight="1">
      <c r="A57" s="57" t="n"/>
      <c r="B57" s="57" t="n"/>
      <c r="C57" s="58" t="inlineStr">
        <is>
          <t>Payment fees</t>
        </is>
      </c>
      <c r="D57" s="57" t="n">
        <v>2</v>
      </c>
      <c r="E57" s="57" t="n">
        <v>2</v>
      </c>
      <c r="F57" s="57" t="n">
        <v>2</v>
      </c>
      <c r="G57" s="57" t="n">
        <v>2</v>
      </c>
      <c r="H57" s="57" t="n">
        <v>2</v>
      </c>
      <c r="I57" s="57" t="n">
        <v>3</v>
      </c>
      <c r="J57" s="57" t="n">
        <v>2</v>
      </c>
      <c r="K57" s="57" t="n">
        <v>0</v>
      </c>
      <c r="L57" s="57" t="n">
        <v>0</v>
      </c>
      <c r="M57" s="57" t="n">
        <v>0</v>
      </c>
      <c r="N57" s="57" t="n">
        <v>0</v>
      </c>
      <c r="O57" s="57" t="n">
        <v>0</v>
      </c>
      <c r="P57" s="57" t="n">
        <v>15</v>
      </c>
      <c r="Q57" s="57" t="n"/>
    </row>
    <row r="58" ht="12" customHeight="1">
      <c r="C58" t="inlineStr">
        <is>
          <t>SHOPIFY</t>
        </is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</v>
      </c>
    </row>
    <row r="59" ht="12" customHeight="1">
      <c r="C59" t="inlineStr">
        <is>
          <t>PAYPAL</t>
        </is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2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</v>
      </c>
    </row>
    <row r="60" ht="12" customHeight="1"/>
    <row r="61" ht="12" customHeight="1"/>
    <row r="62" ht="12" customHeight="1">
      <c r="A62" s="55" t="n"/>
      <c r="B62" s="56" t="inlineStr">
        <is>
          <t>Opex</t>
        </is>
      </c>
      <c r="C62" s="55" t="n"/>
      <c r="D62" s="55" t="n">
        <v>24</v>
      </c>
      <c r="E62" s="55" t="n">
        <v>26</v>
      </c>
      <c r="F62" s="55" t="n">
        <v>26</v>
      </c>
      <c r="G62" s="55" t="n">
        <v>24</v>
      </c>
      <c r="H62" s="55" t="n">
        <v>24</v>
      </c>
      <c r="I62" s="55" t="n">
        <v>31</v>
      </c>
      <c r="J62" s="55" t="n">
        <v>18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173</v>
      </c>
      <c r="Q62" s="55" t="n"/>
    </row>
    <row r="63" ht="12" customHeight="1">
      <c r="A63" s="57" t="n"/>
      <c r="B63" s="57" t="n"/>
      <c r="C63" s="58" t="inlineStr">
        <is>
          <t>Marketing</t>
        </is>
      </c>
      <c r="D63" s="57" t="n">
        <v>0</v>
      </c>
      <c r="E63" s="57" t="n">
        <v>0</v>
      </c>
      <c r="F63" s="57" t="n">
        <v>0</v>
      </c>
      <c r="G63" s="57" t="n">
        <v>0</v>
      </c>
      <c r="H63" s="57" t="n">
        <v>0</v>
      </c>
      <c r="I63" s="57" t="n">
        <v>0</v>
      </c>
      <c r="J63" s="57" t="n">
        <v>0</v>
      </c>
      <c r="K63" s="57" t="n">
        <v>0</v>
      </c>
      <c r="L63" s="57" t="n">
        <v>0</v>
      </c>
      <c r="M63" s="57" t="n">
        <v>0</v>
      </c>
      <c r="N63" s="57" t="n">
        <v>0</v>
      </c>
      <c r="O63" s="57" t="n">
        <v>0</v>
      </c>
      <c r="P63" s="57" t="n">
        <v>0</v>
      </c>
      <c r="Q63" s="57" t="n"/>
    </row>
    <row r="64" ht="12" customHeight="1">
      <c r="A64" s="57" t="n"/>
      <c r="B64" s="57" t="n"/>
      <c r="C64" s="58" t="inlineStr">
        <is>
          <t>METAADS</t>
        </is>
      </c>
      <c r="D64" s="57" t="n">
        <v>0</v>
      </c>
      <c r="E64" s="57" t="n">
        <v>0</v>
      </c>
      <c r="F64" s="57" t="n">
        <v>0</v>
      </c>
      <c r="G64" s="57" t="n">
        <v>0</v>
      </c>
      <c r="H64" s="57" t="n">
        <v>0</v>
      </c>
      <c r="I64" s="57" t="n">
        <v>0</v>
      </c>
      <c r="J64" s="57" t="n">
        <v>0</v>
      </c>
      <c r="K64" s="57" t="n">
        <v>0</v>
      </c>
      <c r="L64" s="57" t="n">
        <v>0</v>
      </c>
      <c r="M64" s="57" t="n">
        <v>0</v>
      </c>
      <c r="N64" s="57" t="n">
        <v>0</v>
      </c>
      <c r="O64" s="57" t="n">
        <v>0</v>
      </c>
      <c r="P64" s="57" t="n">
        <v>0</v>
      </c>
      <c r="Q64" s="57" t="n"/>
    </row>
    <row r="65" ht="12" customHeight="1">
      <c r="C65" t="inlineStr">
        <is>
          <t>EU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 ht="12" customHeight="1">
      <c r="C66" t="inlineStr">
        <is>
          <t>UK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 ht="12" customHeight="1">
      <c r="C67" t="inlineStr">
        <is>
          <t>US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 ht="12" customHeight="1">
      <c r="A68" s="57" t="n"/>
      <c r="B68" s="57" t="n"/>
      <c r="C68" s="58" t="inlineStr">
        <is>
          <t>GOOGLEADS</t>
        </is>
      </c>
      <c r="D68" s="57" t="n">
        <v>0</v>
      </c>
      <c r="E68" s="57" t="n">
        <v>0</v>
      </c>
      <c r="F68" s="57" t="n">
        <v>0</v>
      </c>
      <c r="G68" s="57" t="n">
        <v>0</v>
      </c>
      <c r="H68" s="57" t="n">
        <v>0</v>
      </c>
      <c r="I68" s="57" t="n">
        <v>0</v>
      </c>
      <c r="J68" s="57" t="n">
        <v>0</v>
      </c>
      <c r="K68" s="57" t="n">
        <v>0</v>
      </c>
      <c r="L68" s="57" t="n">
        <v>0</v>
      </c>
      <c r="M68" s="57" t="n">
        <v>0</v>
      </c>
      <c r="N68" s="57" t="n">
        <v>0</v>
      </c>
      <c r="O68" s="57" t="n">
        <v>0</v>
      </c>
      <c r="P68" s="57" t="n">
        <v>0</v>
      </c>
      <c r="Q68" s="57" t="n"/>
    </row>
    <row r="69" ht="12" customHeight="1">
      <c r="C69" t="inlineStr">
        <is>
          <t>EU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 ht="12" customHeight="1">
      <c r="C70" t="inlineStr">
        <is>
          <t>UK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 ht="12" customHeight="1">
      <c r="C71" t="inlineStr">
        <is>
          <t>US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 ht="12" customHeight="1">
      <c r="A72" s="57" t="n"/>
      <c r="B72" s="57" t="n"/>
      <c r="C72" s="58" t="inlineStr">
        <is>
          <t>Staff</t>
        </is>
      </c>
      <c r="D72" s="57" t="n">
        <v>1</v>
      </c>
      <c r="E72" s="57" t="n">
        <v>1</v>
      </c>
      <c r="F72" s="57" t="n">
        <v>1</v>
      </c>
      <c r="G72" s="57" t="n">
        <v>1</v>
      </c>
      <c r="H72" s="57" t="n">
        <v>1</v>
      </c>
      <c r="I72" s="57" t="n">
        <v>1</v>
      </c>
      <c r="J72" s="57" t="n">
        <v>1</v>
      </c>
      <c r="K72" s="57" t="n">
        <v>0</v>
      </c>
      <c r="L72" s="57" t="n">
        <v>0</v>
      </c>
      <c r="M72" s="57" t="n">
        <v>0</v>
      </c>
      <c r="N72" s="57" t="n">
        <v>0</v>
      </c>
      <c r="O72" s="57" t="n">
        <v>0</v>
      </c>
      <c r="P72" s="57" t="n">
        <v>7</v>
      </c>
      <c r="Q72" s="57" t="n"/>
    </row>
    <row r="73" ht="12" customHeight="1">
      <c r="C73" t="inlineStr">
        <is>
          <t>PAYROLL</t>
        </is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7</v>
      </c>
    </row>
    <row r="74" ht="12" customHeight="1">
      <c r="C74" t="inlineStr">
        <is>
          <t>DOSCONSULTING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 ht="12" customHeight="1">
      <c r="A75" s="57" t="n"/>
      <c r="B75" s="57" t="n"/>
      <c r="C75" s="58" t="inlineStr">
        <is>
          <t>Administration</t>
        </is>
      </c>
      <c r="D75" s="57" t="n">
        <v>2</v>
      </c>
      <c r="E75" s="57" t="n">
        <v>2</v>
      </c>
      <c r="F75" s="57" t="n">
        <v>3</v>
      </c>
      <c r="G75" s="57" t="n">
        <v>1</v>
      </c>
      <c r="H75" s="57" t="n">
        <v>1</v>
      </c>
      <c r="I75" s="57" t="n">
        <v>1</v>
      </c>
      <c r="J75" s="57" t="n">
        <v>2</v>
      </c>
      <c r="K75" s="57" t="n">
        <v>0</v>
      </c>
      <c r="L75" s="57" t="n">
        <v>0</v>
      </c>
      <c r="M75" s="57" t="n">
        <v>0</v>
      </c>
      <c r="N75" s="57" t="n">
        <v>0</v>
      </c>
      <c r="O75" s="57" t="n">
        <v>0</v>
      </c>
      <c r="P75" s="57" t="n">
        <v>12</v>
      </c>
      <c r="Q75" s="57" t="n"/>
    </row>
    <row r="76" ht="12" customHeight="1">
      <c r="C76" t="inlineStr">
        <is>
          <t>ADEPLUS</t>
        </is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</row>
    <row r="77" ht="12" customHeight="1">
      <c r="C77" t="inlineStr">
        <is>
          <t>BBVACNC</t>
        </is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s="59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6</v>
      </c>
    </row>
    <row r="78" ht="12" customHeight="1">
      <c r="C78" t="inlineStr">
        <is>
          <t>CLARIS</t>
        </is>
      </c>
      <c r="D78" t="n">
        <v>1</v>
      </c>
      <c r="E78" t="n">
        <v>1</v>
      </c>
      <c r="F78" t="n">
        <v>1</v>
      </c>
      <c r="G78" t="n">
        <v>1</v>
      </c>
      <c r="H78" t="n">
        <v>2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8</v>
      </c>
    </row>
    <row r="79" ht="12" customHeight="1">
      <c r="C79" t="inlineStr">
        <is>
          <t>CONTASIMPLE</t>
        </is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</row>
    <row r="80" ht="12" customHeight="1">
      <c r="C80" t="inlineStr">
        <is>
          <t>HANNUN</t>
        </is>
      </c>
      <c r="D80" t="n">
        <v>2</v>
      </c>
      <c r="E80" t="n">
        <v>2</v>
      </c>
      <c r="F80" t="n">
        <v>3</v>
      </c>
      <c r="G80" t="n">
        <v>1</v>
      </c>
      <c r="H80" t="n">
        <v>1</v>
      </c>
      <c r="I80" t="n">
        <v>1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12</v>
      </c>
    </row>
    <row r="81" ht="12" customHeight="1">
      <c r="C81" t="inlineStr">
        <is>
          <t>administration</t>
        </is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</row>
    <row r="82" ht="12" customHeight="1">
      <c r="C82" t="inlineStr">
        <is>
          <t>office</t>
        </is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7</v>
      </c>
    </row>
    <row r="83" ht="12" customHeight="1">
      <c r="C83" t="inlineStr">
        <is>
          <t>services</t>
        </is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</v>
      </c>
    </row>
    <row r="84" ht="12" customHeight="1">
      <c r="C84" t="inlineStr">
        <is>
          <t>LINKEDIN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</row>
    <row r="85" ht="12" customHeight="1">
      <c r="C85" t="inlineStr">
        <is>
          <t>LIZENZERO</t>
        </is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 ht="12" customHeight="1">
      <c r="C86" t="inlineStr">
        <is>
          <t>NODA</t>
        </is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</row>
    <row r="87" ht="12" customHeight="1">
      <c r="C87" t="inlineStr">
        <is>
          <t>NOTARIOSMONTESQUINZA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s="59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</row>
    <row r="88" ht="12" customHeight="1">
      <c r="C88" t="inlineStr">
        <is>
          <t>REGUS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 ht="12" customHeight="1">
      <c r="C89" t="inlineStr">
        <is>
          <t>TORRAS</t>
        </is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7</v>
      </c>
    </row>
    <row r="90" ht="12" customHeight="1">
      <c r="C90" t="inlineStr">
        <is>
          <t>VITALY</t>
        </is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</row>
    <row r="91" ht="12" customHeight="1">
      <c r="A91" s="57" t="n"/>
      <c r="B91" s="57" t="n"/>
      <c r="C91" s="58" t="inlineStr">
        <is>
          <t>Technology</t>
        </is>
      </c>
      <c r="D91" s="57" t="n">
        <v>20</v>
      </c>
      <c r="E91" s="57" t="n">
        <v>22</v>
      </c>
      <c r="F91" s="57" t="n">
        <v>22</v>
      </c>
      <c r="G91" s="57" t="n">
        <v>21</v>
      </c>
      <c r="H91" s="57" t="n">
        <v>22</v>
      </c>
      <c r="I91" s="57" t="n">
        <v>28</v>
      </c>
      <c r="J91" s="57" t="n">
        <v>15</v>
      </c>
      <c r="K91" s="57" t="n">
        <v>0</v>
      </c>
      <c r="L91" s="57" t="n">
        <v>0</v>
      </c>
      <c r="M91" s="57" t="n">
        <v>0</v>
      </c>
      <c r="N91" s="57" t="n">
        <v>0</v>
      </c>
      <c r="O91" s="57" t="n">
        <v>0</v>
      </c>
      <c r="P91" s="57" t="n">
        <v>150</v>
      </c>
      <c r="Q91" s="57" t="n"/>
    </row>
    <row r="92" ht="12" customHeight="1">
      <c r="C92" t="inlineStr">
        <is>
          <t>ADOBE</t>
        </is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s="59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6</v>
      </c>
    </row>
    <row r="93" ht="12" customHeight="1">
      <c r="C93" t="inlineStr">
        <is>
          <t>CANVA</t>
        </is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</v>
      </c>
    </row>
    <row r="94" ht="12" customHeight="1">
      <c r="C94" t="inlineStr">
        <is>
          <t>GODADDY</t>
        </is>
      </c>
      <c r="D94" t="n">
        <v>2</v>
      </c>
      <c r="E94" t="n">
        <v>0</v>
      </c>
      <c r="F94" t="n">
        <v>2</v>
      </c>
      <c r="G94" t="n">
        <v>0</v>
      </c>
      <c r="H94" t="n">
        <v>1</v>
      </c>
      <c r="I94" t="n">
        <v>6</v>
      </c>
      <c r="J94" s="59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11</v>
      </c>
    </row>
    <row r="95" ht="12" customHeight="1">
      <c r="C95" t="inlineStr">
        <is>
          <t>GOOGLEWORKSPACE</t>
        </is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s="59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</v>
      </c>
    </row>
    <row r="96" ht="12" customHeight="1">
      <c r="C96" t="inlineStr">
        <is>
          <t>GORGIAS</t>
        </is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</v>
      </c>
    </row>
    <row r="97" ht="12" customHeight="1">
      <c r="C97" t="inlineStr">
        <is>
          <t>HETZNER</t>
        </is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</v>
      </c>
    </row>
    <row r="98" ht="12" customHeight="1">
      <c r="C98" t="inlineStr">
        <is>
          <t>KONVOAI</t>
        </is>
      </c>
      <c r="D98" t="n">
        <v>2</v>
      </c>
      <c r="E98" t="n">
        <v>2</v>
      </c>
      <c r="F98" t="n">
        <v>3</v>
      </c>
      <c r="G98" t="n">
        <v>2</v>
      </c>
      <c r="H98" t="n">
        <v>2</v>
      </c>
      <c r="I98" t="n">
        <v>2</v>
      </c>
      <c r="J98" s="59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13</v>
      </c>
    </row>
    <row r="99" ht="12" customHeight="1">
      <c r="C99" t="inlineStr">
        <is>
          <t>MASMOVIL</t>
        </is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</v>
      </c>
    </row>
    <row r="100" ht="12" customHeight="1">
      <c r="C100" t="inlineStr">
        <is>
          <t>MICROSOFT</t>
        </is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13</v>
      </c>
    </row>
    <row r="101" ht="12" customHeight="1">
      <c r="C101" t="inlineStr">
        <is>
          <t>OPENAI</t>
        </is>
      </c>
      <c r="D101" t="n">
        <v>2</v>
      </c>
      <c r="E101" t="n">
        <v>6</v>
      </c>
      <c r="F101" t="n">
        <v>1</v>
      </c>
      <c r="G101" t="n">
        <v>4</v>
      </c>
      <c r="H101" t="n">
        <v>4</v>
      </c>
      <c r="I101" t="n">
        <v>5</v>
      </c>
      <c r="J101" s="59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24</v>
      </c>
    </row>
    <row r="102" ht="12" customHeight="1">
      <c r="C102" t="inlineStr">
        <is>
          <t>PRODUCTHERO</t>
        </is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7</v>
      </c>
    </row>
    <row r="103" ht="12" customHeight="1">
      <c r="C103" t="inlineStr">
        <is>
          <t>RAILWAY</t>
        </is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</v>
      </c>
    </row>
    <row r="104" ht="12" customHeight="1">
      <c r="C104" t="inlineStr">
        <is>
          <t>REVER</t>
        </is>
      </c>
      <c r="D104" t="n">
        <v>2</v>
      </c>
      <c r="E104" t="n">
        <v>1</v>
      </c>
      <c r="F104" t="n">
        <v>3</v>
      </c>
      <c r="G104" t="n">
        <v>2</v>
      </c>
      <c r="H104" t="n">
        <v>2</v>
      </c>
      <c r="I104" t="n">
        <v>2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15</v>
      </c>
    </row>
    <row r="105" ht="12" customHeight="1">
      <c r="C105" t="inlineStr">
        <is>
          <t>SHOPIFY</t>
        </is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7</v>
      </c>
    </row>
    <row r="106" ht="12" customHeight="1">
      <c r="C106" t="inlineStr">
        <is>
          <t>SIMPLYCOM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</row>
    <row r="107" ht="12" customHeight="1">
      <c r="C107" t="inlineStr">
        <is>
          <t>SYNCWITH</t>
        </is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s="59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</v>
      </c>
    </row>
    <row r="108" ht="12" customHeight="1">
      <c r="C108" t="inlineStr">
        <is>
          <t>YUMAAI</t>
        </is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7</v>
      </c>
    </row>
    <row r="109" ht="12" customHeight="1">
      <c r="A109" s="57" t="n"/>
      <c r="B109" s="57" t="n"/>
      <c r="C109" s="58" t="inlineStr">
        <is>
          <t>Uncategorized Expenses</t>
        </is>
      </c>
      <c r="D109" s="57" t="n">
        <v>1</v>
      </c>
      <c r="E109" s="57" t="n">
        <v>1</v>
      </c>
      <c r="F109" s="57" t="n">
        <v>0</v>
      </c>
      <c r="G109" s="57" t="n">
        <v>1</v>
      </c>
      <c r="H109" s="57" t="n">
        <v>0</v>
      </c>
      <c r="I109" s="57" t="n">
        <v>1</v>
      </c>
      <c r="J109" s="59" t="n">
        <v>0</v>
      </c>
      <c r="K109" s="57" t="n">
        <v>0</v>
      </c>
      <c r="L109" s="57" t="n">
        <v>0</v>
      </c>
      <c r="M109" s="57" t="n">
        <v>0</v>
      </c>
      <c r="N109" s="57" t="n">
        <v>0</v>
      </c>
      <c r="O109" s="57" t="n">
        <v>0</v>
      </c>
      <c r="P109" s="57" t="n">
        <v>4</v>
      </c>
      <c r="Q109" s="57" t="n"/>
    </row>
    <row r="110" ht="12" customHeight="1">
      <c r="A110" s="57" t="n"/>
      <c r="B110" s="58" t="inlineStr">
        <is>
          <t>Currency Adjustment</t>
        </is>
      </c>
      <c r="C110" s="57" t="n"/>
      <c r="D110" s="57" t="n">
        <v>1</v>
      </c>
      <c r="E110" s="57" t="n">
        <v>1</v>
      </c>
      <c r="F110" s="57" t="n">
        <v>0</v>
      </c>
      <c r="G110" s="57" t="n">
        <v>1</v>
      </c>
      <c r="H110" s="57" t="n">
        <v>0</v>
      </c>
      <c r="I110" s="57" t="n">
        <v>1</v>
      </c>
      <c r="J110" s="59" t="n">
        <v>0</v>
      </c>
      <c r="K110" s="57" t="n">
        <v>0</v>
      </c>
      <c r="L110" s="57" t="n">
        <v>0</v>
      </c>
      <c r="M110" s="57" t="n">
        <v>0</v>
      </c>
      <c r="N110" s="57" t="n">
        <v>0</v>
      </c>
      <c r="O110" s="57" t="n">
        <v>0</v>
      </c>
      <c r="P110" s="57" t="n">
        <v>4</v>
      </c>
      <c r="Q110" s="57" t="n"/>
    </row>
  </sheetData>
  <mergeCells count="1"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2" customHeight="1">
      <c r="A1" s="48" t="inlineStr">
        <is>
          <t>&lt;- Volver a P&amp;G-SL</t>
        </is>
      </c>
    </row>
    <row r="2" hidden="1" ht="12" customHeight="1">
      <c r="D2" t="inlineStr">
        <is>
          <t>202601</t>
        </is>
      </c>
      <c r="E2" t="inlineStr">
        <is>
          <t>202602</t>
        </is>
      </c>
      <c r="F2" t="inlineStr">
        <is>
          <t>202603</t>
        </is>
      </c>
      <c r="G2" t="inlineStr">
        <is>
          <t>202604</t>
        </is>
      </c>
      <c r="H2" t="inlineStr">
        <is>
          <t>202605</t>
        </is>
      </c>
      <c r="I2" t="inlineStr">
        <is>
          <t>202606</t>
        </is>
      </c>
      <c r="J2" t="inlineStr">
        <is>
          <t>202607</t>
        </is>
      </c>
      <c r="K2" t="inlineStr">
        <is>
          <t>202608</t>
        </is>
      </c>
      <c r="L2" t="inlineStr">
        <is>
          <t>202609</t>
        </is>
      </c>
      <c r="M2" t="inlineStr">
        <is>
          <t>202610</t>
        </is>
      </c>
      <c r="N2" t="inlineStr">
        <is>
          <t>202611</t>
        </is>
      </c>
      <c r="O2" t="inlineStr">
        <is>
          <t>202612</t>
        </is>
      </c>
      <c r="P2" t="inlineStr">
        <is>
          <t>TOTAL</t>
        </is>
      </c>
    </row>
    <row r="3" ht="12" customHeight="1">
      <c r="A3" s="2" t="inlineStr">
        <is>
          <t>Shared Services SL → LTD / INC 2026</t>
        </is>
      </c>
      <c r="B3" s="1" t="n"/>
      <c r="C3" s="1" t="n"/>
      <c r="D3" s="1" t="inlineStr">
        <is>
          <t>Enero</t>
        </is>
      </c>
      <c r="E3" s="1" t="inlineStr">
        <is>
          <t>Febrero</t>
        </is>
      </c>
      <c r="F3" s="1" t="inlineStr">
        <is>
          <t>Marzo</t>
        </is>
      </c>
      <c r="G3" s="1" t="inlineStr">
        <is>
          <t>Abril</t>
        </is>
      </c>
      <c r="H3" s="1" t="inlineStr">
        <is>
          <t>Mayo</t>
        </is>
      </c>
      <c r="I3" s="1" t="inlineStr">
        <is>
          <t>Junio</t>
        </is>
      </c>
      <c r="J3" s="1" t="inlineStr">
        <is>
          <t>Julio</t>
        </is>
      </c>
      <c r="K3" s="1" t="inlineStr">
        <is>
          <t>Agosto</t>
        </is>
      </c>
      <c r="L3" s="1" t="inlineStr">
        <is>
          <t>Septiembre</t>
        </is>
      </c>
      <c r="M3" s="1" t="inlineStr">
        <is>
          <t>Octubre</t>
        </is>
      </c>
      <c r="N3" s="1" t="inlineStr">
        <is>
          <t>Noviembre</t>
        </is>
      </c>
      <c r="O3" s="1" t="inlineStr">
        <is>
          <t>Diciembre</t>
        </is>
      </c>
      <c r="P3" s="1" t="inlineStr">
        <is>
          <t>Total</t>
        </is>
      </c>
    </row>
    <row r="4" ht="12" customHeight="1">
      <c r="A4" s="53" t="inlineStr">
        <is>
          <t>LTD (UK)</t>
        </is>
      </c>
      <c r="B4" s="60" t="inlineStr">
        <is>
          <t>ver facturas</t>
        </is>
      </c>
      <c r="C4" s="54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</row>
    <row r="5" ht="12" customHeight="1">
      <c r="A5" t="inlineStr">
        <is>
          <t>Marketing</t>
        </is>
      </c>
      <c r="D5" s="50" t="n">
        <v>6005.65</v>
      </c>
      <c r="E5" s="50" t="n">
        <v>7802.34</v>
      </c>
      <c r="F5" s="50" t="n">
        <v>8926.77</v>
      </c>
      <c r="G5" s="50" t="n">
        <v>7735.83</v>
      </c>
      <c r="H5" s="50" t="n">
        <v>7698.53</v>
      </c>
      <c r="I5" s="50" t="n">
        <v>7194.7</v>
      </c>
      <c r="J5" s="50">
        <f>SUMIFS('g-expenses-sl'!$K:$K,'g-expenses-sl'!$A:$A,J$2,'g-expenses-sl'!$D:$D,"marketing",'g-expenses-sl'!$F:$F,"uk")</f>
        <v/>
      </c>
      <c r="K5" s="50">
        <f>SUMIFS('g-expenses-sl'!$K:$K,'g-expenses-sl'!$A:$A,K$2,'g-expenses-sl'!$D:$D,"marketing",'g-expenses-sl'!$F:$F,"uk")</f>
        <v/>
      </c>
      <c r="L5" s="50">
        <f>SUMIFS('g-expenses-sl'!$K:$K,'g-expenses-sl'!$A:$A,L$2,'g-expenses-sl'!$D:$D,"marketing",'g-expenses-sl'!$F:$F,"uk")</f>
        <v/>
      </c>
      <c r="M5" s="50">
        <f>SUMIFS('g-expenses-sl'!$K:$K,'g-expenses-sl'!$A:$A,M$2,'g-expenses-sl'!$D:$D,"marketing",'g-expenses-sl'!$F:$F,"uk")</f>
        <v/>
      </c>
      <c r="N5" s="50">
        <f>SUMIFS('g-expenses-sl'!$K:$K,'g-expenses-sl'!$A:$A,N$2,'g-expenses-sl'!$D:$D,"marketing",'g-expenses-sl'!$F:$F,"uk")</f>
        <v/>
      </c>
      <c r="O5" s="50">
        <f>SUMIFS('g-expenses-sl'!$K:$K,'g-expenses-sl'!$A:$A,O$2,'g-expenses-sl'!$D:$D,"marketing",'g-expenses-sl'!$F:$F,"uk")</f>
        <v/>
      </c>
      <c r="P5" s="50">
        <f>SUM(D5:O5)</f>
        <v/>
      </c>
      <c r="Q5" s="50" t="n"/>
    </row>
    <row r="6" ht="12" customHeight="1">
      <c r="A6" t="inlineStr">
        <is>
          <t>Royalties</t>
        </is>
      </c>
      <c r="D6" s="50" t="n">
        <v>1232.79</v>
      </c>
      <c r="E6" s="50" t="n">
        <v>1596</v>
      </c>
      <c r="F6" s="50" t="n">
        <v>1938</v>
      </c>
      <c r="G6" s="50" t="n">
        <v>1617</v>
      </c>
      <c r="H6" s="50" t="n">
        <v>1629</v>
      </c>
      <c r="I6" s="50" t="n">
        <v>1767</v>
      </c>
      <c r="J6" s="50">
        <f>SUMIFS('i-royalties-scope-sl'!$C:$C,'i-royalties-scope-sl'!$A:$A,J$2,'i-royalties-scope-sl'!$B:$B,"uk")</f>
        <v/>
      </c>
      <c r="K6" s="50">
        <f>SUMIFS('i-royalties-scope-sl'!$C:$C,'i-royalties-scope-sl'!$A:$A,K$2,'i-royalties-scope-sl'!$B:$B,"uk")</f>
        <v/>
      </c>
      <c r="L6" s="50">
        <f>SUMIFS('i-royalties-scope-sl'!$C:$C,'i-royalties-scope-sl'!$A:$A,L$2,'i-royalties-scope-sl'!$B:$B,"uk")</f>
        <v/>
      </c>
      <c r="M6" s="50">
        <f>SUMIFS('i-royalties-scope-sl'!$C:$C,'i-royalties-scope-sl'!$A:$A,M$2,'i-royalties-scope-sl'!$B:$B,"uk")</f>
        <v/>
      </c>
      <c r="N6" s="50">
        <f>SUMIFS('i-royalties-scope-sl'!$C:$C,'i-royalties-scope-sl'!$A:$A,N$2,'i-royalties-scope-sl'!$B:$B,"uk")</f>
        <v/>
      </c>
      <c r="O6" s="50">
        <f>SUMIFS('i-royalties-scope-sl'!$C:$C,'i-royalties-scope-sl'!$A:$A,O$2,'i-royalties-scope-sl'!$B:$B,"uk")</f>
        <v/>
      </c>
      <c r="P6" s="50">
        <f>SUM(D6:O6)</f>
        <v/>
      </c>
      <c r="Q6" s="50" t="n"/>
    </row>
    <row r="7" ht="12" customHeight="1">
      <c r="A7" t="inlineStr">
        <is>
          <t>Staff</t>
        </is>
      </c>
      <c r="D7" s="50" t="n">
        <v>2946.37</v>
      </c>
      <c r="E7" s="50" t="n">
        <v>2946.37</v>
      </c>
      <c r="F7" s="50" t="n">
        <v>2302.41</v>
      </c>
      <c r="G7" s="50" t="n">
        <v>2327.27</v>
      </c>
      <c r="H7" s="50" t="n">
        <v>2327.27</v>
      </c>
      <c r="I7" s="50" t="n">
        <v>2313.27</v>
      </c>
      <c r="J7" s="50">
        <f>'P&amp;G-SL'!J95*VLOOKUP("pct_staff_uk",params!$A:$B,2,0)</f>
        <v/>
      </c>
      <c r="K7" s="50">
        <f>'P&amp;G-SL'!K95*VLOOKUP("pct_staff_uk",params!$A:$B,2,0)</f>
        <v/>
      </c>
      <c r="L7" s="50">
        <f>'P&amp;G-SL'!L95*VLOOKUP("pct_staff_uk",params!$A:$B,2,0)</f>
        <v/>
      </c>
      <c r="M7" s="50">
        <f>'P&amp;G-SL'!M95*VLOOKUP("pct_staff_uk",params!$A:$B,2,0)</f>
        <v/>
      </c>
      <c r="N7" s="50">
        <f>'P&amp;G-SL'!N95*VLOOKUP("pct_staff_uk",params!$A:$B,2,0)</f>
        <v/>
      </c>
      <c r="O7" s="50">
        <f>'P&amp;G-SL'!O95*VLOOKUP("pct_staff_uk",params!$A:$B,2,0)</f>
        <v/>
      </c>
      <c r="P7" s="50">
        <f>SUM(D7:O7)</f>
        <v/>
      </c>
      <c r="Q7" s="50" t="n"/>
    </row>
    <row r="8" ht="12" customHeight="1">
      <c r="A8" t="inlineStr">
        <is>
          <t>Administrativos</t>
        </is>
      </c>
      <c r="D8" s="50" t="n">
        <v>548.0599999999999</v>
      </c>
      <c r="E8" s="50" t="n">
        <v>724.27</v>
      </c>
      <c r="F8" s="50" t="n">
        <v>976.92</v>
      </c>
      <c r="G8" s="50" t="n">
        <v>1244.79</v>
      </c>
      <c r="H8" s="50" t="n">
        <v>1254.38</v>
      </c>
      <c r="I8" s="50" t="n">
        <v>1245.35</v>
      </c>
      <c r="J8" s="50">
        <f>('P&amp;G-SL'!J98+'P&amp;G-SL'!J114)*VLOOKUP("pct_admin_uk",params!$A:$B,2,0)</f>
        <v/>
      </c>
      <c r="K8" s="50">
        <f>('P&amp;G-SL'!K98+'P&amp;G-SL'!K114)*VLOOKUP("pct_admin_uk",params!$A:$B,2,0)</f>
        <v/>
      </c>
      <c r="L8" s="50">
        <f>('P&amp;G-SL'!L98+'P&amp;G-SL'!L114)*VLOOKUP("pct_admin_uk",params!$A:$B,2,0)</f>
        <v/>
      </c>
      <c r="M8" s="50">
        <f>('P&amp;G-SL'!M98+'P&amp;G-SL'!M114)*VLOOKUP("pct_admin_uk",params!$A:$B,2,0)</f>
        <v/>
      </c>
      <c r="N8" s="50">
        <f>('P&amp;G-SL'!N98+'P&amp;G-SL'!N114)*VLOOKUP("pct_admin_uk",params!$A:$B,2,0)</f>
        <v/>
      </c>
      <c r="O8" s="50">
        <f>('P&amp;G-SL'!O98+'P&amp;G-SL'!O114)*VLOOKUP("pct_admin_uk",params!$A:$B,2,0)</f>
        <v/>
      </c>
      <c r="P8" s="50">
        <f>SUM(D8:O8)</f>
        <v/>
      </c>
      <c r="Q8" s="50" t="n"/>
    </row>
    <row r="9" ht="12" customHeight="1">
      <c r="A9" s="58" t="inlineStr">
        <is>
          <t>TOTAL EUR</t>
        </is>
      </c>
      <c r="B9" s="57" t="n"/>
      <c r="C9" s="57" t="n"/>
      <c r="D9" s="62">
        <f>SUM(D5:D8)</f>
        <v/>
      </c>
      <c r="E9" s="62">
        <f>SUM(E5:E8)</f>
        <v/>
      </c>
      <c r="F9" s="62">
        <f>SUM(F5:F8)</f>
        <v/>
      </c>
      <c r="G9" s="62">
        <f>SUM(G5:G8)</f>
        <v/>
      </c>
      <c r="H9" s="62">
        <f>SUM(H5:H8)</f>
        <v/>
      </c>
      <c r="I9" s="62">
        <f>SUM(I5:I8)</f>
        <v/>
      </c>
      <c r="J9" s="62">
        <f>SUM(J5:J8)</f>
        <v/>
      </c>
      <c r="K9" s="62">
        <f>SUM(K5:K8)</f>
        <v/>
      </c>
      <c r="L9" s="62">
        <f>SUM(L5:L8)</f>
        <v/>
      </c>
      <c r="M9" s="62">
        <f>SUM(M5:M8)</f>
        <v/>
      </c>
      <c r="N9" s="62">
        <f>SUM(N5:N8)</f>
        <v/>
      </c>
      <c r="O9" s="62">
        <f>SUM(O5:O8)</f>
        <v/>
      </c>
      <c r="P9" s="62">
        <f>SUM(D9:O9)</f>
        <v/>
      </c>
      <c r="Q9" s="62" t="n"/>
    </row>
    <row r="10" ht="12" customHeight="1">
      <c r="A10" s="58" t="inlineStr">
        <is>
          <t>TOTAL GBP</t>
        </is>
      </c>
      <c r="B10" s="57" t="n"/>
      <c r="C10" s="57" t="n"/>
      <c r="D10" s="62">
        <f>IFERROR(D9/AVERAGEIFS('fx-rates'!$F:$F,'fx-rates'!$A:$A,D$2,'fx-rates'!$C:$C,"GBP",'fx-rates'!$D:$D,"EUR"),D9)</f>
        <v/>
      </c>
      <c r="E10" s="62">
        <f>IFERROR(E9/AVERAGEIFS('fx-rates'!$F:$F,'fx-rates'!$A:$A,E$2,'fx-rates'!$C:$C,"GBP",'fx-rates'!$D:$D,"EUR"),E9)</f>
        <v/>
      </c>
      <c r="F10" s="62">
        <f>IFERROR(F9/AVERAGEIFS('fx-rates'!$F:$F,'fx-rates'!$A:$A,F$2,'fx-rates'!$C:$C,"GBP",'fx-rates'!$D:$D,"EUR"),F9)</f>
        <v/>
      </c>
      <c r="G10" s="62">
        <f>IFERROR(G9/AVERAGEIFS('fx-rates'!$F:$F,'fx-rates'!$A:$A,G$2,'fx-rates'!$C:$C,"GBP",'fx-rates'!$D:$D,"EUR"),G9)</f>
        <v/>
      </c>
      <c r="H10" s="62">
        <f>IFERROR(H9/AVERAGEIFS('fx-rates'!$F:$F,'fx-rates'!$A:$A,H$2,'fx-rates'!$C:$C,"GBP",'fx-rates'!$D:$D,"EUR"),H9)</f>
        <v/>
      </c>
      <c r="I10" s="62">
        <f>IFERROR(I9/AVERAGEIFS('fx-rates'!$F:$F,'fx-rates'!$A:$A,I$2,'fx-rates'!$C:$C,"GBP",'fx-rates'!$D:$D,"EUR"),I9)</f>
        <v/>
      </c>
      <c r="J10" s="62">
        <f>IFERROR(J9/AVERAGEIFS('fx-rates'!$F:$F,'fx-rates'!$A:$A,J$2,'fx-rates'!$C:$C,"GBP",'fx-rates'!$D:$D,"EUR"),J9)</f>
        <v/>
      </c>
      <c r="K10" s="62">
        <f>IFERROR(K9/AVERAGEIFS('fx-rates'!$F:$F,'fx-rates'!$A:$A,K$2,'fx-rates'!$C:$C,"GBP",'fx-rates'!$D:$D,"EUR"),K9)</f>
        <v/>
      </c>
      <c r="L10" s="62">
        <f>IFERROR(L9/AVERAGEIFS('fx-rates'!$F:$F,'fx-rates'!$A:$A,L$2,'fx-rates'!$C:$C,"GBP",'fx-rates'!$D:$D,"EUR"),L9)</f>
        <v/>
      </c>
      <c r="M10" s="62">
        <f>IFERROR(M9/AVERAGEIFS('fx-rates'!$F:$F,'fx-rates'!$A:$A,M$2,'fx-rates'!$C:$C,"GBP",'fx-rates'!$D:$D,"EUR"),M9)</f>
        <v/>
      </c>
      <c r="N10" s="62">
        <f>IFERROR(N9/AVERAGEIFS('fx-rates'!$F:$F,'fx-rates'!$A:$A,N$2,'fx-rates'!$C:$C,"GBP",'fx-rates'!$D:$D,"EUR"),N9)</f>
        <v/>
      </c>
      <c r="O10" s="62">
        <f>IFERROR(O9/AVERAGEIFS('fx-rates'!$F:$F,'fx-rates'!$A:$A,O$2,'fx-rates'!$C:$C,"GBP",'fx-rates'!$D:$D,"EUR"),O9)</f>
        <v/>
      </c>
      <c r="P10" s="62">
        <f>SUM(D10:O10)</f>
        <v/>
      </c>
      <c r="Q10" s="62" t="n"/>
    </row>
    <row r="11" ht="12" customHeight="1"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</row>
    <row r="12" ht="12" customHeight="1">
      <c r="A12" s="53" t="inlineStr">
        <is>
          <t>INC (US)</t>
        </is>
      </c>
      <c r="B12" s="60" t="inlineStr">
        <is>
          <t>ver facturas</t>
        </is>
      </c>
      <c r="C12" s="54" t="n"/>
      <c r="D12" s="61" t="n"/>
      <c r="E12" s="61" t="n"/>
      <c r="F12" s="61" t="n"/>
      <c r="G12" s="61" t="n"/>
      <c r="H12" s="61" t="n"/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</row>
    <row r="13" ht="12" customHeight="1">
      <c r="A13" t="inlineStr">
        <is>
          <t>Marketing</t>
        </is>
      </c>
      <c r="D13" s="50" t="n">
        <v>3899.81</v>
      </c>
      <c r="E13" s="50" t="n">
        <v>4744.08</v>
      </c>
      <c r="F13" s="50" t="n">
        <v>4658.83</v>
      </c>
      <c r="G13" s="50" t="n">
        <v>3153.97</v>
      </c>
      <c r="H13" s="50" t="n">
        <v>2522.98</v>
      </c>
      <c r="I13" s="50" t="n">
        <v>1960.9</v>
      </c>
      <c r="J13" s="50">
        <f>SUMIFS('g-expenses-sl'!$K:$K,'g-expenses-sl'!$A:$A,J$2,'g-expenses-sl'!$D:$D,"marketing",'g-expenses-sl'!$F:$F,"us")</f>
        <v/>
      </c>
      <c r="K13" s="50">
        <f>SUMIFS('g-expenses-sl'!$K:$K,'g-expenses-sl'!$A:$A,K$2,'g-expenses-sl'!$D:$D,"marketing",'g-expenses-sl'!$F:$F,"us")</f>
        <v/>
      </c>
      <c r="L13" s="50">
        <f>SUMIFS('g-expenses-sl'!$K:$K,'g-expenses-sl'!$A:$A,L$2,'g-expenses-sl'!$D:$D,"marketing",'g-expenses-sl'!$F:$F,"us")</f>
        <v/>
      </c>
      <c r="M13" s="50">
        <f>SUMIFS('g-expenses-sl'!$K:$K,'g-expenses-sl'!$A:$A,M$2,'g-expenses-sl'!$D:$D,"marketing",'g-expenses-sl'!$F:$F,"us")</f>
        <v/>
      </c>
      <c r="N13" s="50">
        <f>SUMIFS('g-expenses-sl'!$K:$K,'g-expenses-sl'!$A:$A,N$2,'g-expenses-sl'!$D:$D,"marketing",'g-expenses-sl'!$F:$F,"us")</f>
        <v/>
      </c>
      <c r="O13" s="50">
        <f>SUMIFS('g-expenses-sl'!$K:$K,'g-expenses-sl'!$A:$A,O$2,'g-expenses-sl'!$D:$D,"marketing",'g-expenses-sl'!$F:$F,"us")</f>
        <v/>
      </c>
      <c r="P13" s="50">
        <f>SUM(D13:O13)</f>
        <v/>
      </c>
      <c r="Q13" s="50" t="n"/>
    </row>
    <row r="14" ht="12" customHeight="1">
      <c r="A14" t="inlineStr">
        <is>
          <t>Royalties</t>
        </is>
      </c>
      <c r="D14" s="50" t="n">
        <v>460.59</v>
      </c>
      <c r="E14" s="50" t="n">
        <v>744</v>
      </c>
      <c r="F14" s="50" t="n">
        <v>741</v>
      </c>
      <c r="G14" s="50" t="n">
        <v>567</v>
      </c>
      <c r="H14" s="50" t="n">
        <v>471</v>
      </c>
      <c r="I14" s="50" t="n">
        <v>543</v>
      </c>
      <c r="J14" s="50">
        <f>SUMIFS('i-royalties-scope-sl'!$C:$C,'i-royalties-scope-sl'!$A:$A,J$2,'i-royalties-scope-sl'!$B:$B,"us")</f>
        <v/>
      </c>
      <c r="K14" s="50">
        <f>SUMIFS('i-royalties-scope-sl'!$C:$C,'i-royalties-scope-sl'!$A:$A,K$2,'i-royalties-scope-sl'!$B:$B,"us")</f>
        <v/>
      </c>
      <c r="L14" s="50">
        <f>SUMIFS('i-royalties-scope-sl'!$C:$C,'i-royalties-scope-sl'!$A:$A,L$2,'i-royalties-scope-sl'!$B:$B,"us")</f>
        <v/>
      </c>
      <c r="M14" s="50">
        <f>SUMIFS('i-royalties-scope-sl'!$C:$C,'i-royalties-scope-sl'!$A:$A,M$2,'i-royalties-scope-sl'!$B:$B,"us")</f>
        <v/>
      </c>
      <c r="N14" s="50">
        <f>SUMIFS('i-royalties-scope-sl'!$C:$C,'i-royalties-scope-sl'!$A:$A,N$2,'i-royalties-scope-sl'!$B:$B,"us")</f>
        <v/>
      </c>
      <c r="O14" s="50">
        <f>SUMIFS('i-royalties-scope-sl'!$C:$C,'i-royalties-scope-sl'!$A:$A,O$2,'i-royalties-scope-sl'!$B:$B,"us")</f>
        <v/>
      </c>
      <c r="P14" s="50">
        <f>SUM(D14:O14)</f>
        <v/>
      </c>
      <c r="Q14" s="50" t="n"/>
    </row>
    <row r="15" ht="12" customHeight="1">
      <c r="A15" t="inlineStr">
        <is>
          <t>Staff</t>
        </is>
      </c>
      <c r="D15" s="50" t="n">
        <v>2946.37</v>
      </c>
      <c r="E15" s="50" t="n">
        <v>2946.37</v>
      </c>
      <c r="F15" s="50" t="n">
        <v>1534.94</v>
      </c>
      <c r="G15" s="50" t="n">
        <v>1551.51</v>
      </c>
      <c r="H15" s="50" t="n">
        <v>1551.51</v>
      </c>
      <c r="I15" s="50" t="n">
        <v>1542.18</v>
      </c>
      <c r="J15" s="50">
        <f>'P&amp;G-SL'!J95*VLOOKUP("pct_staff_us",params!$A:$B,2,0)</f>
        <v/>
      </c>
      <c r="K15" s="50">
        <f>'P&amp;G-SL'!K95*VLOOKUP("pct_staff_us",params!$A:$B,2,0)</f>
        <v/>
      </c>
      <c r="L15" s="50">
        <f>'P&amp;G-SL'!L95*VLOOKUP("pct_staff_us",params!$A:$B,2,0)</f>
        <v/>
      </c>
      <c r="M15" s="50">
        <f>'P&amp;G-SL'!M95*VLOOKUP("pct_staff_us",params!$A:$B,2,0)</f>
        <v/>
      </c>
      <c r="N15" s="50">
        <f>'P&amp;G-SL'!N95*VLOOKUP("pct_staff_us",params!$A:$B,2,0)</f>
        <v/>
      </c>
      <c r="O15" s="50">
        <f>'P&amp;G-SL'!O95*VLOOKUP("pct_staff_us",params!$A:$B,2,0)</f>
        <v/>
      </c>
      <c r="P15" s="50">
        <f>SUM(D15:O15)</f>
        <v/>
      </c>
      <c r="Q15" s="50" t="n"/>
    </row>
    <row r="16" ht="12" customHeight="1">
      <c r="A16" t="inlineStr">
        <is>
          <t>Administrativos</t>
        </is>
      </c>
      <c r="D16" s="50" t="n">
        <v>27.67</v>
      </c>
      <c r="E16" s="50" t="n">
        <v>27.91</v>
      </c>
      <c r="F16" s="50" t="n">
        <v>651.28</v>
      </c>
      <c r="G16" s="50" t="n">
        <v>829.86</v>
      </c>
      <c r="H16" s="50" t="n">
        <v>836.25</v>
      </c>
      <c r="I16" s="50" t="n">
        <v>830.23</v>
      </c>
      <c r="J16" s="50">
        <f>('P&amp;G-SL'!J98+'P&amp;G-SL'!J114)*VLOOKUP("pct_admin_us",params!$A:$B,2,0)</f>
        <v/>
      </c>
      <c r="K16" s="50">
        <f>('P&amp;G-SL'!K98+'P&amp;G-SL'!K114)*VLOOKUP("pct_admin_us",params!$A:$B,2,0)</f>
        <v/>
      </c>
      <c r="L16" s="50">
        <f>('P&amp;G-SL'!L98+'P&amp;G-SL'!L114)*VLOOKUP("pct_admin_us",params!$A:$B,2,0)</f>
        <v/>
      </c>
      <c r="M16" s="50">
        <f>('P&amp;G-SL'!M98+'P&amp;G-SL'!M114)*VLOOKUP("pct_admin_us",params!$A:$B,2,0)</f>
        <v/>
      </c>
      <c r="N16" s="50">
        <f>('P&amp;G-SL'!N98+'P&amp;G-SL'!N114)*VLOOKUP("pct_admin_us",params!$A:$B,2,0)</f>
        <v/>
      </c>
      <c r="O16" s="50">
        <f>('P&amp;G-SL'!O98+'P&amp;G-SL'!O114)*VLOOKUP("pct_admin_us",params!$A:$B,2,0)</f>
        <v/>
      </c>
      <c r="P16" s="50">
        <f>SUM(D16:O16)</f>
        <v/>
      </c>
      <c r="Q16" s="50" t="n"/>
    </row>
    <row r="17" ht="12" customHeight="1">
      <c r="A17" s="58" t="inlineStr">
        <is>
          <t>TOTAL EUR</t>
        </is>
      </c>
      <c r="B17" s="57" t="n"/>
      <c r="C17" s="57" t="n"/>
      <c r="D17" s="62">
        <f>SUM(D13:D16)</f>
        <v/>
      </c>
      <c r="E17" s="62">
        <f>SUM(E13:E16)</f>
        <v/>
      </c>
      <c r="F17" s="62">
        <f>SUM(F13:F16)</f>
        <v/>
      </c>
      <c r="G17" s="62">
        <f>SUM(G13:G16)</f>
        <v/>
      </c>
      <c r="H17" s="62">
        <f>SUM(H13:H16)</f>
        <v/>
      </c>
      <c r="I17" s="62">
        <f>SUM(I13:I16)</f>
        <v/>
      </c>
      <c r="J17" s="62">
        <f>SUM(J13:J16)</f>
        <v/>
      </c>
      <c r="K17" s="62">
        <f>SUM(K13:K16)</f>
        <v/>
      </c>
      <c r="L17" s="62">
        <f>SUM(L13:L16)</f>
        <v/>
      </c>
      <c r="M17" s="62">
        <f>SUM(M13:M16)</f>
        <v/>
      </c>
      <c r="N17" s="62">
        <f>SUM(N13:N16)</f>
        <v/>
      </c>
      <c r="O17" s="62">
        <f>SUM(O13:O16)</f>
        <v/>
      </c>
      <c r="P17" s="62">
        <f>SUM(D17:O17)</f>
        <v/>
      </c>
      <c r="Q17" s="62" t="n"/>
    </row>
    <row r="18" ht="12" customHeight="1">
      <c r="A18" s="58" t="inlineStr">
        <is>
          <t>TOTAL USD</t>
        </is>
      </c>
      <c r="B18" s="57" t="n"/>
      <c r="C18" s="57" t="n"/>
      <c r="D18" s="62">
        <f>IFERROR(D17/AVERAGEIFS('fx-rates'!$F:$F,'fx-rates'!$A:$A,D$2,'fx-rates'!$C:$C,"USD",'fx-rates'!$D:$D,"EUR"),D17)</f>
        <v/>
      </c>
      <c r="E18" s="62">
        <f>IFERROR(E17/AVERAGEIFS('fx-rates'!$F:$F,'fx-rates'!$A:$A,E$2,'fx-rates'!$C:$C,"USD",'fx-rates'!$D:$D,"EUR"),E17)</f>
        <v/>
      </c>
      <c r="F18" s="62">
        <f>IFERROR(F17/AVERAGEIFS('fx-rates'!$F:$F,'fx-rates'!$A:$A,F$2,'fx-rates'!$C:$C,"USD",'fx-rates'!$D:$D,"EUR"),F17)</f>
        <v/>
      </c>
      <c r="G18" s="62">
        <f>IFERROR(G17/AVERAGEIFS('fx-rates'!$F:$F,'fx-rates'!$A:$A,G$2,'fx-rates'!$C:$C,"USD",'fx-rates'!$D:$D,"EUR"),G17)</f>
        <v/>
      </c>
      <c r="H18" s="62">
        <f>IFERROR(H17/AVERAGEIFS('fx-rates'!$F:$F,'fx-rates'!$A:$A,H$2,'fx-rates'!$C:$C,"USD",'fx-rates'!$D:$D,"EUR"),H17)</f>
        <v/>
      </c>
      <c r="I18" s="62">
        <f>IFERROR(I17/AVERAGEIFS('fx-rates'!$F:$F,'fx-rates'!$A:$A,I$2,'fx-rates'!$C:$C,"USD",'fx-rates'!$D:$D,"EUR"),I17)</f>
        <v/>
      </c>
      <c r="J18" s="62">
        <f>IFERROR(J17/AVERAGEIFS('fx-rates'!$F:$F,'fx-rates'!$A:$A,J$2,'fx-rates'!$C:$C,"USD",'fx-rates'!$D:$D,"EUR"),J17)</f>
        <v/>
      </c>
      <c r="K18" s="62">
        <f>IFERROR(K17/AVERAGEIFS('fx-rates'!$F:$F,'fx-rates'!$A:$A,K$2,'fx-rates'!$C:$C,"USD",'fx-rates'!$D:$D,"EUR"),K17)</f>
        <v/>
      </c>
      <c r="L18" s="62">
        <f>IFERROR(L17/AVERAGEIFS('fx-rates'!$F:$F,'fx-rates'!$A:$A,L$2,'fx-rates'!$C:$C,"USD",'fx-rates'!$D:$D,"EUR"),L17)</f>
        <v/>
      </c>
      <c r="M18" s="62">
        <f>IFERROR(M17/AVERAGEIFS('fx-rates'!$F:$F,'fx-rates'!$A:$A,M$2,'fx-rates'!$C:$C,"USD",'fx-rates'!$D:$D,"EUR"),M17)</f>
        <v/>
      </c>
      <c r="N18" s="62">
        <f>IFERROR(N17/AVERAGEIFS('fx-rates'!$F:$F,'fx-rates'!$A:$A,N$2,'fx-rates'!$C:$C,"USD",'fx-rates'!$D:$D,"EUR"),N17)</f>
        <v/>
      </c>
      <c r="O18" s="62">
        <f>IFERROR(O17/AVERAGEIFS('fx-rates'!$F:$F,'fx-rates'!$A:$A,O$2,'fx-rates'!$C:$C,"USD",'fx-rates'!$D:$D,"EUR"),O17)</f>
        <v/>
      </c>
      <c r="P18" s="62">
        <f>SUM(D18:O18)</f>
        <v/>
      </c>
      <c r="Q18" s="62" t="n"/>
    </row>
    <row r="19" ht="12" customHeight="1"/>
    <row r="20" ht="12" customHeight="1">
      <c r="A20" s="63" t="inlineStr">
        <is>
          <t>TOTAL SHARED SERVICES EUR</t>
        </is>
      </c>
      <c r="B20" s="64" t="n"/>
      <c r="C20" s="64" t="n"/>
      <c r="D20" s="65">
        <f>D9+D17</f>
        <v/>
      </c>
      <c r="E20" s="65">
        <f>E9+E17</f>
        <v/>
      </c>
      <c r="F20" s="65">
        <f>F9+F17</f>
        <v/>
      </c>
      <c r="G20" s="65">
        <f>G9+G17</f>
        <v/>
      </c>
      <c r="H20" s="65">
        <f>H9+H17</f>
        <v/>
      </c>
      <c r="I20" s="65">
        <f>I9+I17</f>
        <v/>
      </c>
      <c r="J20" s="65">
        <f>J9+J17</f>
        <v/>
      </c>
      <c r="K20" s="65">
        <f>K9+K17</f>
        <v/>
      </c>
      <c r="L20" s="65">
        <f>L9+L17</f>
        <v/>
      </c>
      <c r="M20" s="65">
        <f>M9+M17</f>
        <v/>
      </c>
      <c r="N20" s="65">
        <f>N9+N17</f>
        <v/>
      </c>
      <c r="O20" s="65">
        <f>O9+O17</f>
        <v/>
      </c>
      <c r="P20" s="65">
        <f>SUM(D20:O20)</f>
        <v/>
      </c>
      <c r="Q20" s="65" t="n"/>
    </row>
  </sheetData>
  <mergeCells count="1">
    <mergeCell ref="A3:C3"/>
  </mergeCells>
  <hyperlinks>
    <hyperlink ref="A1" location="'P&amp;G-SL'!A1" display="&lt;- Volver a P&amp;G-SL"/>
    <hyperlink xmlns:r="http://schemas.openxmlformats.org/officeDocument/2006/relationships" ref="B4" r:id="rId1"/>
    <hyperlink xmlns:r="http://schemas.openxmlformats.org/officeDocument/2006/relationships" ref="B1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2026-07-31T10:25:14Z</dcterms:created>
  <dcterms:modified xmlns:dcterms="http://purl.org/dc/terms/" xmlns:xsi="http://www.w3.org/2001/XMLSchema-instance" xsi:type="dcterms:W3CDTF">2026-07-31T10:25:19Z</dcterms:modified>
</cp:coreProperties>
</file>