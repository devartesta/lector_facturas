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LTD" sheetId="1" state="visible" r:id="rId1"/>
    <sheet name="params" sheetId="2" state="visible" r:id="rId2"/>
    <sheet name="i-shopify-ltd" sheetId="3" state="visible" r:id="rId3"/>
    <sheet name="g-expenses-ltd" sheetId="4" state="visible" r:id="rId4"/>
    <sheet name="g-payment-fees-ltd" sheetId="5" state="visible" r:id="rId5"/>
    <sheet name="fx-rates" sheetId="6" state="visible" r:id="rId6"/>
    <sheet name="catalog-ltd" sheetId="7" state="visible" r:id="rId7"/>
    <sheet name="Nº Facturas-LTD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7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7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cTgaMj9sTIzsq-u1jiYa5Er28IMK1dZU/view?usp=drivesdk" TargetMode="External" Id="rId1" /><Relationship Type="http://schemas.openxmlformats.org/officeDocument/2006/relationships/hyperlink" Target="https://drive.google.com/file/d/1oIxZGoxdpgPeDPb-AglCjV1eQY29eNxQ/view?usp=drivesdk" TargetMode="External" Id="rId2" /><Relationship Type="http://schemas.openxmlformats.org/officeDocument/2006/relationships/hyperlink" Target="https://drive.google.com/file/d/1sld1KDeg28NmlMctYu0WHfY-5pVcNNTk/view?usp=drivesdk" TargetMode="External" Id="rId3" /><Relationship Type="http://schemas.openxmlformats.org/officeDocument/2006/relationships/hyperlink" Target="https://drive.google.com/file/d/1L7ZoeAFj0k4DrjcJkiRFm52nrtXOGnjy/view?usp=drivesdk" TargetMode="External" Id="rId4" /><Relationship Type="http://schemas.openxmlformats.org/officeDocument/2006/relationships/hyperlink" Target="https://drive.google.com/file/d/13ZHbIuhsN15tZ6BY8ILwdOryQBL8Fjpq/view?usp=drivesdk" TargetMode="External" Id="rId5" /><Relationship Type="http://schemas.openxmlformats.org/officeDocument/2006/relationships/hyperlink" Target="https://drive.google.com/file/d/1y_RFAjzt2Mv7iUalA1-JR_xB9KsErUvb/view?usp=drivesdk" TargetMode="External" Id="rId6" /><Relationship Type="http://schemas.openxmlformats.org/officeDocument/2006/relationships/hyperlink" Target="https://drive.google.com/file/d/1OyW5YuspPu6miBlQuirvcBZEjyCHCESv/view?usp=drivesdk" TargetMode="External" Id="rId7" /><Relationship Type="http://schemas.openxmlformats.org/officeDocument/2006/relationships/hyperlink" Target="https://drive.google.com/file/d/1nMW9vfUjHEeOxPMurVPmI2qivgS-jnF9/view?usp=drivesdk" TargetMode="External" Id="rId8" /><Relationship Type="http://schemas.openxmlformats.org/officeDocument/2006/relationships/hyperlink" Target="https://drive.google.com/file/d/1BWJbTsvyK62cL9QfpBCxTvKjyCpXo3ni/view?usp=drivesdk" TargetMode="External" Id="rId9" /><Relationship Type="http://schemas.openxmlformats.org/officeDocument/2006/relationships/hyperlink" Target="https://drive.google.com/file/d/1T41S4LX4_TpjSsqHL5rijp0du_Xjvz44/view?usp=drivesdk" TargetMode="External" Id="rId10" /><Relationship Type="http://schemas.openxmlformats.org/officeDocument/2006/relationships/hyperlink" Target="https://drive.google.com/file/d/1WLRdlpIyyvWA2inP5kzpvap1dktr4RZP/view?usp=drivesdk" TargetMode="External" Id="rId11" /><Relationship Type="http://schemas.openxmlformats.org/officeDocument/2006/relationships/hyperlink" Target="https://drive.google.com/file/d/19Ds70MHlzQPyTQGekHEjO8VNnPwfWSnG/view?usp=drivesdk" TargetMode="External" Id="rId12" /><Relationship Type="http://schemas.openxmlformats.org/officeDocument/2006/relationships/hyperlink" Target="https://drive.google.com/file/d/1zP_ruzDEMP7tcv3xlc2HRJ1_jje-Utwu/view?usp=drivesdk" TargetMode="External" Id="rId13" /><Relationship Type="http://schemas.openxmlformats.org/officeDocument/2006/relationships/hyperlink" Target="https://drive.google.com/file/d/12-OnSt4oL9AJCZeW6Nsk-hZU-jeJ1XNx/view?usp=drivesdk" TargetMode="External" Id="rId14" /><Relationship Type="http://schemas.openxmlformats.org/officeDocument/2006/relationships/hyperlink" Target="https://drive.google.com/file/d/1IqI0DS5TubEqbeiwdZWr2KdJ8A_sB7-7/view?usp=drivesdk" TargetMode="External" Id="rId15" /><Relationship Type="http://schemas.openxmlformats.org/officeDocument/2006/relationships/hyperlink" Target="https://drive.google.com/file/d/1Wzf_0d27_QQKn09fePaqHmt9lH2L5i1x/view?usp=drivesdk" TargetMode="External" Id="rId16" /><Relationship Type="http://schemas.openxmlformats.org/officeDocument/2006/relationships/hyperlink" Target="https://drive.google.com/file/d/1wDNuMLZrYtqaZCEGfLXcbbpdt71O7et-/view?usp=drivesdk" TargetMode="External" Id="rId17" /><Relationship Type="http://schemas.openxmlformats.org/officeDocument/2006/relationships/hyperlink" Target="https://drive.google.com/file/d/1VxTsEAT2Y_7gPT8-KktdLPajUlnpmLVI/view?usp=drivesdk" TargetMode="External" Id="rId18" /><Relationship Type="http://schemas.openxmlformats.org/officeDocument/2006/relationships/hyperlink" Target="https://drive.google.com/file/d/1Qw1sA5nEwhoQbOW8ZCah4hdcjIt18Wea/view?usp=drivesdk" TargetMode="External" Id="rId19" /><Relationship Type="http://schemas.openxmlformats.org/officeDocument/2006/relationships/hyperlink" Target="https://drive.google.com/file/d/14oYKgtEHlw1B4wAMvq3Cy3zHh9FUAcvd/view?usp=drivesdk" TargetMode="External" Id="rId20" /><Relationship Type="http://schemas.openxmlformats.org/officeDocument/2006/relationships/hyperlink" Target="https://drive.google.com/file/d/1tZvG8Qkr285pw0p3UVP_4nrHb55TEnad/view?usp=drivesdk" TargetMode="External" Id="rId21" /><Relationship Type="http://schemas.openxmlformats.org/officeDocument/2006/relationships/hyperlink" Target="https://drive.google.com/file/d/1kSeP0IRoDaS31JgE1VFXPOwX2_JXQjyx/view?usp=drivesdk" TargetMode="External" Id="rId22" /><Relationship Type="http://schemas.openxmlformats.org/officeDocument/2006/relationships/hyperlink" Target="https://drive.google.com/file/d/12daSfdaOVWBdy-yTWlaRpApVlxl1Asqq/view?usp=drivesdk" TargetMode="External" Id="rId23" /><Relationship Type="http://schemas.openxmlformats.org/officeDocument/2006/relationships/hyperlink" Target="https://drive.google.com/file/d/1ipbssICwv_CNawuFNAdNkhIngIPBE-su/view?usp=drivesdk" TargetMode="External" Id="rId24" /><Relationship Type="http://schemas.openxmlformats.org/officeDocument/2006/relationships/hyperlink" Target="https://drive.google.com/file/d/1WO-DW4XapqiPAW8ic_8DMJZOdSrmj1HB/view?usp=drivesdk" TargetMode="External" Id="rId25" /><Relationship Type="http://schemas.openxmlformats.org/officeDocument/2006/relationships/hyperlink" Target="https://drive.google.com/file/d/1WO-DW4XapqiPAW8ic_8DMJZOdSrmj1HB/view?usp=drivesdk" TargetMode="External" Id="rId26" /><Relationship Type="http://schemas.openxmlformats.org/officeDocument/2006/relationships/hyperlink" Target="https://drive.google.com/file/d/1DVbcrKI34TY_XRmPCWYxFfktOzy1Bqmr/view?usp=drivesdk" TargetMode="External" Id="rId27" /><Relationship Type="http://schemas.openxmlformats.org/officeDocument/2006/relationships/hyperlink" Target="https://drive.google.com/file/d/1n3uOf_jbqFYt5zJTiDDfZSbSjOCzEMHL/view?usp=drivesdk" TargetMode="External" Id="rId28" /><Relationship Type="http://schemas.openxmlformats.org/officeDocument/2006/relationships/hyperlink" Target="https://drive.google.com/file/d/1CIuzkH_u1gHARcMpknCAJ9pI5qmqqobY/view?usp=drivesdk" TargetMode="External" Id="rId29" /><Relationship Type="http://schemas.openxmlformats.org/officeDocument/2006/relationships/hyperlink" Target="https://drive.google.com/file/d/1z2ShmClela43bUW-vTcb2pcrB7Qwu6gE/view?usp=drivesdk" TargetMode="External" Id="rId30" /><Relationship Type="http://schemas.openxmlformats.org/officeDocument/2006/relationships/hyperlink" Target="https://drive.google.com/file/d/1-yGn3xRRsCE-8T-jXa2ZANZ3lXnMlnU1/view?usp=drivesdk" TargetMode="External" Id="rId31" /><Relationship Type="http://schemas.openxmlformats.org/officeDocument/2006/relationships/hyperlink" Target="https://drive.google.com/file/d/1-NkdlGvZLusGXUX04m43SkJkiaNTkBXH/view?usp=drivesdk" TargetMode="External" Id="rId32" /><Relationship Type="http://schemas.openxmlformats.org/officeDocument/2006/relationships/hyperlink" Target="https://drive.google.com/file/d/14Kv6de85keqbrh_ImJOpxC57rdB8Nml-/view?usp=drivesdk" TargetMode="External" Id="rId33" /><Relationship Type="http://schemas.openxmlformats.org/officeDocument/2006/relationships/hyperlink" Target="https://drive.google.com/file/d/1mwHXLhoynWBHDPYgvA1Qh5oQ_Pj7aqp4/view?usp=drivesdk" TargetMode="External" Id="rId34" /><Relationship Type="http://schemas.openxmlformats.org/officeDocument/2006/relationships/hyperlink" Target="https://drive.google.com/file/d/1gR9CgliEJupvg6aabwQrw3bszdfJQUA2/view?usp=drivesdk" TargetMode="External" Id="rId35" /><Relationship Type="http://schemas.openxmlformats.org/officeDocument/2006/relationships/hyperlink" Target="https://drive.google.com/file/d/18wgtpL_Ix0DraaeKhnVN5Yc5zMx0gfNt/view?usp=drivesdk" TargetMode="External" Id="rId36" /><Relationship Type="http://schemas.openxmlformats.org/officeDocument/2006/relationships/hyperlink" Target="https://drive.google.com/file/d/16WCK7LMlNJ1SA8hTr9sh0RTKdxYuzOOj/view?usp=drivesdk" TargetMode="External" Id="rId37" /><Relationship Type="http://schemas.openxmlformats.org/officeDocument/2006/relationships/hyperlink" Target="https://drive.google.com/file/d/1m_hZoeF7mnj1sjA7HqOewotwB0qPKy4D/view?usp=drivesdk" TargetMode="External" Id="rId38" /><Relationship Type="http://schemas.openxmlformats.org/officeDocument/2006/relationships/hyperlink" Target="https://drive.google.com/file/d/1lko37nObfSfkjyh3XJSPQ-9HkcajcYM5/view?usp=drivesdk" TargetMode="External" Id="rId39" /><Relationship Type="http://schemas.openxmlformats.org/officeDocument/2006/relationships/hyperlink" Target="https://drive.google.com/file/d/1pQbRirka8GpZOXPr2ddHLAfhOlWi3xvz/view?usp=drivesdk" TargetMode="External" Id="rId40" /><Relationship Type="http://schemas.openxmlformats.org/officeDocument/2006/relationships/hyperlink" Target="https://drive.google.com/file/d/19w6pnXyuBTQjCd8b3o6eKT17hCjMiE-W/view?usp=drivesdk" TargetMode="External" Id="rId41" /><Relationship Type="http://schemas.openxmlformats.org/officeDocument/2006/relationships/hyperlink" Target="https://drive.google.com/file/d/119xbszT9MRCL7obqdTeJCKp5GpdneYVY/view?usp=drivesdk" TargetMode="External" Id="rId42" /><Relationship Type="http://schemas.openxmlformats.org/officeDocument/2006/relationships/hyperlink" Target="https://drive.google.com/file/d/1MFjQFLyJqvx5yAWAc_AAveY2DzsxSbkO/view?usp=drivesdk" TargetMode="External" Id="rId43" /><Relationship Type="http://schemas.openxmlformats.org/officeDocument/2006/relationships/hyperlink" Target="https://drive.google.com/file/d/1EGU0eMrVgdXIV0o0psYd-vesgsKzy8wg/view?usp=drivesdk" TargetMode="External" Id="rId44" /><Relationship Type="http://schemas.openxmlformats.org/officeDocument/2006/relationships/hyperlink" Target="https://drive.google.com/file/d/188JrZ8ux_a9_Ip2aOmADCtPKmy7wBQj0/view?usp=drivesdk" TargetMode="External" Id="rId45" /><Relationship Type="http://schemas.openxmlformats.org/officeDocument/2006/relationships/hyperlink" Target="https://drive.google.com/file/d/1CYVXlsz1cZylIEE_FnK0-bDsegHXy0lC/view?usp=drivesdk" TargetMode="External" Id="rId46" /><Relationship Type="http://schemas.openxmlformats.org/officeDocument/2006/relationships/hyperlink" Target="https://drive.google.com/file/d/1u-NxRqm2pZqxIZ4jxPovnCnRMSBW61bs/view?usp=drivesdk" TargetMode="External" Id="rId47" /><Relationship Type="http://schemas.openxmlformats.org/officeDocument/2006/relationships/hyperlink" Target="https://drive.google.com/file/d/1aZO2DUv7EnGbzTuaqe1zcL_0vcIT-IsR/view?usp=drivesdk" TargetMode="External" Id="rId48" /><Relationship Type="http://schemas.openxmlformats.org/officeDocument/2006/relationships/hyperlink" Target="https://drive.google.com/file/d/1bb4D0frLw6tv0YR0_K_0bz4GyPMaST00/view?usp=drivesdk" TargetMode="External" Id="rId49" /><Relationship Type="http://schemas.openxmlformats.org/officeDocument/2006/relationships/hyperlink" Target="https://drive.google.com/file/d/1A7IKjrdSctavHx5vvWMoTR2X3YvCVcqK/view?usp=drivesdk" TargetMode="External" Id="rId50" /><Relationship Type="http://schemas.openxmlformats.org/officeDocument/2006/relationships/hyperlink" Target="https://drive.google.com/file/d/1Fr7EpLc4_w_y7t7ZSWM8qyk01zEjoINy/view?usp=drivesdk" TargetMode="External" Id="rId51" /><Relationship Type="http://schemas.openxmlformats.org/officeDocument/2006/relationships/hyperlink" Target="https://drive.google.com/file/d/1J665leZvteRH41FHARz4EBF_bjAJjDa0/view?usp=drivesdk" TargetMode="External" Id="rId52" /><Relationship Type="http://schemas.openxmlformats.org/officeDocument/2006/relationships/hyperlink" Target="https://drive.google.com/file/d/1FQOlw_0RiHG8QnYV4OF9UIi82z0ERrol/view?usp=drivesdk" TargetMode="External" Id="rId53" /><Relationship Type="http://schemas.openxmlformats.org/officeDocument/2006/relationships/hyperlink" Target="https://drive.google.com/file/d/1buNB3TxMmADuGJ_Rck7CIzzoNcvTA1jx/view?usp=drivesdk" TargetMode="External" Id="rId54" /><Relationship Type="http://schemas.openxmlformats.org/officeDocument/2006/relationships/hyperlink" Target="https://drive.google.com/file/d/13CovCArR8TTPaWcDahlSrtlE8_ddFvC9/view?usp=drivesdk" TargetMode="External" Id="rId55" /><Relationship Type="http://schemas.openxmlformats.org/officeDocument/2006/relationships/hyperlink" Target="https://drive.google.com/file/d/1dzNdT4yHYiEpXxRJX5SXJetVjDxt8rjH/view?usp=drivesdk" TargetMode="External" Id="rId56" /><Relationship Type="http://schemas.openxmlformats.org/officeDocument/2006/relationships/hyperlink" Target="https://drive.google.com/file/d/177tCIVVwMHTZIZRxNRTPK0fTuc-di7MS/view?usp=drivesdk" TargetMode="External" Id="rId57" /><Relationship Type="http://schemas.openxmlformats.org/officeDocument/2006/relationships/hyperlink" Target="https://drive.google.com/file/d/1vTGjWxyT3P7m_LD9TVvGvT59-h229ubs/view?usp=drivesdk" TargetMode="External" Id="rId58" /><Relationship Type="http://schemas.openxmlformats.org/officeDocument/2006/relationships/hyperlink" Target="https://drive.google.com/file/d/1rpih0MGtiiho53ABBb6RFSia9ocS5ewI/view?usp=drivesdk" TargetMode="External" Id="rId59" /><Relationship Type="http://schemas.openxmlformats.org/officeDocument/2006/relationships/hyperlink" Target="https://drive.google.com/file/d/1rpih0MGtiiho53ABBb6RFSia9ocS5ewI/view?usp=drivesdk" TargetMode="External" Id="rId60" /><Relationship Type="http://schemas.openxmlformats.org/officeDocument/2006/relationships/hyperlink" Target="https://drive.google.com/file/d/1pNRISEZAlDdg2kXsh98mNhDndQFk42mV/view?usp=drivesdk" TargetMode="External" Id="rId61" /><Relationship Type="http://schemas.openxmlformats.org/officeDocument/2006/relationships/hyperlink" Target="https://drive.google.com/file/d/1nzOKra7y7jGR4FYuKDhpUSUhEqubGgof/view?usp=drivesdk" TargetMode="External" Id="rId62" /><Relationship Type="http://schemas.openxmlformats.org/officeDocument/2006/relationships/hyperlink" Target="https://drive.google.com/file/d/15tq2MF_O05gx-y3VBFK4eRPCaHDrEmog/view?usp=drivesdk" TargetMode="External" Id="rId63" /><Relationship Type="http://schemas.openxmlformats.org/officeDocument/2006/relationships/hyperlink" Target="https://drive.google.com/file/d/14rmjOK-9JvSS6fOl1YvTZ2GbZNnpQ6WO/view?usp=drivesdk" TargetMode="External" Id="rId64" /><Relationship Type="http://schemas.openxmlformats.org/officeDocument/2006/relationships/hyperlink" Target="https://drive.google.com/file/d/1BbO_L0AfWA_e4-vcgmAPDKVBywq_z0ek/view?usp=drivesdk" TargetMode="External" Id="rId65" /><Relationship Type="http://schemas.openxmlformats.org/officeDocument/2006/relationships/hyperlink" Target="https://drive.google.com/file/d/165HRmZ2g0WdfskzbrtHzXV6ALXimYaIu/view?usp=drivesdk" TargetMode="External" Id="rId66" /><Relationship Type="http://schemas.openxmlformats.org/officeDocument/2006/relationships/hyperlink" Target="https://drive.google.com/file/d/1Z_5d0QXG3Bn3aTm5JVNpjt8qPQMwGt21/view?usp=drivesdk" TargetMode="External" Id="rId67" /><Relationship Type="http://schemas.openxmlformats.org/officeDocument/2006/relationships/hyperlink" Target="https://drive.google.com/file/d/1CHjm3mQctRUQYqbv6zXs3SonHgln2nD3/view?usp=drivesdk" TargetMode="External" Id="rId68" /><Relationship Type="http://schemas.openxmlformats.org/officeDocument/2006/relationships/hyperlink" Target="https://drive.google.com/file/d/1IhZUZEwe2_BBXikCjpL1GKXdK4xEetaE/view?usp=drivesdk" TargetMode="External" Id="rId69" /><Relationship Type="http://schemas.openxmlformats.org/officeDocument/2006/relationships/hyperlink" Target="https://drive.google.com/file/d/1AsgQ8_PjOJrvqTYcsPYEKolunIYlfV4Q/view?usp=drivesdk" TargetMode="External" Id="rId70" /><Relationship Type="http://schemas.openxmlformats.org/officeDocument/2006/relationships/hyperlink" Target="https://drive.google.com/file/d/1hksJO_fnTPFDMp-4j1XZWpegWgO2Ailq/view?usp=drivesdk" TargetMode="External" Id="rId71" /><Relationship Type="http://schemas.openxmlformats.org/officeDocument/2006/relationships/hyperlink" Target="https://drive.google.com/file/d/1NdybY9fRXHw9j82a5s65MgztyJPOsoin/view?usp=drivesdk" TargetMode="External" Id="rId72" /><Relationship Type="http://schemas.openxmlformats.org/officeDocument/2006/relationships/hyperlink" Target="https://drive.google.com/file/d/1TxyFOoXyfr9p89UtdqAEbWxywM7AezVv/view?usp=drivesdk" TargetMode="External" Id="rId73" /><Relationship Type="http://schemas.openxmlformats.org/officeDocument/2006/relationships/hyperlink" Target="https://drive.google.com/file/d/1tbELKs8Gm6ALpTiDWY6M4Ga_pPzHHQLH/view?usp=drivesdk" TargetMode="External" Id="rId74" /><Relationship Type="http://schemas.openxmlformats.org/officeDocument/2006/relationships/hyperlink" Target="https://drive.google.com/file/d/1m6t-40HqBc7x03IlnYO4vz-lkfI1VO3t/view?usp=drivesdk" TargetMode="External" Id="rId75" /><Relationship Type="http://schemas.openxmlformats.org/officeDocument/2006/relationships/hyperlink" Target="https://drive.google.com/file/d/1velP298axM7FnOlEsW9xXp43RNAtbDk_/view?usp=drivesdk" TargetMode="External" Id="rId76" /><Relationship Type="http://schemas.openxmlformats.org/officeDocument/2006/relationships/hyperlink" Target="https://drive.google.com/file/d/1NkTeSsIU2g7Noh0t4qFauRZ7p4F2FIag/view?usp=drivesdk" TargetMode="External" Id="rId77" /><Relationship Type="http://schemas.openxmlformats.org/officeDocument/2006/relationships/hyperlink" Target="https://drive.google.com/file/d/1cyz-3ccDZAAUV3hMKT7TsExQQ2SYAq82/view?usp=drivesdk" TargetMode="External" Id="rId78" /><Relationship Type="http://schemas.openxmlformats.org/officeDocument/2006/relationships/hyperlink" Target="https://drive.google.com/file/d/1ho42EUM8JZxXS_YGQoS1k4VYDfMnTjL7/view?usp=drivesdk" TargetMode="External" Id="rId79" /><Relationship Type="http://schemas.openxmlformats.org/officeDocument/2006/relationships/hyperlink" Target="https://drive.google.com/file/d/1UK5ImvPI8zfDKueQkYKgn7dgmMdVOoQU/view?usp=drivesdk" TargetMode="External" Id="rId80" /><Relationship Type="http://schemas.openxmlformats.org/officeDocument/2006/relationships/hyperlink" Target="https://drive.google.com/file/d/14Gm4WH1frLdk8P62dC1mVPD_BGIVWZ27/view?usp=drivesdk" TargetMode="External" Id="rId81" /><Relationship Type="http://schemas.openxmlformats.org/officeDocument/2006/relationships/hyperlink" Target="https://drive.google.com/file/d/11IWevgkm4WNzACo87cKk44YcMUSTk_1p/view?usp=drivesdk" TargetMode="External" Id="rId82" /><Relationship Type="http://schemas.openxmlformats.org/officeDocument/2006/relationships/hyperlink" Target="https://drive.google.com/file/d/1m7AFyGhqy5cMVsFA4gpzq-TGjUBTq2gZ/view?usp=drivesdk" TargetMode="External" Id="rId83" /><Relationship Type="http://schemas.openxmlformats.org/officeDocument/2006/relationships/hyperlink" Target="https://drive.google.com/file/d/1Cgc8hchCfgf7rmLBnj_H1qlutGNRdZB7/view?usp=drivesdk" TargetMode="External" Id="rId84" /><Relationship Type="http://schemas.openxmlformats.org/officeDocument/2006/relationships/hyperlink" Target="https://drive.google.com/file/d/1WIDmlF0GDJ0yZUnSoWNMz1v8-Q--q-6h/view?usp=drivesdk" TargetMode="External" Id="rId85" /><Relationship Type="http://schemas.openxmlformats.org/officeDocument/2006/relationships/hyperlink" Target="https://drive.google.com/file/d/1cvO8lXiAyWdQriOkXjiHgWASFj3yUJwM/view?usp=drivesdk" TargetMode="External" Id="rId86" /><Relationship Type="http://schemas.openxmlformats.org/officeDocument/2006/relationships/hyperlink" Target="https://drive.google.com/file/d/1kvZrj32v9oOsnIpfIXWQrBr1_zczw0Mb/view?usp=drivesdk" TargetMode="External" Id="rId87" /><Relationship Type="http://schemas.openxmlformats.org/officeDocument/2006/relationships/hyperlink" Target="https://drive.google.com/file/d/1HCXrEX-E4AdhpJ_Tt-6eEc5urwVoVfe2/view?usp=drivesdk" TargetMode="External" Id="rId88" /><Relationship Type="http://schemas.openxmlformats.org/officeDocument/2006/relationships/hyperlink" Target="https://drive.google.com/file/d/1nPjtPT4uhWtj_Jl1cSMmqzdiPrM1nL4t/view?usp=drivesdk" TargetMode="External" Id="rId89" /><Relationship Type="http://schemas.openxmlformats.org/officeDocument/2006/relationships/hyperlink" Target="https://drive.google.com/file/d/1z5qKzMidf4sb00p7COAUy6esaN8tMgkB/view?usp=drivesdk" TargetMode="External" Id="rId90" /><Relationship Type="http://schemas.openxmlformats.org/officeDocument/2006/relationships/hyperlink" Target="https://drive.google.com/file/d/1rtodFn9rgE_8MBt-0KNt598W1j1iXFhQ/view?usp=drivesdk" TargetMode="External" Id="rId91" /><Relationship Type="http://schemas.openxmlformats.org/officeDocument/2006/relationships/hyperlink" Target="https://drive.google.com/file/d/1n7W1kipwRj0DuCiUnfnuByxq-xnBWLQG/view?usp=drivesdk" TargetMode="External" Id="rId92" /><Relationship Type="http://schemas.openxmlformats.org/officeDocument/2006/relationships/hyperlink" Target="https://drive.google.com/file/d/1SSvy3CRiyERc3B_Ml_KjQ8UkCL9O35kX/view?usp=drivesdk" TargetMode="External" Id="rId93" /><Relationship Type="http://schemas.openxmlformats.org/officeDocument/2006/relationships/hyperlink" Target="https://drive.google.com/file/d/11AdEe5_B3gGDMClc5xlXO-Q4LLgsHc7j/view?usp=drivesdk" TargetMode="External" Id="rId94" /><Relationship Type="http://schemas.openxmlformats.org/officeDocument/2006/relationships/hyperlink" Target="https://drive.google.com/file/d/1SUoxBgOXOFHpe0FgpBOtdodf-tqILSBr/view?usp=drivesdk" TargetMode="External" Id="rId95" /><Relationship Type="http://schemas.openxmlformats.org/officeDocument/2006/relationships/hyperlink" Target="https://drive.google.com/file/d/1lXf3gMz04497nZzdwMIWtJ48G-yrGP0M/view?usp=drivesdk" TargetMode="External" Id="rId96" /><Relationship Type="http://schemas.openxmlformats.org/officeDocument/2006/relationships/hyperlink" Target="https://drive.google.com/file/d/1QyHd3vSTw0ECion_wPSyL_KKOYVB1VcV/view?usp=drivesdk" TargetMode="External" Id="rId97" /><Relationship Type="http://schemas.openxmlformats.org/officeDocument/2006/relationships/hyperlink" Target="https://drive.google.com/file/d/1S3W9uEB4awliO5PmEKO8Q08Mgl6vzlCT/view?usp=drivesdk" TargetMode="External" Id="rId98" /><Relationship Type="http://schemas.openxmlformats.org/officeDocument/2006/relationships/hyperlink" Target="https://drive.google.com/file/d/1lRtBdbWrHQz82FckIim2FjPJ6jwlzBvJ/view?usp=drivesdk" TargetMode="External" Id="rId99" /><Relationship Type="http://schemas.openxmlformats.org/officeDocument/2006/relationships/hyperlink" Target="https://drive.google.com/file/d/19zP1jb5VdyLdru5aGeM4onYiWNr8_hLV/view?usp=drivesdk" TargetMode="External" Id="rId100" /><Relationship Type="http://schemas.openxmlformats.org/officeDocument/2006/relationships/hyperlink" Target="https://drive.google.com/file/d/1qZaFUoy8ye6aPodf87UetEFKHj9d2tzG/view?usp=drivesdk" TargetMode="External" Id="rId101" /><Relationship Type="http://schemas.openxmlformats.org/officeDocument/2006/relationships/hyperlink" Target="https://drive.google.com/file/d/1IGgA4r6m6O4ntYrt2TiNlL-heocKia49/view?usp=drivesdk" TargetMode="External" Id="rId102" /><Relationship Type="http://schemas.openxmlformats.org/officeDocument/2006/relationships/hyperlink" Target="https://drive.google.com/file/d/1ITdGy-6O91D6z0_qImZpKUv0mdgh0AD6/view?usp=drivesdk" TargetMode="External" Id="rId103" /><Relationship Type="http://schemas.openxmlformats.org/officeDocument/2006/relationships/hyperlink" Target="https://drive.google.com/file/d/1eTgClB7SO7ewlahs2CtNRw-_ITgqqOY3/view?usp=drivesdk" TargetMode="External" Id="rId104" /><Relationship Type="http://schemas.openxmlformats.org/officeDocument/2006/relationships/hyperlink" Target="https://drive.google.com/file/d/1F5n3S94IlEQiaG5CxcEnMOmVUEe54Qph/view?usp=drivesdk" TargetMode="External" Id="rId105" /><Relationship Type="http://schemas.openxmlformats.org/officeDocument/2006/relationships/hyperlink" Target="https://drive.google.com/file/d/1HqxIRZp8jdjgtVEEzbk0E2ug9Ukvwr6z/view?usp=drivesdk" TargetMode="External" Id="rId106" /><Relationship Type="http://schemas.openxmlformats.org/officeDocument/2006/relationships/hyperlink" Target="https://drive.google.com/file/d/1iuW9SLUOB-pyUC4WZ2Kr-BZJwj1fyRk2/view?usp=drivesdk" TargetMode="External" Id="rId107" /><Relationship Type="http://schemas.openxmlformats.org/officeDocument/2006/relationships/hyperlink" Target="https://drive.google.com/file/d/1JNfV8XsMUpl0QxOG7Ao1qGRC8bJoJjPf/view?usp=drivesdk" TargetMode="External" Id="rId108" /><Relationship Type="http://schemas.openxmlformats.org/officeDocument/2006/relationships/hyperlink" Target="https://drive.google.com/file/d/1JNfV8XsMUpl0QxOG7Ao1qGRC8bJoJjPf/view?usp=drivesdk" TargetMode="External" Id="rId109" /><Relationship Type="http://schemas.openxmlformats.org/officeDocument/2006/relationships/hyperlink" Target="https://drive.google.com/file/d/1E-ja8xtAToIkewPj62keRSqcrxMPdPhW/view?usp=drivesdk" TargetMode="External" Id="rId110" /><Relationship Type="http://schemas.openxmlformats.org/officeDocument/2006/relationships/hyperlink" Target="https://drive.google.com/file/d/1pj6YfDTJzQyuObWQvmYAAc-P8wEb8HwW/view?usp=drivesdk" TargetMode="External" Id="rId111" /><Relationship Type="http://schemas.openxmlformats.org/officeDocument/2006/relationships/hyperlink" Target="https://drive.google.com/file/d/1KdK-Ik0l5-TAvrDmyV47ighudMtGRrKE/view?usp=drivesdk" TargetMode="External" Id="rId112" /><Relationship Type="http://schemas.openxmlformats.org/officeDocument/2006/relationships/hyperlink" Target="https://drive.google.com/file/d/1SwIai4YdtUV-rQd0AKSUEVkEfdlYRoPA/view?usp=drivesdk" TargetMode="External" Id="rId113" /><Relationship Type="http://schemas.openxmlformats.org/officeDocument/2006/relationships/hyperlink" Target="https://drive.google.com/file/d/1CFf2KHZd750hPLNp1Xj5DzzQwrKmlw9L/view?usp=drivesdk" TargetMode="External" Id="rId114" /><Relationship Type="http://schemas.openxmlformats.org/officeDocument/2006/relationships/hyperlink" Target="https://drive.google.com/file/d/1LlEUQpBPSqkZ5BKsa4CYacg0DVARYbta/view?usp=drivesdk" TargetMode="External" Id="rId115" /><Relationship Type="http://schemas.openxmlformats.org/officeDocument/2006/relationships/hyperlink" Target="https://drive.google.com/file/d/1uULQPI6E_iQgTyBEkDnDPTe-Xg6fqGiO/view?usp=drivesdk" TargetMode="External" Id="rId116" /><Relationship Type="http://schemas.openxmlformats.org/officeDocument/2006/relationships/hyperlink" Target="https://drive.google.com/file/d/1gDlq6Zum-eIMUjbaI329tWP9UutsRoFn/view?usp=drivesdk" TargetMode="External" Id="rId117" /><Relationship Type="http://schemas.openxmlformats.org/officeDocument/2006/relationships/hyperlink" Target="https://drive.google.com/file/d/1pNcZKxAtFRGUPPAFVD2p8ORXGSCcvxM8/view?usp=drivesdk" TargetMode="External" Id="rId118" /><Relationship Type="http://schemas.openxmlformats.org/officeDocument/2006/relationships/hyperlink" Target="https://drive.google.com/file/d/1fWIKp9xwGFVs0EnOaVMSISVNLAoKF55J/view?usp=drivesdk" TargetMode="External" Id="rId119" /><Relationship Type="http://schemas.openxmlformats.org/officeDocument/2006/relationships/hyperlink" Target="https://drive.google.com/file/d/14aG7eyxDXqZhJN0vFlOv-hyu-GR-ZjH-/view?usp=drivesdk" TargetMode="External" Id="rId120" /><Relationship Type="http://schemas.openxmlformats.org/officeDocument/2006/relationships/hyperlink" Target="https://drive.google.com/file/d/1bP1XnXo2Vs8zIS0sVNRvq52xJQH7BSfD/view?usp=drivesdk" TargetMode="External" Id="rId121" /><Relationship Type="http://schemas.openxmlformats.org/officeDocument/2006/relationships/hyperlink" Target="https://drive.google.com/file/d/1ddnzOxZZgaXtVcRqNHeEt9LTz5s8C26J/view?usp=drivesdk" TargetMode="External" Id="rId122" /><Relationship Type="http://schemas.openxmlformats.org/officeDocument/2006/relationships/hyperlink" Target="https://drive.google.com/file/d/1Z-NJHduArecH7-687SOBbQfa8Ef1m52p/view?usp=drivesdk" TargetMode="External" Id="rId123" /><Relationship Type="http://schemas.openxmlformats.org/officeDocument/2006/relationships/hyperlink" Target="https://drive.google.com/file/d/1I6H1omawcw5Be01IubiDlz8RDBKB0kcd/view?usp=drivesdk" TargetMode="External" Id="rId124" /><Relationship Type="http://schemas.openxmlformats.org/officeDocument/2006/relationships/hyperlink" Target="https://drive.google.com/file/d/14VMCuf4u87NNWjcx9C3H2yysZN1jqyTf/view?usp=drivesdk" TargetMode="External" Id="rId125" /><Relationship Type="http://schemas.openxmlformats.org/officeDocument/2006/relationships/hyperlink" Target="https://drive.google.com/file/d/1gmWh5ZgXhifus_kfGZ-bL8_sLe8eUug3/view?usp=drivesdk" TargetMode="External" Id="rId126" /><Relationship Type="http://schemas.openxmlformats.org/officeDocument/2006/relationships/hyperlink" Target="https://drive.google.com/file/d/17hLMBW75hT4b6Q8RWmnLCnkK6axE-wzU/view?usp=drivesdk" TargetMode="External" Id="rId127" /><Relationship Type="http://schemas.openxmlformats.org/officeDocument/2006/relationships/hyperlink" Target="https://drive.google.com/file/d/1-4m6d0UYjYO2RBrJjkiKAjW12aRalpOJ/view?usp=drivesdk" TargetMode="External" Id="rId128" /><Relationship Type="http://schemas.openxmlformats.org/officeDocument/2006/relationships/hyperlink" Target="https://drive.google.com/file/d/1c_luteIVUmgrg6i_GlfSo_qh5drW456A/view?usp=drivesdk" TargetMode="External" Id="rId129" /><Relationship Type="http://schemas.openxmlformats.org/officeDocument/2006/relationships/hyperlink" Target="https://drive.google.com/file/d/11RmOMn_ZgHdnziLzDS8hsaK7ZIkvkgTY/view?usp=drivesdk" TargetMode="External" Id="rId130" /><Relationship Type="http://schemas.openxmlformats.org/officeDocument/2006/relationships/hyperlink" Target="https://drive.google.com/file/d/11RGpKkEMdK77095ybWBCzfeU7QXtAazR/view?usp=drivesdk" TargetMode="External" Id="rId131" /><Relationship Type="http://schemas.openxmlformats.org/officeDocument/2006/relationships/hyperlink" Target="https://drive.google.com/file/d/1YItJo27rxIk2KucnIbPWCgV-kg6_TIFw/view?usp=drivesdk" TargetMode="External" Id="rId132" /><Relationship Type="http://schemas.openxmlformats.org/officeDocument/2006/relationships/hyperlink" Target="https://drive.google.com/file/d/1TiRvkJ6K7ctWCKH70UZtwyVtiBFJcZS3/view?usp=drivesdk" TargetMode="External" Id="rId133" /><Relationship Type="http://schemas.openxmlformats.org/officeDocument/2006/relationships/hyperlink" Target="https://drive.google.com/file/d/1TCM1PAyZN1h600czUy8h9Vl6JYkcuBnA/view?usp=drivesdk" TargetMode="External" Id="rId134" /><Relationship Type="http://schemas.openxmlformats.org/officeDocument/2006/relationships/hyperlink" Target="https://drive.google.com/file/d/1j8eIoueeiDvnTZMGmyiF-LMtx0IPr9pM/view?usp=drivesdk" TargetMode="External" Id="rId135" /><Relationship Type="http://schemas.openxmlformats.org/officeDocument/2006/relationships/hyperlink" Target="https://drive.google.com/file/d/1y9fclbPoT1LX8B-Ccm6UQFRfFv51MzCl/view?usp=drivesdk" TargetMode="External" Id="rId136" /><Relationship Type="http://schemas.openxmlformats.org/officeDocument/2006/relationships/hyperlink" Target="https://drive.google.com/file/d/1F_ojYavt0rOVF-WoA4DILVHACGqB_Xhn/view?usp=drivesdk" TargetMode="External" Id="rId137" /><Relationship Type="http://schemas.openxmlformats.org/officeDocument/2006/relationships/hyperlink" Target="https://drive.google.com/file/d/1AB8Xr6NvMGSBv1SkJcKECSxweSG6nBi-/view?usp=drivesdk" TargetMode="External" Id="rId138" /><Relationship Type="http://schemas.openxmlformats.org/officeDocument/2006/relationships/hyperlink" Target="https://drive.google.com/file/d/1L3a_vME8SLzq0VCnSYsQFsMpA3aEhGLE/view?usp=drivesdk" TargetMode="External" Id="rId139" /><Relationship Type="http://schemas.openxmlformats.org/officeDocument/2006/relationships/hyperlink" Target="https://drive.google.com/file/d/1IG_3iLDTE3hoYuVx4M46MqklrzCKpRhc/view?usp=drivesdk" TargetMode="External" Id="rId140" /><Relationship Type="http://schemas.openxmlformats.org/officeDocument/2006/relationships/hyperlink" Target="https://drive.google.com/file/d/11zNwha_ZMtf4Wq3wVF4QzJj4bweWWdGI/view?usp=drivesdk" TargetMode="External" Id="rId141" /><Relationship Type="http://schemas.openxmlformats.org/officeDocument/2006/relationships/hyperlink" Target="https://drive.google.com/file/d/1ynEcwwwFHRw_j4UIzVQllup-ekY2huWO/view?usp=drivesdk" TargetMode="External" Id="rId142" /><Relationship Type="http://schemas.openxmlformats.org/officeDocument/2006/relationships/hyperlink" Target="https://drive.google.com/file/d/1RskEVbYtAKWbS4SEumveN8YHrWbIys-_/view?usp=drivesdk" TargetMode="External" Id="rId143" /><Relationship Type="http://schemas.openxmlformats.org/officeDocument/2006/relationships/hyperlink" Target="https://drive.google.com/file/d/1vPskc5Qm4-Coe1JxTlzp2VdJWX8WiKRm/view?usp=drivesdk" TargetMode="External" Id="rId14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10/04/2026 12:53 h</t>
        </is>
      </c>
      <c r="B3" s="4" t="n"/>
      <c r="C3" s="4" t="n"/>
      <c r="D3" s="4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4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4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4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4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4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4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4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4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4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4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4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D5+D8+D9</f>
        <v/>
      </c>
      <c r="E4" s="6">
        <f>E5+E8+E9</f>
        <v/>
      </c>
      <c r="F4" s="6">
        <f>F5+F8+F9</f>
        <v/>
      </c>
      <c r="G4" s="6">
        <f>G5+G8+G9</f>
        <v/>
      </c>
      <c r="H4" s="6">
        <f>H5+H8+H9</f>
        <v/>
      </c>
      <c r="I4" s="6">
        <f>I5+I8+I9</f>
        <v/>
      </c>
      <c r="J4" s="6">
        <f>J5+J8+J9</f>
        <v/>
      </c>
      <c r="K4" s="6">
        <f>K5+K8+K9</f>
        <v/>
      </c>
      <c r="L4" s="6">
        <f>L5+L8+L9</f>
        <v/>
      </c>
      <c r="M4" s="6">
        <f>M5+M8+M9</f>
        <v/>
      </c>
      <c r="N4" s="6">
        <f>N5+N8+N9</f>
        <v/>
      </c>
      <c r="O4" s="6">
        <f>O5+O8+O9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GB</t>
        </is>
      </c>
      <c r="B7" s="4" t="n"/>
      <c r="C7" s="4" t="n"/>
      <c r="D7" s="4">
        <f>SUMIFS('i-shopify-ltd'!$I:$I,'i-shopify-ltd'!$A:$A,D$1,'i-shopify-ltd'!$C:$C,TRIM($A7))</f>
        <v/>
      </c>
      <c r="E7" s="4">
        <f>SUMIFS('i-shopify-ltd'!$I:$I,'i-shopify-ltd'!$A:$A,E$1,'i-shopify-ltd'!$C:$C,TRIM($A7))</f>
        <v/>
      </c>
      <c r="F7" s="4">
        <f>SUMIFS('i-shopify-ltd'!$I:$I,'i-shopify-ltd'!$A:$A,F$1,'i-shopify-ltd'!$C:$C,TRIM($A7))</f>
        <v/>
      </c>
      <c r="G7" s="4">
        <f>SUMIFS('i-shopify-ltd'!$I:$I,'i-shopify-ltd'!$A:$A,G$1,'i-shopify-ltd'!$C:$C,TRIM($A7))</f>
        <v/>
      </c>
      <c r="H7" s="4">
        <f>SUMIFS('i-shopify-ltd'!$I:$I,'i-shopify-ltd'!$A:$A,H$1,'i-shopify-ltd'!$C:$C,TRIM($A7))</f>
        <v/>
      </c>
      <c r="I7" s="4">
        <f>SUMIFS('i-shopify-ltd'!$I:$I,'i-shopify-ltd'!$A:$A,I$1,'i-shopify-ltd'!$C:$C,TRIM($A7))</f>
        <v/>
      </c>
      <c r="J7" s="4">
        <f>SUMIFS('i-shopify-ltd'!$I:$I,'i-shopify-ltd'!$A:$A,J$1,'i-shopify-ltd'!$C:$C,TRIM($A7))</f>
        <v/>
      </c>
      <c r="K7" s="4">
        <f>SUMIFS('i-shopify-ltd'!$I:$I,'i-shopify-ltd'!$A:$A,K$1,'i-shopify-ltd'!$C:$C,TRIM($A7))</f>
        <v/>
      </c>
      <c r="L7" s="4">
        <f>SUMIFS('i-shopify-ltd'!$I:$I,'i-shopify-ltd'!$A:$A,L$1,'i-shopify-ltd'!$C:$C,TRIM($A7))</f>
        <v/>
      </c>
      <c r="M7" s="4">
        <f>SUMIFS('i-shopify-ltd'!$I:$I,'i-shopify-ltd'!$A:$A,M$1,'i-shopify-ltd'!$C:$C,TRIM($A7))</f>
        <v/>
      </c>
      <c r="N7" s="4">
        <f>SUMIFS('i-shopify-ltd'!$I:$I,'i-shopify-ltd'!$A:$A,N$1,'i-shopify-ltd'!$C:$C,TRIM($A7))</f>
        <v/>
      </c>
      <c r="O7" s="4">
        <f>SUMIFS('i-shopify-ltd'!$I:$I,'i-shopify-ltd'!$A:$A,O$1,'i-shopify-ltd'!$C:$C,TRIM($A7))</f>
        <v/>
      </c>
      <c r="P7" s="4">
        <f>SUM(D7:O7)</f>
        <v/>
      </c>
      <c r="Q7" s="4" t="inlineStr">
        <is>
          <t>-&gt;</t>
        </is>
      </c>
    </row>
    <row r="8" outlineLevel="1" ht="12" customHeight="1">
      <c r="A8" s="7" t="inlineStr">
        <is>
          <t xml:space="preserve">  Services</t>
        </is>
      </c>
      <c r="B8" s="8" t="n"/>
      <c r="C8" s="8" t="n"/>
      <c r="D8" s="8">
        <f>0</f>
        <v/>
      </c>
      <c r="E8" s="8">
        <f>0</f>
        <v/>
      </c>
      <c r="F8" s="8">
        <f>0</f>
        <v/>
      </c>
      <c r="G8" s="8">
        <f>0</f>
        <v/>
      </c>
      <c r="H8" s="8">
        <f>0</f>
        <v/>
      </c>
      <c r="I8" s="8">
        <f>0</f>
        <v/>
      </c>
      <c r="J8" s="8">
        <f>0</f>
        <v/>
      </c>
      <c r="K8" s="8">
        <f>0</f>
        <v/>
      </c>
      <c r="L8" s="8">
        <f>0</f>
        <v/>
      </c>
      <c r="M8" s="8">
        <f>0</f>
        <v/>
      </c>
      <c r="N8" s="8">
        <f>0</f>
        <v/>
      </c>
      <c r="O8" s="8">
        <f>0</f>
        <v/>
      </c>
      <c r="P8" s="8">
        <f>SUM(D8:O8)</f>
        <v/>
      </c>
      <c r="Q8" s="8" t="n"/>
    </row>
    <row r="9" hidden="1" outlineLevel="2" ht="12" customHeight="1">
      <c r="A9" s="9" t="inlineStr">
        <is>
          <t xml:space="preserve">  Uncategorized income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>
        <f>SUM(D9:O9)</f>
        <v/>
      </c>
      <c r="Q9" s="10" t="n"/>
    </row>
    <row r="10" ht="12" customHeight="1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>
        <f>SUM(D10:O10)</f>
        <v/>
      </c>
      <c r="Q10" s="4" t="n"/>
    </row>
    <row r="11" ht="12" customHeight="1">
      <c r="A11" s="5" t="inlineStr">
        <is>
          <t>Expenses</t>
        </is>
      </c>
      <c r="B11" s="6" t="n"/>
      <c r="C11" s="6" t="n"/>
      <c r="D11" s="6">
        <f>D12+D34</f>
        <v/>
      </c>
      <c r="E11" s="6">
        <f>E12+E34</f>
        <v/>
      </c>
      <c r="F11" s="6">
        <f>F12+F34</f>
        <v/>
      </c>
      <c r="G11" s="6">
        <f>G12+G34</f>
        <v/>
      </c>
      <c r="H11" s="6">
        <f>H12+H34</f>
        <v/>
      </c>
      <c r="I11" s="6">
        <f>I12+I34</f>
        <v/>
      </c>
      <c r="J11" s="6">
        <f>J12+J34</f>
        <v/>
      </c>
      <c r="K11" s="6">
        <f>K12+K34</f>
        <v/>
      </c>
      <c r="L11" s="6">
        <f>L12+L34</f>
        <v/>
      </c>
      <c r="M11" s="6">
        <f>M12+M34</f>
        <v/>
      </c>
      <c r="N11" s="6">
        <f>N12+N34</f>
        <v/>
      </c>
      <c r="O11" s="6">
        <f>O12+O34</f>
        <v/>
      </c>
      <c r="P11" s="6">
        <f>SUM(D11:O11)</f>
        <v/>
      </c>
      <c r="Q11" s="6" t="n"/>
    </row>
    <row r="12" outlineLevel="1" ht="12" customHeight="1">
      <c r="A12" s="7" t="inlineStr">
        <is>
          <t xml:space="preserve">  COGS</t>
        </is>
      </c>
      <c r="B12" s="8" t="n"/>
      <c r="C12" s="8" t="n"/>
      <c r="D12" s="8">
        <f>D13+D19+D23</f>
        <v/>
      </c>
      <c r="E12" s="8">
        <f>E13+E19+E23</f>
        <v/>
      </c>
      <c r="F12" s="8">
        <f>F13+F19+F23</f>
        <v/>
      </c>
      <c r="G12" s="8">
        <f>G13+G19+G23</f>
        <v/>
      </c>
      <c r="H12" s="8">
        <f>H13+H19+H23</f>
        <v/>
      </c>
      <c r="I12" s="8">
        <f>I13+I19+I23</f>
        <v/>
      </c>
      <c r="J12" s="8">
        <f>J13+J19+J23</f>
        <v/>
      </c>
      <c r="K12" s="8">
        <f>K13+K19+K23</f>
        <v/>
      </c>
      <c r="L12" s="8">
        <f>L13+L19+L23</f>
        <v/>
      </c>
      <c r="M12" s="8">
        <f>M13+M19+M23</f>
        <v/>
      </c>
      <c r="N12" s="8">
        <f>N13+N19+N23</f>
        <v/>
      </c>
      <c r="O12" s="8">
        <f>O13+O19+O23</f>
        <v/>
      </c>
      <c r="P12" s="8">
        <f>SUM(D12:O12)</f>
        <v/>
      </c>
      <c r="Q12" s="8" t="n"/>
    </row>
    <row r="13" hidden="1" outlineLevel="2" ht="12" customHeight="1">
      <c r="A13" s="9" t="inlineStr">
        <is>
          <t xml:space="preserve">    Manufacturing</t>
        </is>
      </c>
      <c r="B13" s="10" t="n"/>
      <c r="C13" s="10" t="n"/>
      <c r="D13" s="10">
        <f>SUM(D14:D16)+D17</f>
        <v/>
      </c>
      <c r="E13" s="10">
        <f>SUM(E14:E16)+E17</f>
        <v/>
      </c>
      <c r="F13" s="10">
        <f>SUM(F14:F16)+F17</f>
        <v/>
      </c>
      <c r="G13" s="10">
        <f>SUM(G14:G16)+G17</f>
        <v/>
      </c>
      <c r="H13" s="10">
        <f>SUM(H14:H16)+H17</f>
        <v/>
      </c>
      <c r="I13" s="10">
        <f>SUM(I14:I16)+I17</f>
        <v/>
      </c>
      <c r="J13" s="10">
        <f>SUM(J14:J16)+J17</f>
        <v/>
      </c>
      <c r="K13" s="10">
        <f>SUM(K14:K16)+K17</f>
        <v/>
      </c>
      <c r="L13" s="10">
        <f>SUM(L14:L16)+L17</f>
        <v/>
      </c>
      <c r="M13" s="10">
        <f>SUM(M14:M16)+M17</f>
        <v/>
      </c>
      <c r="N13" s="10">
        <f>SUM(N14:N16)+N17</f>
        <v/>
      </c>
      <c r="O13" s="10">
        <f>SUM(O14:O16)+O17</f>
        <v/>
      </c>
      <c r="P13" s="10">
        <f>SUM(D13:O13)</f>
        <v/>
      </c>
      <c r="Q13" s="10" t="inlineStr">
        <is>
          <t>-&gt;</t>
        </is>
      </c>
    </row>
    <row r="14" hidden="1" outlineLevel="3" ht="12" customHeight="1">
      <c r="A14" t="inlineStr">
        <is>
          <t xml:space="preserve">      ARTLINK</t>
        </is>
      </c>
      <c r="B14" s="4" t="n"/>
      <c r="C14" s="4" t="n"/>
      <c r="D14" s="4">
        <f>SUMIFS('g-expenses-ltd'!$K:$K,'g-expenses-ltd'!$A:$A,D$1,'g-expenses-ltd'!$D:$D,"manufacturing",'g-expenses-ltd'!$E:$E,TRIM($A14))</f>
        <v/>
      </c>
      <c r="E14" s="4">
        <f>SUMIFS('g-expenses-ltd'!$K:$K,'g-expenses-ltd'!$A:$A,E$1,'g-expenses-ltd'!$D:$D,"manufacturing",'g-expenses-ltd'!$E:$E,TRIM($A14))</f>
        <v/>
      </c>
      <c r="F14" s="4">
        <f>SUMIFS('g-expenses-ltd'!$K:$K,'g-expenses-ltd'!$A:$A,F$1,'g-expenses-ltd'!$D:$D,"manufacturing",'g-expenses-ltd'!$E:$E,TRIM($A14))</f>
        <v/>
      </c>
      <c r="G14" s="4">
        <f>SUMIFS('g-expenses-ltd'!$K:$K,'g-expenses-ltd'!$A:$A,G$1,'g-expenses-ltd'!$D:$D,"manufacturing",'g-expenses-ltd'!$E:$E,TRIM($A14))</f>
        <v/>
      </c>
      <c r="H14" s="4">
        <f>SUMIFS('g-expenses-ltd'!$K:$K,'g-expenses-ltd'!$A:$A,H$1,'g-expenses-ltd'!$D:$D,"manufacturing",'g-expenses-ltd'!$E:$E,TRIM($A14))</f>
        <v/>
      </c>
      <c r="I14" s="4">
        <f>SUMIFS('g-expenses-ltd'!$K:$K,'g-expenses-ltd'!$A:$A,I$1,'g-expenses-ltd'!$D:$D,"manufacturing",'g-expenses-ltd'!$E:$E,TRIM($A14))</f>
        <v/>
      </c>
      <c r="J14" s="4">
        <f>SUMIFS('g-expenses-ltd'!$K:$K,'g-expenses-ltd'!$A:$A,J$1,'g-expenses-ltd'!$D:$D,"manufacturing",'g-expenses-ltd'!$E:$E,TRIM($A14))</f>
        <v/>
      </c>
      <c r="K14" s="4">
        <f>SUMIFS('g-expenses-ltd'!$K:$K,'g-expenses-ltd'!$A:$A,K$1,'g-expenses-ltd'!$D:$D,"manufacturing",'g-expenses-ltd'!$E:$E,TRIM($A14))</f>
        <v/>
      </c>
      <c r="L14" s="4">
        <f>SUMIFS('g-expenses-ltd'!$K:$K,'g-expenses-ltd'!$A:$A,L$1,'g-expenses-ltd'!$D:$D,"manufacturing",'g-expenses-ltd'!$E:$E,TRIM($A14))</f>
        <v/>
      </c>
      <c r="M14" s="4">
        <f>SUMIFS('g-expenses-ltd'!$K:$K,'g-expenses-ltd'!$A:$A,M$1,'g-expenses-ltd'!$D:$D,"manufacturing",'g-expenses-ltd'!$E:$E,TRIM($A14))</f>
        <v/>
      </c>
      <c r="N14" s="4">
        <f>SUMIFS('g-expenses-ltd'!$K:$K,'g-expenses-ltd'!$A:$A,N$1,'g-expenses-ltd'!$D:$D,"manufacturing",'g-expenses-ltd'!$E:$E,TRIM($A14))</f>
        <v/>
      </c>
      <c r="O14" s="4">
        <f>SUMIFS('g-expenses-ltd'!$K:$K,'g-expenses-ltd'!$A:$A,O$1,'g-expenses-ltd'!$D:$D,"manufacturing",'g-expenses-ltd'!$E:$E,TRIM($A14))</f>
        <v/>
      </c>
      <c r="P14" s="4">
        <f>SUM(D14:O14)</f>
        <v/>
      </c>
      <c r="Q14" s="4" t="inlineStr">
        <is>
          <t>-&gt;</t>
        </is>
      </c>
    </row>
    <row r="15" hidden="1" outlineLevel="3" ht="12" customHeight="1">
      <c r="A15" t="inlineStr">
        <is>
          <t xml:space="preserve">      JONDO</t>
        </is>
      </c>
      <c r="B15" s="4" t="n"/>
      <c r="C15" s="4" t="n"/>
      <c r="D15" s="4">
        <f>SUMIFS('g-expenses-ltd'!$K:$K,'g-expenses-ltd'!$A:$A,D$1,'g-expenses-ltd'!$D:$D,"manufacturing",'g-expenses-ltd'!$E:$E,TRIM($A15))</f>
        <v/>
      </c>
      <c r="E15" s="4">
        <f>SUMIFS('g-expenses-ltd'!$K:$K,'g-expenses-ltd'!$A:$A,E$1,'g-expenses-ltd'!$D:$D,"manufacturing",'g-expenses-ltd'!$E:$E,TRIM($A15))</f>
        <v/>
      </c>
      <c r="F15" s="4">
        <f>SUMIFS('g-expenses-ltd'!$K:$K,'g-expenses-ltd'!$A:$A,F$1,'g-expenses-ltd'!$D:$D,"manufacturing",'g-expenses-ltd'!$E:$E,TRIM($A15))</f>
        <v/>
      </c>
      <c r="G15" s="4">
        <f>SUMIFS('g-expenses-ltd'!$K:$K,'g-expenses-ltd'!$A:$A,G$1,'g-expenses-ltd'!$D:$D,"manufacturing",'g-expenses-ltd'!$E:$E,TRIM($A15))</f>
        <v/>
      </c>
      <c r="H15" s="4">
        <f>SUMIFS('g-expenses-ltd'!$K:$K,'g-expenses-ltd'!$A:$A,H$1,'g-expenses-ltd'!$D:$D,"manufacturing",'g-expenses-ltd'!$E:$E,TRIM($A15))</f>
        <v/>
      </c>
      <c r="I15" s="4">
        <f>SUMIFS('g-expenses-ltd'!$K:$K,'g-expenses-ltd'!$A:$A,I$1,'g-expenses-ltd'!$D:$D,"manufacturing",'g-expenses-ltd'!$E:$E,TRIM($A15))</f>
        <v/>
      </c>
      <c r="J15" s="4">
        <f>SUMIFS('g-expenses-ltd'!$K:$K,'g-expenses-ltd'!$A:$A,J$1,'g-expenses-ltd'!$D:$D,"manufacturing",'g-expenses-ltd'!$E:$E,TRIM($A15))</f>
        <v/>
      </c>
      <c r="K15" s="4">
        <f>SUMIFS('g-expenses-ltd'!$K:$K,'g-expenses-ltd'!$A:$A,K$1,'g-expenses-ltd'!$D:$D,"manufacturing",'g-expenses-ltd'!$E:$E,TRIM($A15))</f>
        <v/>
      </c>
      <c r="L15" s="4">
        <f>SUMIFS('g-expenses-ltd'!$K:$K,'g-expenses-ltd'!$A:$A,L$1,'g-expenses-ltd'!$D:$D,"manufacturing",'g-expenses-ltd'!$E:$E,TRIM($A15))</f>
        <v/>
      </c>
      <c r="M15" s="4">
        <f>SUMIFS('g-expenses-ltd'!$K:$K,'g-expenses-ltd'!$A:$A,M$1,'g-expenses-ltd'!$D:$D,"manufacturing",'g-expenses-ltd'!$E:$E,TRIM($A15))</f>
        <v/>
      </c>
      <c r="N15" s="4">
        <f>SUMIFS('g-expenses-ltd'!$K:$K,'g-expenses-ltd'!$A:$A,N$1,'g-expenses-ltd'!$D:$D,"manufacturing",'g-expenses-ltd'!$E:$E,TRIM($A15))</f>
        <v/>
      </c>
      <c r="O15" s="4">
        <f>SUMIFS('g-expenses-ltd'!$K:$K,'g-expenses-ltd'!$A:$A,O$1,'g-expenses-ltd'!$D:$D,"manufacturing",'g-expenses-ltd'!$E:$E,TRIM($A15))</f>
        <v/>
      </c>
      <c r="P15" s="4">
        <f>SUM(D15:O15)</f>
        <v/>
      </c>
      <c r="Q15" s="4" t="n"/>
    </row>
    <row r="16" hidden="1" outlineLevel="3" ht="12" customHeight="1">
      <c r="A16" t="inlineStr">
        <is>
          <t xml:space="preserve">      PROCO</t>
        </is>
      </c>
      <c r="B16" s="4" t="n"/>
      <c r="C16" s="4" t="n"/>
      <c r="D16" s="4">
        <f>SUMIFS('g-expenses-ltd'!$K:$K,'g-expenses-ltd'!$A:$A,D$1,'g-expenses-ltd'!$D:$D,"manufacturing",'g-expenses-ltd'!$E:$E,TRIM($A16))</f>
        <v/>
      </c>
      <c r="E16" s="4">
        <f>SUMIFS('g-expenses-ltd'!$K:$K,'g-expenses-ltd'!$A:$A,E$1,'g-expenses-ltd'!$D:$D,"manufacturing",'g-expenses-ltd'!$E:$E,TRIM($A16))</f>
        <v/>
      </c>
      <c r="F16" s="4">
        <f>SUMIFS('g-expenses-ltd'!$K:$K,'g-expenses-ltd'!$A:$A,F$1,'g-expenses-ltd'!$D:$D,"manufacturing",'g-expenses-ltd'!$E:$E,TRIM($A16))</f>
        <v/>
      </c>
      <c r="G16" s="4">
        <f>SUMIFS('g-expenses-ltd'!$K:$K,'g-expenses-ltd'!$A:$A,G$1,'g-expenses-ltd'!$D:$D,"manufacturing",'g-expenses-ltd'!$E:$E,TRIM($A16))</f>
        <v/>
      </c>
      <c r="H16" s="4">
        <f>SUMIFS('g-expenses-ltd'!$K:$K,'g-expenses-ltd'!$A:$A,H$1,'g-expenses-ltd'!$D:$D,"manufacturing",'g-expenses-ltd'!$E:$E,TRIM($A16))</f>
        <v/>
      </c>
      <c r="I16" s="4">
        <f>SUMIFS('g-expenses-ltd'!$K:$K,'g-expenses-ltd'!$A:$A,I$1,'g-expenses-ltd'!$D:$D,"manufacturing",'g-expenses-ltd'!$E:$E,TRIM($A16))</f>
        <v/>
      </c>
      <c r="J16" s="4">
        <f>SUMIFS('g-expenses-ltd'!$K:$K,'g-expenses-ltd'!$A:$A,J$1,'g-expenses-ltd'!$D:$D,"manufacturing",'g-expenses-ltd'!$E:$E,TRIM($A16))</f>
        <v/>
      </c>
      <c r="K16" s="4">
        <f>SUMIFS('g-expenses-ltd'!$K:$K,'g-expenses-ltd'!$A:$A,K$1,'g-expenses-ltd'!$D:$D,"manufacturing",'g-expenses-ltd'!$E:$E,TRIM($A16))</f>
        <v/>
      </c>
      <c r="L16" s="4">
        <f>SUMIFS('g-expenses-ltd'!$K:$K,'g-expenses-ltd'!$A:$A,L$1,'g-expenses-ltd'!$D:$D,"manufacturing",'g-expenses-ltd'!$E:$E,TRIM($A16))</f>
        <v/>
      </c>
      <c r="M16" s="4">
        <f>SUMIFS('g-expenses-ltd'!$K:$K,'g-expenses-ltd'!$A:$A,M$1,'g-expenses-ltd'!$D:$D,"manufacturing",'g-expenses-ltd'!$E:$E,TRIM($A16))</f>
        <v/>
      </c>
      <c r="N16" s="4">
        <f>SUMIFS('g-expenses-ltd'!$K:$K,'g-expenses-ltd'!$A:$A,N$1,'g-expenses-ltd'!$D:$D,"manufacturing",'g-expenses-ltd'!$E:$E,TRIM($A16))</f>
        <v/>
      </c>
      <c r="O16" s="4">
        <f>SUMIFS('g-expenses-ltd'!$K:$K,'g-expenses-ltd'!$A:$A,O$1,'g-expenses-ltd'!$D:$D,"manufacturing",'g-expenses-ltd'!$E:$E,TRIM($A16))</f>
        <v/>
      </c>
      <c r="P16" s="4">
        <f>SUM(D16:O16)</f>
        <v/>
      </c>
      <c r="Q16" s="4" t="n"/>
    </row>
    <row r="17" ht="12" customHeight="1">
      <c r="A17" t="inlineStr">
        <is>
          <t xml:space="preserve">      Consumo marcos</t>
        </is>
      </c>
      <c r="B17" s="4" t="n"/>
      <c r="C17" s="4" t="n"/>
      <c r="D17" s="4" t="n">
        <v>1949.14</v>
      </c>
      <c r="E17" s="4" t="n">
        <v>2398.45</v>
      </c>
      <c r="F17" s="4" t="n">
        <v>2181.65</v>
      </c>
      <c r="G17" s="4" t="n">
        <v>284.82</v>
      </c>
      <c r="H17" s="4" t="n"/>
      <c r="I17" s="4" t="n"/>
      <c r="J17" s="4" t="n"/>
      <c r="K17" s="4" t="n"/>
      <c r="L17" s="4" t="n"/>
      <c r="M17" s="4" t="n"/>
      <c r="N17" s="4" t="n"/>
      <c r="O17" s="4" t="n"/>
      <c r="P17" s="4">
        <f>SUM(D17:O17)</f>
        <v/>
      </c>
      <c r="Q17" s="4" t="n"/>
    </row>
    <row r="18" hidden="1" outlineLevel="2" ht="12" customHeight="1">
      <c r="A18" s="3" t="inlineStr">
        <is>
          <t xml:space="preserve">    % Manufacturing / sales</t>
        </is>
      </c>
      <c r="B18" s="11" t="n"/>
      <c r="C18" s="11" t="n"/>
      <c r="D18" s="11">
        <f>IFERROR(D13/D5,0)</f>
        <v/>
      </c>
      <c r="E18" s="11">
        <f>IFERROR(E13/E5,0)</f>
        <v/>
      </c>
      <c r="F18" s="11">
        <f>IFERROR(F13/F5,0)</f>
        <v/>
      </c>
      <c r="G18" s="11">
        <f>IFERROR(G13/G5,0)</f>
        <v/>
      </c>
      <c r="H18" s="11">
        <f>IFERROR(H13/H5,0)</f>
        <v/>
      </c>
      <c r="I18" s="11">
        <f>IFERROR(I13/I5,0)</f>
        <v/>
      </c>
      <c r="J18" s="11">
        <f>IFERROR(J13/J5,0)</f>
        <v/>
      </c>
      <c r="K18" s="11">
        <f>IFERROR(K13/K5,0)</f>
        <v/>
      </c>
      <c r="L18" s="11">
        <f>IFERROR(L13/L5,0)</f>
        <v/>
      </c>
      <c r="M18" s="11">
        <f>IFERROR(M13/M5,0)</f>
        <v/>
      </c>
      <c r="N18" s="11">
        <f>IFERROR(N13/N5,0)</f>
        <v/>
      </c>
      <c r="O18" s="11">
        <f>IFERROR(O13/O5,0)</f>
        <v/>
      </c>
      <c r="P18" s="11">
        <f>IFERROR(P13/P5,0)</f>
        <v/>
      </c>
      <c r="Q18" s="11" t="n"/>
    </row>
    <row r="19" hidden="1" outlineLevel="2" ht="12" customHeight="1">
      <c r="A19" s="9" t="inlineStr">
        <is>
          <t xml:space="preserve">    Logistics</t>
        </is>
      </c>
      <c r="B19" s="10" t="n"/>
      <c r="C19" s="10" t="n"/>
      <c r="D19" s="10">
        <f>SUM(D20:D21)</f>
        <v/>
      </c>
      <c r="E19" s="10">
        <f>SUM(E20:E21)</f>
        <v/>
      </c>
      <c r="F19" s="10">
        <f>SUM(F20:F21)</f>
        <v/>
      </c>
      <c r="G19" s="10">
        <f>SUM(G20:G21)</f>
        <v/>
      </c>
      <c r="H19" s="10">
        <f>SUM(H20:H21)</f>
        <v/>
      </c>
      <c r="I19" s="10">
        <f>SUM(I20:I21)</f>
        <v/>
      </c>
      <c r="J19" s="10">
        <f>SUM(J20:J21)</f>
        <v/>
      </c>
      <c r="K19" s="10">
        <f>SUM(K20:K21)</f>
        <v/>
      </c>
      <c r="L19" s="10">
        <f>SUM(L20:L21)</f>
        <v/>
      </c>
      <c r="M19" s="10">
        <f>SUM(M20:M21)</f>
        <v/>
      </c>
      <c r="N19" s="10">
        <f>SUM(N20:N21)</f>
        <v/>
      </c>
      <c r="O19" s="10">
        <f>SUM(O20:O21)</f>
        <v/>
      </c>
      <c r="P19" s="10">
        <f>SUM(D19:O19)</f>
        <v/>
      </c>
      <c r="Q19" s="10" t="inlineStr">
        <is>
          <t>-&gt;</t>
        </is>
      </c>
    </row>
    <row r="20" hidden="1" outlineLevel="3" ht="12" customHeight="1">
      <c r="A20" t="inlineStr">
        <is>
          <t xml:space="preserve">      PROCO</t>
        </is>
      </c>
      <c r="B20" s="4" t="n"/>
      <c r="C20" s="4" t="n"/>
      <c r="D20" s="4">
        <f>SUMIFS('g-expenses-ltd'!$K:$K,'g-expenses-ltd'!$A:$A,D$1,'g-expenses-ltd'!$D:$D,"logistics",'g-expenses-ltd'!$E:$E,TRIM($A20))</f>
        <v/>
      </c>
      <c r="E20" s="4">
        <f>SUMIFS('g-expenses-ltd'!$K:$K,'g-expenses-ltd'!$A:$A,E$1,'g-expenses-ltd'!$D:$D,"logistics",'g-expenses-ltd'!$E:$E,TRIM($A20))</f>
        <v/>
      </c>
      <c r="F20" s="4">
        <f>SUMIFS('g-expenses-ltd'!$K:$K,'g-expenses-ltd'!$A:$A,F$1,'g-expenses-ltd'!$D:$D,"logistics",'g-expenses-ltd'!$E:$E,TRIM($A20))</f>
        <v/>
      </c>
      <c r="G20" s="4">
        <f>SUMIFS('g-expenses-ltd'!$K:$K,'g-expenses-ltd'!$A:$A,G$1,'g-expenses-ltd'!$D:$D,"logistics",'g-expenses-ltd'!$E:$E,TRIM($A20))</f>
        <v/>
      </c>
      <c r="H20" s="4">
        <f>SUMIFS('g-expenses-ltd'!$K:$K,'g-expenses-ltd'!$A:$A,H$1,'g-expenses-ltd'!$D:$D,"logistics",'g-expenses-ltd'!$E:$E,TRIM($A20))</f>
        <v/>
      </c>
      <c r="I20" s="4">
        <f>SUMIFS('g-expenses-ltd'!$K:$K,'g-expenses-ltd'!$A:$A,I$1,'g-expenses-ltd'!$D:$D,"logistics",'g-expenses-ltd'!$E:$E,TRIM($A20))</f>
        <v/>
      </c>
      <c r="J20" s="4">
        <f>SUMIFS('g-expenses-ltd'!$K:$K,'g-expenses-ltd'!$A:$A,J$1,'g-expenses-ltd'!$D:$D,"logistics",'g-expenses-ltd'!$E:$E,TRIM($A20))</f>
        <v/>
      </c>
      <c r="K20" s="4">
        <f>SUMIFS('g-expenses-ltd'!$K:$K,'g-expenses-ltd'!$A:$A,K$1,'g-expenses-ltd'!$D:$D,"logistics",'g-expenses-ltd'!$E:$E,TRIM($A20))</f>
        <v/>
      </c>
      <c r="L20" s="4">
        <f>SUMIFS('g-expenses-ltd'!$K:$K,'g-expenses-ltd'!$A:$A,L$1,'g-expenses-ltd'!$D:$D,"logistics",'g-expenses-ltd'!$E:$E,TRIM($A20))</f>
        <v/>
      </c>
      <c r="M20" s="4">
        <f>SUMIFS('g-expenses-ltd'!$K:$K,'g-expenses-ltd'!$A:$A,M$1,'g-expenses-ltd'!$D:$D,"logistics",'g-expenses-ltd'!$E:$E,TRIM($A20))</f>
        <v/>
      </c>
      <c r="N20" s="4">
        <f>SUMIFS('g-expenses-ltd'!$K:$K,'g-expenses-ltd'!$A:$A,N$1,'g-expenses-ltd'!$D:$D,"logistics",'g-expenses-ltd'!$E:$E,TRIM($A20))</f>
        <v/>
      </c>
      <c r="O20" s="4">
        <f>SUMIFS('g-expenses-ltd'!$K:$K,'g-expenses-ltd'!$A:$A,O$1,'g-expenses-ltd'!$D:$D,"logistics",'g-expenses-ltd'!$E:$E,TRIM($A20))</f>
        <v/>
      </c>
      <c r="P20" s="4">
        <f>SUM(D20:O20)</f>
        <v/>
      </c>
      <c r="Q20" s="4" t="inlineStr">
        <is>
          <t>-&gt;</t>
        </is>
      </c>
    </row>
    <row r="21" hidden="1" outlineLevel="3" ht="12" customHeight="1">
      <c r="A21" t="inlineStr">
        <is>
          <t xml:space="preserve">      PORTCLEARANCE</t>
        </is>
      </c>
      <c r="B21" s="4" t="n"/>
      <c r="C21" s="4" t="n"/>
      <c r="D21" s="4">
        <f>SUMIFS('g-expenses-ltd'!$K:$K,'g-expenses-ltd'!$A:$A,D$1,'g-expenses-ltd'!$D:$D,"logistics",'g-expenses-ltd'!$E:$E,TRIM($A21))</f>
        <v/>
      </c>
      <c r="E21" s="4">
        <f>SUMIFS('g-expenses-ltd'!$K:$K,'g-expenses-ltd'!$A:$A,E$1,'g-expenses-ltd'!$D:$D,"logistics",'g-expenses-ltd'!$E:$E,TRIM($A21))</f>
        <v/>
      </c>
      <c r="F21" s="4">
        <f>SUMIFS('g-expenses-ltd'!$K:$K,'g-expenses-ltd'!$A:$A,F$1,'g-expenses-ltd'!$D:$D,"logistics",'g-expenses-ltd'!$E:$E,TRIM($A21))</f>
        <v/>
      </c>
      <c r="G21" s="4">
        <f>SUMIFS('g-expenses-ltd'!$K:$K,'g-expenses-ltd'!$A:$A,G$1,'g-expenses-ltd'!$D:$D,"logistics",'g-expenses-ltd'!$E:$E,TRIM($A21))</f>
        <v/>
      </c>
      <c r="H21" s="4">
        <f>SUMIFS('g-expenses-ltd'!$K:$K,'g-expenses-ltd'!$A:$A,H$1,'g-expenses-ltd'!$D:$D,"logistics",'g-expenses-ltd'!$E:$E,TRIM($A21))</f>
        <v/>
      </c>
      <c r="I21" s="4">
        <f>SUMIFS('g-expenses-ltd'!$K:$K,'g-expenses-ltd'!$A:$A,I$1,'g-expenses-ltd'!$D:$D,"logistics",'g-expenses-ltd'!$E:$E,TRIM($A21))</f>
        <v/>
      </c>
      <c r="J21" s="4">
        <f>SUMIFS('g-expenses-ltd'!$K:$K,'g-expenses-ltd'!$A:$A,J$1,'g-expenses-ltd'!$D:$D,"logistics",'g-expenses-ltd'!$E:$E,TRIM($A21))</f>
        <v/>
      </c>
      <c r="K21" s="4">
        <f>SUMIFS('g-expenses-ltd'!$K:$K,'g-expenses-ltd'!$A:$A,K$1,'g-expenses-ltd'!$D:$D,"logistics",'g-expenses-ltd'!$E:$E,TRIM($A21))</f>
        <v/>
      </c>
      <c r="L21" s="4">
        <f>SUMIFS('g-expenses-ltd'!$K:$K,'g-expenses-ltd'!$A:$A,L$1,'g-expenses-ltd'!$D:$D,"logistics",'g-expenses-ltd'!$E:$E,TRIM($A21))</f>
        <v/>
      </c>
      <c r="M21" s="4">
        <f>SUMIFS('g-expenses-ltd'!$K:$K,'g-expenses-ltd'!$A:$A,M$1,'g-expenses-ltd'!$D:$D,"logistics",'g-expenses-ltd'!$E:$E,TRIM($A21))</f>
        <v/>
      </c>
      <c r="N21" s="4">
        <f>SUMIFS('g-expenses-ltd'!$K:$K,'g-expenses-ltd'!$A:$A,N$1,'g-expenses-ltd'!$D:$D,"logistics",'g-expenses-ltd'!$E:$E,TRIM($A21))</f>
        <v/>
      </c>
      <c r="O21" s="4">
        <f>SUMIFS('g-expenses-ltd'!$K:$K,'g-expenses-ltd'!$A:$A,O$1,'g-expenses-ltd'!$D:$D,"logistics",'g-expenses-ltd'!$E:$E,TRIM($A21))</f>
        <v/>
      </c>
      <c r="P21" s="4">
        <f>SUM(D21:O21)</f>
        <v/>
      </c>
      <c r="Q21" s="4" t="n"/>
    </row>
    <row r="22" hidden="1" outlineLevel="2" ht="12" customHeight="1">
      <c r="A22" s="3" t="inlineStr">
        <is>
          <t xml:space="preserve">    % Logistics / sales</t>
        </is>
      </c>
      <c r="B22" s="11" t="n"/>
      <c r="C22" s="11" t="n"/>
      <c r="D22" s="11">
        <f>IFERROR(D19/D5,0)</f>
        <v/>
      </c>
      <c r="E22" s="11">
        <f>IFERROR(E19/E5,0)</f>
        <v/>
      </c>
      <c r="F22" s="11">
        <f>IFERROR(F19/F5,0)</f>
        <v/>
      </c>
      <c r="G22" s="11">
        <f>IFERROR(G19/G5,0)</f>
        <v/>
      </c>
      <c r="H22" s="11">
        <f>IFERROR(H19/H5,0)</f>
        <v/>
      </c>
      <c r="I22" s="11">
        <f>IFERROR(I19/I5,0)</f>
        <v/>
      </c>
      <c r="J22" s="11">
        <f>IFERROR(J19/J5,0)</f>
        <v/>
      </c>
      <c r="K22" s="11">
        <f>IFERROR(K19/K5,0)</f>
        <v/>
      </c>
      <c r="L22" s="11">
        <f>IFERROR(L19/L5,0)</f>
        <v/>
      </c>
      <c r="M22" s="11">
        <f>IFERROR(M19/M5,0)</f>
        <v/>
      </c>
      <c r="N22" s="11">
        <f>IFERROR(N19/N5,0)</f>
        <v/>
      </c>
      <c r="O22" s="11">
        <f>IFERROR(O19/O5,0)</f>
        <v/>
      </c>
      <c r="P22" s="11">
        <f>IFERROR(P19/P5,0)</f>
        <v/>
      </c>
      <c r="Q22" s="11" t="n"/>
    </row>
    <row r="23" hidden="1" outlineLevel="2" ht="12" customHeight="1">
      <c r="A23" s="9" t="inlineStr">
        <is>
          <t xml:space="preserve">    Payment fees</t>
        </is>
      </c>
      <c r="B23" s="10" t="n"/>
      <c r="C23" s="10" t="n"/>
      <c r="D23" s="10">
        <f>SUM(D24:D24)</f>
        <v/>
      </c>
      <c r="E23" s="10">
        <f>SUM(E24:E24)</f>
        <v/>
      </c>
      <c r="F23" s="10">
        <f>SUM(F24:F24)</f>
        <v/>
      </c>
      <c r="G23" s="10">
        <f>SUM(G24:G24)</f>
        <v/>
      </c>
      <c r="H23" s="10">
        <f>SUM(H24:H24)</f>
        <v/>
      </c>
      <c r="I23" s="10">
        <f>SUM(I24:I24)</f>
        <v/>
      </c>
      <c r="J23" s="10">
        <f>SUM(J24:J24)</f>
        <v/>
      </c>
      <c r="K23" s="10">
        <f>SUM(K24:K24)</f>
        <v/>
      </c>
      <c r="L23" s="10">
        <f>SUM(L24:L24)</f>
        <v/>
      </c>
      <c r="M23" s="10">
        <f>SUM(M24:M24)</f>
        <v/>
      </c>
      <c r="N23" s="10">
        <f>SUM(N24:N24)</f>
        <v/>
      </c>
      <c r="O23" s="10">
        <f>SUM(O24:O24)</f>
        <v/>
      </c>
      <c r="P23" s="10">
        <f>SUM(D23:O23)</f>
        <v/>
      </c>
      <c r="Q23" s="10" t="inlineStr">
        <is>
          <t>-&gt;</t>
        </is>
      </c>
    </row>
    <row r="24" hidden="1" outlineLevel="3" ht="12" customHeight="1">
      <c r="A24" t="inlineStr">
        <is>
          <t xml:space="preserve">      SHOPIFY</t>
        </is>
      </c>
      <c r="B24" s="4" t="n"/>
      <c r="C24" s="4" t="n"/>
      <c r="D24" s="4">
        <f>SUMIFS('g-payment-fees-ltd'!$H:$H,'g-payment-fees-ltd'!$A:$A,D$1,'g-payment-fees-ltd'!$C:$C,TRIM($A24))</f>
        <v/>
      </c>
      <c r="E24" s="4">
        <f>SUMIFS('g-payment-fees-ltd'!$H:$H,'g-payment-fees-ltd'!$A:$A,E$1,'g-payment-fees-ltd'!$C:$C,TRIM($A24))</f>
        <v/>
      </c>
      <c r="F24" s="4">
        <f>SUMIFS('g-payment-fees-ltd'!$H:$H,'g-payment-fees-ltd'!$A:$A,F$1,'g-payment-fees-ltd'!$C:$C,TRIM($A24))</f>
        <v/>
      </c>
      <c r="G24" s="4">
        <f>SUMIFS('g-payment-fees-ltd'!$H:$H,'g-payment-fees-ltd'!$A:$A,G$1,'g-payment-fees-ltd'!$C:$C,TRIM($A24))</f>
        <v/>
      </c>
      <c r="H24" s="4">
        <f>SUMIFS('g-payment-fees-ltd'!$H:$H,'g-payment-fees-ltd'!$A:$A,H$1,'g-payment-fees-ltd'!$C:$C,TRIM($A24))</f>
        <v/>
      </c>
      <c r="I24" s="4">
        <f>SUMIFS('g-payment-fees-ltd'!$H:$H,'g-payment-fees-ltd'!$A:$A,I$1,'g-payment-fees-ltd'!$C:$C,TRIM($A24))</f>
        <v/>
      </c>
      <c r="J24" s="4">
        <f>SUMIFS('g-payment-fees-ltd'!$H:$H,'g-payment-fees-ltd'!$A:$A,J$1,'g-payment-fees-ltd'!$C:$C,TRIM($A24))</f>
        <v/>
      </c>
      <c r="K24" s="4">
        <f>SUMIFS('g-payment-fees-ltd'!$H:$H,'g-payment-fees-ltd'!$A:$A,K$1,'g-payment-fees-ltd'!$C:$C,TRIM($A24))</f>
        <v/>
      </c>
      <c r="L24" s="4">
        <f>SUMIFS('g-payment-fees-ltd'!$H:$H,'g-payment-fees-ltd'!$A:$A,L$1,'g-payment-fees-ltd'!$C:$C,TRIM($A24))</f>
        <v/>
      </c>
      <c r="M24" s="4">
        <f>SUMIFS('g-payment-fees-ltd'!$H:$H,'g-payment-fees-ltd'!$A:$A,M$1,'g-payment-fees-ltd'!$C:$C,TRIM($A24))</f>
        <v/>
      </c>
      <c r="N24" s="4">
        <f>SUMIFS('g-payment-fees-ltd'!$H:$H,'g-payment-fees-ltd'!$A:$A,N$1,'g-payment-fees-ltd'!$C:$C,TRIM($A24))</f>
        <v/>
      </c>
      <c r="O24" s="4">
        <f>SUMIFS('g-payment-fees-ltd'!$H:$H,'g-payment-fees-ltd'!$A:$A,O$1,'g-payment-fees-ltd'!$C:$C,TRIM($A24))</f>
        <v/>
      </c>
      <c r="P24" s="4">
        <f>SUM(D24:O24)</f>
        <v/>
      </c>
      <c r="Q24" s="4" t="inlineStr">
        <is>
          <t>-&gt;</t>
        </is>
      </c>
    </row>
    <row r="25" ht="12" customHeight="1">
      <c r="A25" s="12" t="inlineStr">
        <is>
          <t xml:space="preserve">    Royalties</t>
        </is>
      </c>
      <c r="B25" s="4" t="n"/>
      <c r="C25" s="4" t="n"/>
      <c r="D25" s="4" t="n">
        <v>1101.81</v>
      </c>
      <c r="E25" s="4" t="n">
        <v>1398.57</v>
      </c>
      <c r="F25" s="4" t="n">
        <v>1682.82</v>
      </c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>
        <f>SUM(D25:O25)</f>
        <v/>
      </c>
      <c r="Q25" s="4" t="n"/>
    </row>
    <row r="26" ht="12" customHeight="1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>
        <f>SUM(D26:O26)</f>
        <v/>
      </c>
      <c r="Q26" s="4" t="n"/>
    </row>
    <row r="27" hidden="1" outlineLevel="2" ht="12" customHeight="1">
      <c r="A27" s="3" t="inlineStr">
        <is>
          <t xml:space="preserve">    % Payment fees / sales</t>
        </is>
      </c>
      <c r="B27" s="11" t="n"/>
      <c r="C27" s="11" t="n"/>
      <c r="D27" s="11">
        <f>IFERROR(D23/D5,0)</f>
        <v/>
      </c>
      <c r="E27" s="11">
        <f>IFERROR(E23/E5,0)</f>
        <v/>
      </c>
      <c r="F27" s="11">
        <f>IFERROR(F23/F5,0)</f>
        <v/>
      </c>
      <c r="G27" s="11">
        <f>IFERROR(G23/G5,0)</f>
        <v/>
      </c>
      <c r="H27" s="11">
        <f>IFERROR(H23/H5,0)</f>
        <v/>
      </c>
      <c r="I27" s="11">
        <f>IFERROR(I23/I5,0)</f>
        <v/>
      </c>
      <c r="J27" s="11">
        <f>IFERROR(J23/J5,0)</f>
        <v/>
      </c>
      <c r="K27" s="11">
        <f>IFERROR(K23/K5,0)</f>
        <v/>
      </c>
      <c r="L27" s="11">
        <f>IFERROR(L23/L5,0)</f>
        <v/>
      </c>
      <c r="M27" s="11">
        <f>IFERROR(M23/M5,0)</f>
        <v/>
      </c>
      <c r="N27" s="11">
        <f>IFERROR(N23/N5,0)</f>
        <v/>
      </c>
      <c r="O27" s="11">
        <f>IFERROR(O23/O5,0)</f>
        <v/>
      </c>
      <c r="P27" s="11">
        <f>IFERROR(P23/P5,0)</f>
        <v/>
      </c>
      <c r="Q27" s="11" t="n"/>
    </row>
    <row r="28" ht="12" customHeight="1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>
        <f>SUM(D28:O28)</f>
        <v/>
      </c>
      <c r="Q28" s="4" t="n"/>
    </row>
    <row r="29" ht="12" customHeight="1">
      <c r="A29" s="13" t="inlineStr">
        <is>
          <t>GROSS MARGIN (SALES-MANUFACTURING)</t>
        </is>
      </c>
      <c r="B29" s="14" t="n"/>
      <c r="C29" s="14" t="n"/>
      <c r="D29" s="14">
        <f>D5-D13</f>
        <v/>
      </c>
      <c r="E29" s="14">
        <f>E5-E13</f>
        <v/>
      </c>
      <c r="F29" s="14">
        <f>F5-F13</f>
        <v/>
      </c>
      <c r="G29" s="14">
        <f>G5-G13</f>
        <v/>
      </c>
      <c r="H29" s="14">
        <f>H5-H13</f>
        <v/>
      </c>
      <c r="I29" s="14">
        <f>I5-I13</f>
        <v/>
      </c>
      <c r="J29" s="14">
        <f>J5-J13</f>
        <v/>
      </c>
      <c r="K29" s="14">
        <f>K5-K13</f>
        <v/>
      </c>
      <c r="L29" s="14">
        <f>L5-L13</f>
        <v/>
      </c>
      <c r="M29" s="14">
        <f>M5-M13</f>
        <v/>
      </c>
      <c r="N29" s="14">
        <f>N5-N13</f>
        <v/>
      </c>
      <c r="O29" s="14">
        <f>O5-O13</f>
        <v/>
      </c>
      <c r="P29" s="14">
        <f>SUM(D29:O29)</f>
        <v/>
      </c>
      <c r="Q29" s="14" t="n"/>
    </row>
    <row r="30" hidden="1" outlineLevel="1" ht="12" customHeight="1">
      <c r="A30" s="3" t="inlineStr">
        <is>
          <t>% gross margin</t>
        </is>
      </c>
      <c r="B30" s="11" t="n"/>
      <c r="C30" s="11" t="n"/>
      <c r="D30" s="11">
        <f>IFERROR(D29/D5,0)</f>
        <v/>
      </c>
      <c r="E30" s="11">
        <f>IFERROR(E29/E5,0)</f>
        <v/>
      </c>
      <c r="F30" s="11">
        <f>IFERROR(F29/F5,0)</f>
        <v/>
      </c>
      <c r="G30" s="11">
        <f>IFERROR(G29/G5,0)</f>
        <v/>
      </c>
      <c r="H30" s="11">
        <f>IFERROR(H29/H5,0)</f>
        <v/>
      </c>
      <c r="I30" s="11">
        <f>IFERROR(I29/I5,0)</f>
        <v/>
      </c>
      <c r="J30" s="11">
        <f>IFERROR(J29/J5,0)</f>
        <v/>
      </c>
      <c r="K30" s="11">
        <f>IFERROR(K29/K5,0)</f>
        <v/>
      </c>
      <c r="L30" s="11">
        <f>IFERROR(L29/L5,0)</f>
        <v/>
      </c>
      <c r="M30" s="11">
        <f>IFERROR(M29/M5,0)</f>
        <v/>
      </c>
      <c r="N30" s="11">
        <f>IFERROR(N29/N5,0)</f>
        <v/>
      </c>
      <c r="O30" s="11">
        <f>IFERROR(O29/O5,0)</f>
        <v/>
      </c>
      <c r="P30" s="11">
        <f>IFERROR(P29/P5,0)</f>
        <v/>
      </c>
      <c r="Q30" s="11" t="n"/>
    </row>
    <row r="31" ht="12" customHeight="1">
      <c r="A31" s="13" t="inlineStr">
        <is>
          <t>Contributive margin (product sales-COGS)</t>
        </is>
      </c>
      <c r="B31" s="14" t="n"/>
      <c r="C31" s="14" t="n"/>
      <c r="D31" s="14">
        <f>D5-D12-D25</f>
        <v/>
      </c>
      <c r="E31" s="14">
        <f>E5-E12-E25</f>
        <v/>
      </c>
      <c r="F31" s="14">
        <f>F5-F12-F25</f>
        <v/>
      </c>
      <c r="G31" s="14">
        <f>G5-G12-G25</f>
        <v/>
      </c>
      <c r="H31" s="14">
        <f>H5-H12-H25</f>
        <v/>
      </c>
      <c r="I31" s="14">
        <f>I5-I12-I25</f>
        <v/>
      </c>
      <c r="J31" s="14">
        <f>J5-J12-J25</f>
        <v/>
      </c>
      <c r="K31" s="14">
        <f>K5-K12-K25</f>
        <v/>
      </c>
      <c r="L31" s="14">
        <f>L5-L12-L25</f>
        <v/>
      </c>
      <c r="M31" s="14">
        <f>M5-M12-M25</f>
        <v/>
      </c>
      <c r="N31" s="14">
        <f>N5-N12-N25</f>
        <v/>
      </c>
      <c r="O31" s="14">
        <f>O5-O12-O25</f>
        <v/>
      </c>
      <c r="P31" s="14">
        <f>SUM(D31:O31)</f>
        <v/>
      </c>
      <c r="Q31" s="14" t="n"/>
    </row>
    <row r="32" hidden="1" outlineLevel="1" ht="12" customHeight="1">
      <c r="A32" s="3" t="inlineStr">
        <is>
          <t>% contributive margin</t>
        </is>
      </c>
      <c r="B32" s="11" t="n"/>
      <c r="C32" s="11" t="n"/>
      <c r="D32" s="11">
        <f>IFERROR(D31/D5,0)</f>
        <v/>
      </c>
      <c r="E32" s="11">
        <f>IFERROR(E31/E5,0)</f>
        <v/>
      </c>
      <c r="F32" s="11">
        <f>IFERROR(F31/F5,0)</f>
        <v/>
      </c>
      <c r="G32" s="11">
        <f>IFERROR(G31/G5,0)</f>
        <v/>
      </c>
      <c r="H32" s="11">
        <f>IFERROR(H31/H5,0)</f>
        <v/>
      </c>
      <c r="I32" s="11">
        <f>IFERROR(I31/I5,0)</f>
        <v/>
      </c>
      <c r="J32" s="11">
        <f>IFERROR(J31/J5,0)</f>
        <v/>
      </c>
      <c r="K32" s="11">
        <f>IFERROR(K31/K5,0)</f>
        <v/>
      </c>
      <c r="L32" s="11">
        <f>IFERROR(L31/L5,0)</f>
        <v/>
      </c>
      <c r="M32" s="11">
        <f>IFERROR(M31/M5,0)</f>
        <v/>
      </c>
      <c r="N32" s="11">
        <f>IFERROR(N31/N5,0)</f>
        <v/>
      </c>
      <c r="O32" s="11">
        <f>IFERROR(O31/O5,0)</f>
        <v/>
      </c>
      <c r="P32" s="11">
        <f>IFERROR(P31/P5,0)</f>
        <v/>
      </c>
      <c r="Q32" s="11" t="n"/>
    </row>
    <row r="33" ht="12" customHeight="1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>
        <f>SUM(D33:O33)</f>
        <v/>
      </c>
      <c r="Q33" s="4" t="n"/>
    </row>
    <row r="34" outlineLevel="1" ht="12" customHeight="1">
      <c r="A34" s="7" t="inlineStr">
        <is>
          <t xml:space="preserve">  Opex</t>
        </is>
      </c>
      <c r="B34" s="8" t="n"/>
      <c r="C34" s="8" t="n"/>
      <c r="D34" s="8">
        <f>D35+D37+D39+D41</f>
        <v/>
      </c>
      <c r="E34" s="8">
        <f>E35+E37+E39+E41</f>
        <v/>
      </c>
      <c r="F34" s="8">
        <f>F35+F37+F39+F41</f>
        <v/>
      </c>
      <c r="G34" s="8">
        <f>G35+G37+G39+G41</f>
        <v/>
      </c>
      <c r="H34" s="8">
        <f>H35+H37+H39+H41</f>
        <v/>
      </c>
      <c r="I34" s="8">
        <f>I35+I37+I39+I41</f>
        <v/>
      </c>
      <c r="J34" s="8">
        <f>J35+J37+J39+J41</f>
        <v/>
      </c>
      <c r="K34" s="8">
        <f>K35+K37+K39+K41</f>
        <v/>
      </c>
      <c r="L34" s="8">
        <f>L35+L37+L39+L41</f>
        <v/>
      </c>
      <c r="M34" s="8">
        <f>M35+M37+M39+M41</f>
        <v/>
      </c>
      <c r="N34" s="8">
        <f>N35+N37+N39+N41</f>
        <v/>
      </c>
      <c r="O34" s="8">
        <f>O35+O37+O39+O41</f>
        <v/>
      </c>
      <c r="P34" s="8">
        <f>SUM(D34:O34)</f>
        <v/>
      </c>
      <c r="Q34" s="8" t="n"/>
    </row>
    <row r="35" hidden="1" outlineLevel="2" ht="12" customHeight="1">
      <c r="A35" s="9" t="inlineStr">
        <is>
          <t xml:space="preserve">    Shared services</t>
        </is>
      </c>
      <c r="B35" s="10" t="n"/>
      <c r="C35" s="10" t="n"/>
      <c r="D35" s="10">
        <f>SUM(D36:D36)</f>
        <v/>
      </c>
      <c r="E35" s="10">
        <f>SUM(E36:E36)</f>
        <v/>
      </c>
      <c r="F35" s="10">
        <f>SUM(F36:F36)</f>
        <v/>
      </c>
      <c r="G35" s="10">
        <f>SUM(G36:G36)</f>
        <v/>
      </c>
      <c r="H35" s="10">
        <f>SUM(H36:H36)</f>
        <v/>
      </c>
      <c r="I35" s="10">
        <f>SUM(I36:I36)</f>
        <v/>
      </c>
      <c r="J35" s="10">
        <f>SUM(J36:J36)</f>
        <v/>
      </c>
      <c r="K35" s="10">
        <f>SUM(K36:K36)</f>
        <v/>
      </c>
      <c r="L35" s="10">
        <f>SUM(L36:L36)</f>
        <v/>
      </c>
      <c r="M35" s="10">
        <f>SUM(M36:M36)</f>
        <v/>
      </c>
      <c r="N35" s="10">
        <f>SUM(N36:N36)</f>
        <v/>
      </c>
      <c r="O35" s="10">
        <f>SUM(O36:O36)</f>
        <v/>
      </c>
      <c r="P35" s="10">
        <f>SUM(D35:O35)</f>
        <v/>
      </c>
      <c r="Q35" s="10" t="inlineStr">
        <is>
          <t>-&gt;</t>
        </is>
      </c>
    </row>
    <row r="36" hidden="1" outlineLevel="3" ht="12" customHeight="1">
      <c r="A36" t="inlineStr">
        <is>
          <t xml:space="preserve">      SHAREDSERVICESSL</t>
        </is>
      </c>
      <c r="B36" s="4" t="n"/>
      <c r="C36" s="4" t="n"/>
      <c r="D36" s="4">
        <f>SUMIFS('g-expenses-ltd'!$K:$K,'g-expenses-ltd'!$A:$A,D$1,'g-expenses-ltd'!$D:$D,"shared_services",'g-expenses-ltd'!$E:$E,TRIM($A36))</f>
        <v/>
      </c>
      <c r="E36" s="4">
        <f>SUMIFS('g-expenses-ltd'!$K:$K,'g-expenses-ltd'!$A:$A,E$1,'g-expenses-ltd'!$D:$D,"shared_services",'g-expenses-ltd'!$E:$E,TRIM($A36))</f>
        <v/>
      </c>
      <c r="F36" s="4">
        <f>SUMIFS('g-expenses-ltd'!$K:$K,'g-expenses-ltd'!$A:$A,F$1,'g-expenses-ltd'!$D:$D,"shared_services",'g-expenses-ltd'!$E:$E,TRIM($A36))</f>
        <v/>
      </c>
      <c r="G36" s="4">
        <f>SUMIFS('g-expenses-ltd'!$K:$K,'g-expenses-ltd'!$A:$A,G$1,'g-expenses-ltd'!$D:$D,"shared_services",'g-expenses-ltd'!$E:$E,TRIM($A36))</f>
        <v/>
      </c>
      <c r="H36" s="4">
        <f>SUMIFS('g-expenses-ltd'!$K:$K,'g-expenses-ltd'!$A:$A,H$1,'g-expenses-ltd'!$D:$D,"shared_services",'g-expenses-ltd'!$E:$E,TRIM($A36))</f>
        <v/>
      </c>
      <c r="I36" s="4">
        <f>SUMIFS('g-expenses-ltd'!$K:$K,'g-expenses-ltd'!$A:$A,I$1,'g-expenses-ltd'!$D:$D,"shared_services",'g-expenses-ltd'!$E:$E,TRIM($A36))</f>
        <v/>
      </c>
      <c r="J36" s="4">
        <f>SUMIFS('g-expenses-ltd'!$K:$K,'g-expenses-ltd'!$A:$A,J$1,'g-expenses-ltd'!$D:$D,"shared_services",'g-expenses-ltd'!$E:$E,TRIM($A36))</f>
        <v/>
      </c>
      <c r="K36" s="4">
        <f>SUMIFS('g-expenses-ltd'!$K:$K,'g-expenses-ltd'!$A:$A,K$1,'g-expenses-ltd'!$D:$D,"shared_services",'g-expenses-ltd'!$E:$E,TRIM($A36))</f>
        <v/>
      </c>
      <c r="L36" s="4">
        <f>SUMIFS('g-expenses-ltd'!$K:$K,'g-expenses-ltd'!$A:$A,L$1,'g-expenses-ltd'!$D:$D,"shared_services",'g-expenses-ltd'!$E:$E,TRIM($A36))</f>
        <v/>
      </c>
      <c r="M36" s="4">
        <f>SUMIFS('g-expenses-ltd'!$K:$K,'g-expenses-ltd'!$A:$A,M$1,'g-expenses-ltd'!$D:$D,"shared_services",'g-expenses-ltd'!$E:$E,TRIM($A36))</f>
        <v/>
      </c>
      <c r="N36" s="4">
        <f>SUMIFS('g-expenses-ltd'!$K:$K,'g-expenses-ltd'!$A:$A,N$1,'g-expenses-ltd'!$D:$D,"shared_services",'g-expenses-ltd'!$E:$E,TRIM($A36))</f>
        <v/>
      </c>
      <c r="O36" s="4">
        <f>SUMIFS('g-expenses-ltd'!$K:$K,'g-expenses-ltd'!$A:$A,O$1,'g-expenses-ltd'!$D:$D,"shared_services",'g-expenses-ltd'!$E:$E,TRIM($A36))</f>
        <v/>
      </c>
      <c r="P36" s="4">
        <f>SUM(D36:O36)</f>
        <v/>
      </c>
      <c r="Q36" s="4" t="inlineStr">
        <is>
          <t>-&gt;</t>
        </is>
      </c>
    </row>
    <row r="37" hidden="1" outlineLevel="2" ht="12" customHeight="1">
      <c r="A37" s="9" t="inlineStr">
        <is>
          <t xml:space="preserve">    Administration</t>
        </is>
      </c>
      <c r="B37" s="10" t="n"/>
      <c r="C37" s="10" t="n"/>
      <c r="D37" s="10">
        <f>SUM(D38:D38)</f>
        <v/>
      </c>
      <c r="E37" s="10">
        <f>SUM(E38:E38)</f>
        <v/>
      </c>
      <c r="F37" s="10">
        <f>SUM(F38:F38)</f>
        <v/>
      </c>
      <c r="G37" s="10">
        <f>SUM(G38:G38)</f>
        <v/>
      </c>
      <c r="H37" s="10">
        <f>SUM(H38:H38)</f>
        <v/>
      </c>
      <c r="I37" s="10">
        <f>SUM(I38:I38)</f>
        <v/>
      </c>
      <c r="J37" s="10">
        <f>SUM(J38:J38)</f>
        <v/>
      </c>
      <c r="K37" s="10">
        <f>SUM(K38:K38)</f>
        <v/>
      </c>
      <c r="L37" s="10">
        <f>SUM(L38:L38)</f>
        <v/>
      </c>
      <c r="M37" s="10">
        <f>SUM(M38:M38)</f>
        <v/>
      </c>
      <c r="N37" s="10">
        <f>SUM(N38:N38)</f>
        <v/>
      </c>
      <c r="O37" s="10">
        <f>SUM(O38:O38)</f>
        <v/>
      </c>
      <c r="P37" s="10">
        <f>SUM(D37:O37)</f>
        <v/>
      </c>
      <c r="Q37" s="10" t="inlineStr">
        <is>
          <t>-&gt;</t>
        </is>
      </c>
    </row>
    <row r="38" hidden="1" outlineLevel="3" ht="12" customHeight="1">
      <c r="A38" t="inlineStr">
        <is>
          <t xml:space="preserve">      YOURACCOUNTSTAXES</t>
        </is>
      </c>
      <c r="B38" s="4" t="n"/>
      <c r="C38" s="4" t="n"/>
      <c r="D38" s="4">
        <f>SUMIFS('g-expenses-ltd'!$K:$K,'g-expenses-ltd'!$A:$A,D$1,'g-expenses-ltd'!$D:$D,"administration",'g-expenses-ltd'!$E:$E,TRIM($A38))</f>
        <v/>
      </c>
      <c r="E38" s="4">
        <f>SUMIFS('g-expenses-ltd'!$K:$K,'g-expenses-ltd'!$A:$A,E$1,'g-expenses-ltd'!$D:$D,"administration",'g-expenses-ltd'!$E:$E,TRIM($A38))</f>
        <v/>
      </c>
      <c r="F38" s="4">
        <f>SUMIFS('g-expenses-ltd'!$K:$K,'g-expenses-ltd'!$A:$A,F$1,'g-expenses-ltd'!$D:$D,"administration",'g-expenses-ltd'!$E:$E,TRIM($A38))</f>
        <v/>
      </c>
      <c r="G38" s="4">
        <f>SUMIFS('g-expenses-ltd'!$K:$K,'g-expenses-ltd'!$A:$A,G$1,'g-expenses-ltd'!$D:$D,"administration",'g-expenses-ltd'!$E:$E,TRIM($A38))</f>
        <v/>
      </c>
      <c r="H38" s="4">
        <f>SUMIFS('g-expenses-ltd'!$K:$K,'g-expenses-ltd'!$A:$A,H$1,'g-expenses-ltd'!$D:$D,"administration",'g-expenses-ltd'!$E:$E,TRIM($A38))</f>
        <v/>
      </c>
      <c r="I38" s="4">
        <f>SUMIFS('g-expenses-ltd'!$K:$K,'g-expenses-ltd'!$A:$A,I$1,'g-expenses-ltd'!$D:$D,"administration",'g-expenses-ltd'!$E:$E,TRIM($A38))</f>
        <v/>
      </c>
      <c r="J38" s="4">
        <f>SUMIFS('g-expenses-ltd'!$K:$K,'g-expenses-ltd'!$A:$A,J$1,'g-expenses-ltd'!$D:$D,"administration",'g-expenses-ltd'!$E:$E,TRIM($A38))</f>
        <v/>
      </c>
      <c r="K38" s="4">
        <f>SUMIFS('g-expenses-ltd'!$K:$K,'g-expenses-ltd'!$A:$A,K$1,'g-expenses-ltd'!$D:$D,"administration",'g-expenses-ltd'!$E:$E,TRIM($A38))</f>
        <v/>
      </c>
      <c r="L38" s="4">
        <f>SUMIFS('g-expenses-ltd'!$K:$K,'g-expenses-ltd'!$A:$A,L$1,'g-expenses-ltd'!$D:$D,"administration",'g-expenses-ltd'!$E:$E,TRIM($A38))</f>
        <v/>
      </c>
      <c r="M38" s="4">
        <f>SUMIFS('g-expenses-ltd'!$K:$K,'g-expenses-ltd'!$A:$A,M$1,'g-expenses-ltd'!$D:$D,"administration",'g-expenses-ltd'!$E:$E,TRIM($A38))</f>
        <v/>
      </c>
      <c r="N38" s="4">
        <f>SUMIFS('g-expenses-ltd'!$K:$K,'g-expenses-ltd'!$A:$A,N$1,'g-expenses-ltd'!$D:$D,"administration",'g-expenses-ltd'!$E:$E,TRIM($A38))</f>
        <v/>
      </c>
      <c r="O38" s="4">
        <f>SUMIFS('g-expenses-ltd'!$K:$K,'g-expenses-ltd'!$A:$A,O$1,'g-expenses-ltd'!$D:$D,"administration",'g-expenses-ltd'!$E:$E,TRIM($A38))</f>
        <v/>
      </c>
      <c r="P38" s="4">
        <f>SUM(D38:O38)</f>
        <v/>
      </c>
      <c r="Q38" s="4" t="inlineStr">
        <is>
          <t>-&gt;</t>
        </is>
      </c>
    </row>
    <row r="39" hidden="1" outlineLevel="2" ht="12" customHeight="1">
      <c r="A39" s="9" t="inlineStr">
        <is>
          <t xml:space="preserve">    Technology</t>
        </is>
      </c>
      <c r="B39" s="10" t="n"/>
      <c r="C39" s="10" t="n"/>
      <c r="D39" s="10">
        <f>SUM(D40:D40)</f>
        <v/>
      </c>
      <c r="E39" s="10">
        <f>SUM(E40:E40)</f>
        <v/>
      </c>
      <c r="F39" s="10">
        <f>SUM(F40:F40)</f>
        <v/>
      </c>
      <c r="G39" s="10">
        <f>SUM(G40:G40)</f>
        <v/>
      </c>
      <c r="H39" s="10">
        <f>SUM(H40:H40)</f>
        <v/>
      </c>
      <c r="I39" s="10">
        <f>SUM(I40:I40)</f>
        <v/>
      </c>
      <c r="J39" s="10">
        <f>SUM(J40:J40)</f>
        <v/>
      </c>
      <c r="K39" s="10">
        <f>SUM(K40:K40)</f>
        <v/>
      </c>
      <c r="L39" s="10">
        <f>SUM(L40:L40)</f>
        <v/>
      </c>
      <c r="M39" s="10">
        <f>SUM(M40:M40)</f>
        <v/>
      </c>
      <c r="N39" s="10">
        <f>SUM(N40:N40)</f>
        <v/>
      </c>
      <c r="O39" s="10">
        <f>SUM(O40:O40)</f>
        <v/>
      </c>
      <c r="P39" s="10">
        <f>SUM(D39:O39)</f>
        <v/>
      </c>
      <c r="Q39" s="10" t="inlineStr">
        <is>
          <t>-&gt;</t>
        </is>
      </c>
    </row>
    <row r="40" hidden="1" outlineLevel="3" ht="12" customHeight="1">
      <c r="A40" t="inlineStr">
        <is>
          <t xml:space="preserve">      REVER</t>
        </is>
      </c>
      <c r="B40" s="4" t="n"/>
      <c r="C40" s="4" t="n"/>
      <c r="D40" s="4">
        <f>SUMIFS('g-expenses-ltd'!$K:$K,'g-expenses-ltd'!$A:$A,D$1,'g-expenses-ltd'!$D:$D,"technology",'g-expenses-ltd'!$E:$E,TRIM($A40))</f>
        <v/>
      </c>
      <c r="E40" s="4">
        <f>SUMIFS('g-expenses-ltd'!$K:$K,'g-expenses-ltd'!$A:$A,E$1,'g-expenses-ltd'!$D:$D,"technology",'g-expenses-ltd'!$E:$E,TRIM($A40))</f>
        <v/>
      </c>
      <c r="F40" s="4">
        <f>SUMIFS('g-expenses-ltd'!$K:$K,'g-expenses-ltd'!$A:$A,F$1,'g-expenses-ltd'!$D:$D,"technology",'g-expenses-ltd'!$E:$E,TRIM($A40))</f>
        <v/>
      </c>
      <c r="G40" s="4">
        <f>SUMIFS('g-expenses-ltd'!$K:$K,'g-expenses-ltd'!$A:$A,G$1,'g-expenses-ltd'!$D:$D,"technology",'g-expenses-ltd'!$E:$E,TRIM($A40))</f>
        <v/>
      </c>
      <c r="H40" s="4">
        <f>SUMIFS('g-expenses-ltd'!$K:$K,'g-expenses-ltd'!$A:$A,H$1,'g-expenses-ltd'!$D:$D,"technology",'g-expenses-ltd'!$E:$E,TRIM($A40))</f>
        <v/>
      </c>
      <c r="I40" s="4">
        <f>SUMIFS('g-expenses-ltd'!$K:$K,'g-expenses-ltd'!$A:$A,I$1,'g-expenses-ltd'!$D:$D,"technology",'g-expenses-ltd'!$E:$E,TRIM($A40))</f>
        <v/>
      </c>
      <c r="J40" s="4">
        <f>SUMIFS('g-expenses-ltd'!$K:$K,'g-expenses-ltd'!$A:$A,J$1,'g-expenses-ltd'!$D:$D,"technology",'g-expenses-ltd'!$E:$E,TRIM($A40))</f>
        <v/>
      </c>
      <c r="K40" s="4">
        <f>SUMIFS('g-expenses-ltd'!$K:$K,'g-expenses-ltd'!$A:$A,K$1,'g-expenses-ltd'!$D:$D,"technology",'g-expenses-ltd'!$E:$E,TRIM($A40))</f>
        <v/>
      </c>
      <c r="L40" s="4">
        <f>SUMIFS('g-expenses-ltd'!$K:$K,'g-expenses-ltd'!$A:$A,L$1,'g-expenses-ltd'!$D:$D,"technology",'g-expenses-ltd'!$E:$E,TRIM($A40))</f>
        <v/>
      </c>
      <c r="M40" s="4">
        <f>SUMIFS('g-expenses-ltd'!$K:$K,'g-expenses-ltd'!$A:$A,M$1,'g-expenses-ltd'!$D:$D,"technology",'g-expenses-ltd'!$E:$E,TRIM($A40))</f>
        <v/>
      </c>
      <c r="N40" s="4">
        <f>SUMIFS('g-expenses-ltd'!$K:$K,'g-expenses-ltd'!$A:$A,N$1,'g-expenses-ltd'!$D:$D,"technology",'g-expenses-ltd'!$E:$E,TRIM($A40))</f>
        <v/>
      </c>
      <c r="O40" s="4">
        <f>SUMIFS('g-expenses-ltd'!$K:$K,'g-expenses-ltd'!$A:$A,O$1,'g-expenses-ltd'!$D:$D,"technology",'g-expenses-ltd'!$E:$E,TRIM($A40))</f>
        <v/>
      </c>
      <c r="P40" s="4">
        <f>SUM(D40:O40)</f>
        <v/>
      </c>
      <c r="Q40" s="4" t="inlineStr">
        <is>
          <t>-&gt;</t>
        </is>
      </c>
    </row>
    <row r="41" hidden="1" outlineLevel="2" ht="12" customHeight="1">
      <c r="A41" s="9" t="inlineStr">
        <is>
          <t xml:space="preserve">    Uncategorized Expenses</t>
        </is>
      </c>
      <c r="B41" s="10" t="n"/>
      <c r="C41" s="10" t="n"/>
      <c r="D41" s="10">
        <f>SUMIFS('g-expenses-ltd'!$K:$K,'g-expenses-ltd'!$A:$A,D$1,'g-expenses-ltd'!$D:$D,"otros_gastos")</f>
        <v/>
      </c>
      <c r="E41" s="10">
        <f>SUMIFS('g-expenses-ltd'!$K:$K,'g-expenses-ltd'!$A:$A,E$1,'g-expenses-ltd'!$D:$D,"otros_gastos")</f>
        <v/>
      </c>
      <c r="F41" s="10">
        <f>SUMIFS('g-expenses-ltd'!$K:$K,'g-expenses-ltd'!$A:$A,F$1,'g-expenses-ltd'!$D:$D,"otros_gastos")</f>
        <v/>
      </c>
      <c r="G41" s="10">
        <f>SUMIFS('g-expenses-ltd'!$K:$K,'g-expenses-ltd'!$A:$A,G$1,'g-expenses-ltd'!$D:$D,"otros_gastos")</f>
        <v/>
      </c>
      <c r="H41" s="10">
        <f>SUMIFS('g-expenses-ltd'!$K:$K,'g-expenses-ltd'!$A:$A,H$1,'g-expenses-ltd'!$D:$D,"otros_gastos")</f>
        <v/>
      </c>
      <c r="I41" s="10">
        <f>SUMIFS('g-expenses-ltd'!$K:$K,'g-expenses-ltd'!$A:$A,I$1,'g-expenses-ltd'!$D:$D,"otros_gastos")</f>
        <v/>
      </c>
      <c r="J41" s="10">
        <f>SUMIFS('g-expenses-ltd'!$K:$K,'g-expenses-ltd'!$A:$A,J$1,'g-expenses-ltd'!$D:$D,"otros_gastos")</f>
        <v/>
      </c>
      <c r="K41" s="10">
        <f>SUMIFS('g-expenses-ltd'!$K:$K,'g-expenses-ltd'!$A:$A,K$1,'g-expenses-ltd'!$D:$D,"otros_gastos")</f>
        <v/>
      </c>
      <c r="L41" s="10">
        <f>SUMIFS('g-expenses-ltd'!$K:$K,'g-expenses-ltd'!$A:$A,L$1,'g-expenses-ltd'!$D:$D,"otros_gastos")</f>
        <v/>
      </c>
      <c r="M41" s="10">
        <f>SUMIFS('g-expenses-ltd'!$K:$K,'g-expenses-ltd'!$A:$A,M$1,'g-expenses-ltd'!$D:$D,"otros_gastos")</f>
        <v/>
      </c>
      <c r="N41" s="10">
        <f>SUMIFS('g-expenses-ltd'!$K:$K,'g-expenses-ltd'!$A:$A,N$1,'g-expenses-ltd'!$D:$D,"otros_gastos")</f>
        <v/>
      </c>
      <c r="O41" s="10">
        <f>SUMIFS('g-expenses-ltd'!$K:$K,'g-expenses-ltd'!$A:$A,O$1,'g-expenses-ltd'!$D:$D,"otros_gastos")</f>
        <v/>
      </c>
      <c r="P41" s="10">
        <f>SUM(D41:O41)</f>
        <v/>
      </c>
      <c r="Q41" s="10" t="inlineStr">
        <is>
          <t>-&gt;</t>
        </is>
      </c>
    </row>
    <row r="42" hidden="1" outlineLevel="2" ht="12" customHeight="1">
      <c r="A42" s="9" t="inlineStr">
        <is>
          <t xml:space="preserve">  Currency Adjustment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>
        <f>SUM(D42:O42)</f>
        <v/>
      </c>
      <c r="Q42" s="10" t="n"/>
    </row>
    <row r="43" ht="12" customHeight="1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>
        <f>SUM(D43:O43)</f>
        <v/>
      </c>
      <c r="Q43" s="4" t="n"/>
    </row>
    <row r="44" ht="12" customHeight="1">
      <c r="A44" s="13" t="inlineStr">
        <is>
          <t>PROFIT</t>
        </is>
      </c>
      <c r="B44" s="14" t="n"/>
      <c r="C44" s="14" t="n"/>
      <c r="D44" s="14">
        <f>D4-D12-D34-D42</f>
        <v/>
      </c>
      <c r="E44" s="14">
        <f>E4-E12-E34-E42</f>
        <v/>
      </c>
      <c r="F44" s="14">
        <f>F4-F12-F34-F42</f>
        <v/>
      </c>
      <c r="G44" s="14">
        <f>G4-G12-G34-G42</f>
        <v/>
      </c>
      <c r="H44" s="14">
        <f>H4-H12-H34-H42</f>
        <v/>
      </c>
      <c r="I44" s="14">
        <f>I4-I12-I34-I42</f>
        <v/>
      </c>
      <c r="J44" s="14">
        <f>J4-J12-J34-J42</f>
        <v/>
      </c>
      <c r="K44" s="14">
        <f>K4-K12-K34-K42</f>
        <v/>
      </c>
      <c r="L44" s="14">
        <f>L4-L12-L34-L42</f>
        <v/>
      </c>
      <c r="M44" s="14">
        <f>M4-M12-M34-M42</f>
        <v/>
      </c>
      <c r="N44" s="14">
        <f>N4-N12-N34-N42</f>
        <v/>
      </c>
      <c r="O44" s="14">
        <f>O4-O12-O34-O42</f>
        <v/>
      </c>
      <c r="P44" s="14">
        <f>SUM(D44:O44)</f>
        <v/>
      </c>
      <c r="Q44" s="14" t="n"/>
    </row>
    <row r="45" hidden="1" outlineLevel="1" ht="12" customHeight="1">
      <c r="A45" s="3" t="inlineStr">
        <is>
          <t>% profit / product sales</t>
        </is>
      </c>
      <c r="B45" s="11" t="n"/>
      <c r="C45" s="11" t="n"/>
      <c r="D45" s="11">
        <f>IFERROR(D44/D5,0)</f>
        <v/>
      </c>
      <c r="E45" s="11">
        <f>IFERROR(E44/E5,0)</f>
        <v/>
      </c>
      <c r="F45" s="11">
        <f>IFERROR(F44/F5,0)</f>
        <v/>
      </c>
      <c r="G45" s="11">
        <f>IFERROR(G44/G5,0)</f>
        <v/>
      </c>
      <c r="H45" s="11">
        <f>IFERROR(H44/H5,0)</f>
        <v/>
      </c>
      <c r="I45" s="11">
        <f>IFERROR(I44/I5,0)</f>
        <v/>
      </c>
      <c r="J45" s="11">
        <f>IFERROR(J44/J5,0)</f>
        <v/>
      </c>
      <c r="K45" s="11">
        <f>IFERROR(K44/K5,0)</f>
        <v/>
      </c>
      <c r="L45" s="11">
        <f>IFERROR(L44/L5,0)</f>
        <v/>
      </c>
      <c r="M45" s="11">
        <f>IFERROR(M44/M5,0)</f>
        <v/>
      </c>
      <c r="N45" s="11">
        <f>IFERROR(N44/N5,0)</f>
        <v/>
      </c>
      <c r="O45" s="11">
        <f>IFERROR(O44/O5,0)</f>
        <v/>
      </c>
      <c r="P45" s="11">
        <f>IFERROR(P44/P5,0)</f>
        <v/>
      </c>
      <c r="Q45" s="11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15" t="inlineStr">
        <is>
          <t>Stock inicial marcos</t>
        </is>
      </c>
      <c r="B47" s="4" t="n"/>
      <c r="C47" s="4" t="n"/>
      <c r="D47" s="4" t="n">
        <v>7471.59</v>
      </c>
      <c r="E47" s="4" t="n">
        <v>13032.64</v>
      </c>
      <c r="F47" s="4" t="n">
        <v>10643.86</v>
      </c>
      <c r="G47" s="4" t="n">
        <v>19745.79</v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>
        <f>SUM(D47:O47)</f>
        <v/>
      </c>
      <c r="Q47" s="4" t="n"/>
    </row>
    <row r="48">
      <c r="A48" s="15" t="inlineStr">
        <is>
          <t>Stock final marcos</t>
        </is>
      </c>
      <c r="B48" s="4" t="n"/>
      <c r="C48" s="4" t="n"/>
      <c r="D48" s="4" t="n">
        <v>13032.64</v>
      </c>
      <c r="E48" s="4" t="n">
        <v>10643.86</v>
      </c>
      <c r="F48" s="4" t="n">
        <v>19745.79</v>
      </c>
      <c r="G48" s="4" t="n">
        <v>19460.97</v>
      </c>
      <c r="H48" s="4" t="n"/>
      <c r="I48" s="4" t="n"/>
      <c r="J48" s="4" t="n"/>
      <c r="K48" s="4" t="n"/>
      <c r="L48" s="4" t="n"/>
      <c r="M48" s="4" t="n"/>
      <c r="N48" s="4" t="n"/>
      <c r="O48" s="4" t="n"/>
      <c r="P48" s="4">
        <f>SUM(D48:O48)</f>
        <v/>
      </c>
      <c r="Q48" s="4" t="n"/>
    </row>
  </sheetData>
  <mergeCells count="2">
    <mergeCell ref="A3:C3"/>
    <mergeCell ref="A2:C2"/>
  </mergeCells>
  <hyperlinks>
    <hyperlink ref="Q6" location="'i-shopify-ltd'!A1" display="-&gt;"/>
    <hyperlink ref="Q7" location="'i-shopify-ltd'!A1" display="-&gt;"/>
    <hyperlink ref="Q13" location="'g-expenses-ltd'!A1" display="-&gt;"/>
    <hyperlink ref="Q14" location="'g-expenses-ltd'!A1" display="-&gt;"/>
    <hyperlink ref="Q19" location="'g-expenses-ltd'!A1" display="-&gt;"/>
    <hyperlink ref="Q20" location="'g-expenses-ltd'!A1" display="-&gt;"/>
    <hyperlink ref="Q23" location="'g-payment-fees-ltd'!A1" display="-&gt;"/>
    <hyperlink ref="Q24" location="'g-payment-fees-ltd'!A1" display="-&gt;"/>
    <hyperlink ref="Q35" location="'g-expenses-ltd'!A1" display="-&gt;"/>
    <hyperlink ref="Q36" location="'g-expenses-ltd'!A1" display="-&gt;"/>
    <hyperlink ref="Q37" location="'g-expenses-ltd'!A1" display="-&gt;"/>
    <hyperlink ref="Q38" location="'g-expenses-ltd'!A1" display="-&gt;"/>
    <hyperlink ref="Q39" location="'g-expenses-ltd'!A1" display="-&gt;"/>
    <hyperlink ref="Q40" location="'g-expenses-ltd'!A1" display="-&gt;"/>
    <hyperlink ref="Q41" location="'g-expenses-ltd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key</t>
        </is>
      </c>
      <c r="B2" s="17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LTD</t>
        </is>
      </c>
    </row>
    <row r="4" ht="12" customHeight="1">
      <c r="A4" t="inlineStr">
        <is>
          <t>reporting_currency</t>
        </is>
      </c>
      <c r="B4" t="inlineStr">
        <is>
          <t>GBP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2026-04-10T10:53:47Z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line_item</t>
        </is>
      </c>
      <c r="D2" s="17" t="inlineStr">
        <is>
          <t>detail</t>
        </is>
      </c>
      <c r="E2" s="17" t="inlineStr">
        <is>
          <t>amount_original</t>
        </is>
      </c>
      <c r="F2" s="17" t="inlineStr">
        <is>
          <t>currency_original</t>
        </is>
      </c>
      <c r="G2" s="17" t="inlineStr">
        <is>
          <t>reporting_currency</t>
        </is>
      </c>
      <c r="H2" s="17" t="inlineStr">
        <is>
          <t>fx_rate</t>
        </is>
      </c>
      <c r="I2" s="17" t="inlineStr">
        <is>
          <t>amount_reporting</t>
        </is>
      </c>
      <c r="J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GB</t>
        </is>
      </c>
      <c r="D3" t="inlineStr">
        <is>
          <t>GB</t>
        </is>
      </c>
      <c r="E3" s="4" t="n">
        <v>15702.66</v>
      </c>
      <c r="F3" t="inlineStr">
        <is>
          <t>GBP</t>
        </is>
      </c>
      <c r="G3" t="inlineStr">
        <is>
          <t>GBP</t>
        </is>
      </c>
      <c r="H3" s="18" t="n">
        <v>1</v>
      </c>
      <c r="I3" s="4" t="n">
        <v>15702.66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GB</t>
        </is>
      </c>
      <c r="D4" t="inlineStr">
        <is>
          <t>GB</t>
        </is>
      </c>
      <c r="E4" s="4" t="n">
        <v>19429.25</v>
      </c>
      <c r="F4" t="inlineStr">
        <is>
          <t>GBP</t>
        </is>
      </c>
      <c r="G4" t="inlineStr">
        <is>
          <t>GBP</t>
        </is>
      </c>
      <c r="H4" s="18" t="n">
        <v>1</v>
      </c>
      <c r="I4" s="4" t="n">
        <v>19429.25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GB</t>
        </is>
      </c>
      <c r="D5" t="inlineStr">
        <is>
          <t>GB</t>
        </is>
      </c>
      <c r="E5" s="4" t="n">
        <v>22362.26</v>
      </c>
      <c r="F5" t="inlineStr">
        <is>
          <t>GBP</t>
        </is>
      </c>
      <c r="G5" t="inlineStr">
        <is>
          <t>GBP</t>
        </is>
      </c>
      <c r="H5" s="18" t="n">
        <v>1</v>
      </c>
      <c r="I5" s="4" t="n">
        <v>22362.26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GB</t>
        </is>
      </c>
      <c r="D6" t="inlineStr">
        <is>
          <t>GB</t>
        </is>
      </c>
      <c r="E6" s="4" t="n">
        <v>5572.05</v>
      </c>
      <c r="F6" t="inlineStr">
        <is>
          <t>GBP</t>
        </is>
      </c>
      <c r="G6" t="inlineStr">
        <is>
          <t>GBP</t>
        </is>
      </c>
      <c r="H6" s="18" t="n">
        <v>1</v>
      </c>
      <c r="I6" s="4" t="n">
        <v>5572.05</v>
      </c>
      <c r="J6" t="inlineStr">
        <is>
          <t>finance.ventas_pyg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category</t>
        </is>
      </c>
      <c r="D2" s="17" t="inlineStr">
        <is>
          <t>subcategory</t>
        </is>
      </c>
      <c r="E2" s="17" t="inlineStr">
        <is>
          <t>supplier_code</t>
        </is>
      </c>
      <c r="F2" s="17" t="inlineStr">
        <is>
          <t>detail</t>
        </is>
      </c>
      <c r="G2" s="17" t="inlineStr">
        <is>
          <t>amount_original</t>
        </is>
      </c>
      <c r="H2" s="17" t="inlineStr">
        <is>
          <t>currency_original</t>
        </is>
      </c>
      <c r="I2" s="17" t="inlineStr">
        <is>
          <t>reporting_currency</t>
        </is>
      </c>
      <c r="J2" s="17" t="inlineStr">
        <is>
          <t>fx_rate</t>
        </is>
      </c>
      <c r="K2" s="17" t="inlineStr">
        <is>
          <t>amount_reporting</t>
        </is>
      </c>
      <c r="L2" s="17" t="inlineStr">
        <is>
          <t>source</t>
        </is>
      </c>
      <c r="M2" s="17" t="inlineStr">
        <is>
          <t>invoice_number</t>
        </is>
      </c>
      <c r="N2" s="17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cogs</t>
        </is>
      </c>
      <c r="D3" t="inlineStr">
        <is>
          <t>manufacturing</t>
        </is>
      </c>
      <c r="E3" t="inlineStr">
        <is>
          <t>JONDO</t>
        </is>
      </c>
      <c r="F3" t="inlineStr">
        <is>
          <t>manufacturing</t>
        </is>
      </c>
      <c r="G3" s="4" t="n">
        <v>44.06</v>
      </c>
      <c r="H3" t="inlineStr">
        <is>
          <t>USD</t>
        </is>
      </c>
      <c r="I3" t="inlineStr">
        <is>
          <t>GBP</t>
        </is>
      </c>
      <c r="J3" s="18" t="n">
        <v>0.72673882</v>
      </c>
      <c r="K3" s="4" t="n">
        <v>32.02</v>
      </c>
      <c r="L3" t="inlineStr">
        <is>
          <t>documents</t>
        </is>
      </c>
      <c r="M3" s="19" t="inlineStr">
        <is>
          <t>AS-94763</t>
        </is>
      </c>
      <c r="N3" t="inlineStr">
        <is>
          <t>https://drive.google.com/file/d/1cTgaMj9sTIzsq-u1jiYa5Er28IMK1dZU/view?usp=drivesdk</t>
        </is>
      </c>
    </row>
    <row r="4" ht="12" customHeight="1">
      <c r="A4" t="inlineStr">
        <is>
          <t>202601</t>
        </is>
      </c>
      <c r="B4" t="inlineStr">
        <is>
          <t>LTD</t>
        </is>
      </c>
      <c r="C4" t="inlineStr">
        <is>
          <t>cogs</t>
        </is>
      </c>
      <c r="D4" t="inlineStr">
        <is>
          <t>manufacturing</t>
        </is>
      </c>
      <c r="E4" t="inlineStr">
        <is>
          <t>JONDO</t>
        </is>
      </c>
      <c r="F4" t="inlineStr">
        <is>
          <t>manufacturing</t>
        </is>
      </c>
      <c r="G4" s="4" t="n">
        <v>36.41</v>
      </c>
      <c r="H4" t="inlineStr">
        <is>
          <t>USD</t>
        </is>
      </c>
      <c r="I4" t="inlineStr">
        <is>
          <t>GBP</t>
        </is>
      </c>
      <c r="J4" s="18" t="n">
        <v>0.72673882</v>
      </c>
      <c r="K4" s="4" t="n">
        <v>26.46</v>
      </c>
      <c r="L4" t="inlineStr">
        <is>
          <t>documents</t>
        </is>
      </c>
      <c r="M4" s="19" t="inlineStr">
        <is>
          <t>AS-94832</t>
        </is>
      </c>
      <c r="N4" t="inlineStr">
        <is>
          <t>https://drive.google.com/file/d/1oIxZGoxdpgPeDPb-AglCjV1eQY29eNxQ/view?usp=drivesdk</t>
        </is>
      </c>
    </row>
    <row r="5" ht="12" customHeight="1">
      <c r="A5" t="inlineStr">
        <is>
          <t>202601</t>
        </is>
      </c>
      <c r="B5" t="inlineStr">
        <is>
          <t>LTD</t>
        </is>
      </c>
      <c r="C5" t="inlineStr">
        <is>
          <t>cogs</t>
        </is>
      </c>
      <c r="D5" t="inlineStr">
        <is>
          <t>manufacturing</t>
        </is>
      </c>
      <c r="E5" t="inlineStr">
        <is>
          <t>JONDO</t>
        </is>
      </c>
      <c r="F5" t="inlineStr">
        <is>
          <t>manufacturing</t>
        </is>
      </c>
      <c r="G5" s="4" t="n">
        <v>50.72</v>
      </c>
      <c r="H5" t="inlineStr">
        <is>
          <t>USD</t>
        </is>
      </c>
      <c r="I5" t="inlineStr">
        <is>
          <t>GBP</t>
        </is>
      </c>
      <c r="J5" s="18" t="n">
        <v>0.72673882</v>
      </c>
      <c r="K5" s="4" t="n">
        <v>36.86</v>
      </c>
      <c r="L5" t="inlineStr">
        <is>
          <t>documents</t>
        </is>
      </c>
      <c r="M5" s="19" t="inlineStr">
        <is>
          <t>AS-95021</t>
        </is>
      </c>
      <c r="N5" t="inlineStr">
        <is>
          <t>https://drive.google.com/file/d/1sld1KDeg28NmlMctYu0WHfY-5pVcNNTk/view?usp=drivesdk</t>
        </is>
      </c>
    </row>
    <row r="6" ht="12" customHeight="1">
      <c r="A6" t="inlineStr">
        <is>
          <t>202601</t>
        </is>
      </c>
      <c r="B6" t="inlineStr">
        <is>
          <t>LTD</t>
        </is>
      </c>
      <c r="C6" t="inlineStr">
        <is>
          <t>cogs</t>
        </is>
      </c>
      <c r="D6" t="inlineStr">
        <is>
          <t>manufacturing</t>
        </is>
      </c>
      <c r="E6" t="inlineStr">
        <is>
          <t>JONDO</t>
        </is>
      </c>
      <c r="F6" t="inlineStr">
        <is>
          <t>manufacturing</t>
        </is>
      </c>
      <c r="G6" s="4" t="n">
        <v>93.04000000000001</v>
      </c>
      <c r="H6" t="inlineStr">
        <is>
          <t>USD</t>
        </is>
      </c>
      <c r="I6" t="inlineStr">
        <is>
          <t>GBP</t>
        </is>
      </c>
      <c r="J6" s="18" t="n">
        <v>0.72673882</v>
      </c>
      <c r="K6" s="4" t="n">
        <v>67.62</v>
      </c>
      <c r="L6" t="inlineStr">
        <is>
          <t>documents</t>
        </is>
      </c>
      <c r="M6" s="19" t="inlineStr">
        <is>
          <t>AS-95024</t>
        </is>
      </c>
      <c r="N6" t="inlineStr">
        <is>
          <t>https://drive.google.com/file/d/1L7ZoeAFj0k4DrjcJkiRFm52nrtXOGnjy/view?usp=drivesdk</t>
        </is>
      </c>
    </row>
    <row r="7" ht="12" customHeight="1">
      <c r="A7" t="inlineStr">
        <is>
          <t>202601</t>
        </is>
      </c>
      <c r="B7" t="inlineStr">
        <is>
          <t>LTD</t>
        </is>
      </c>
      <c r="C7" t="inlineStr">
        <is>
          <t>cogs</t>
        </is>
      </c>
      <c r="D7" t="inlineStr">
        <is>
          <t>manufacturing</t>
        </is>
      </c>
      <c r="E7" t="inlineStr">
        <is>
          <t>JONDO</t>
        </is>
      </c>
      <c r="F7" t="inlineStr">
        <is>
          <t>manufacturing</t>
        </is>
      </c>
      <c r="G7" s="4" t="n">
        <v>42.06</v>
      </c>
      <c r="H7" t="inlineStr">
        <is>
          <t>USD</t>
        </is>
      </c>
      <c r="I7" t="inlineStr">
        <is>
          <t>GBP</t>
        </is>
      </c>
      <c r="J7" s="18" t="n">
        <v>0.72673882</v>
      </c>
      <c r="K7" s="4" t="n">
        <v>30.57</v>
      </c>
      <c r="L7" t="inlineStr">
        <is>
          <t>documents</t>
        </is>
      </c>
      <c r="M7" s="19" t="inlineStr">
        <is>
          <t>AS-95158</t>
        </is>
      </c>
      <c r="N7" t="inlineStr">
        <is>
          <t>https://drive.google.com/file/d/13ZHbIuhsN15tZ6BY8ILwdOryQBL8Fjpq/view?usp=drivesdk</t>
        </is>
      </c>
    </row>
    <row r="8" ht="12" customHeight="1">
      <c r="A8" t="inlineStr">
        <is>
          <t>202601</t>
        </is>
      </c>
      <c r="B8" t="inlineStr">
        <is>
          <t>LTD</t>
        </is>
      </c>
      <c r="C8" t="inlineStr">
        <is>
          <t>cogs</t>
        </is>
      </c>
      <c r="D8" t="inlineStr">
        <is>
          <t>manufacturing</t>
        </is>
      </c>
      <c r="E8" t="inlineStr">
        <is>
          <t>JONDO</t>
        </is>
      </c>
      <c r="F8" t="inlineStr">
        <is>
          <t>manufacturing</t>
        </is>
      </c>
      <c r="G8" s="4" t="n">
        <v>143.2</v>
      </c>
      <c r="H8" t="inlineStr">
        <is>
          <t>USD</t>
        </is>
      </c>
      <c r="I8" t="inlineStr">
        <is>
          <t>GBP</t>
        </is>
      </c>
      <c r="J8" s="18" t="n">
        <v>0.72673882</v>
      </c>
      <c r="K8" s="4" t="n">
        <v>104.07</v>
      </c>
      <c r="L8" t="inlineStr">
        <is>
          <t>documents</t>
        </is>
      </c>
      <c r="M8" s="19" t="inlineStr">
        <is>
          <t>AS-95275</t>
        </is>
      </c>
      <c r="N8" t="inlineStr">
        <is>
          <t>https://drive.google.com/file/d/1y_RFAjzt2Mv7iUalA1-JR_xB9KsErUvb/view?usp=drivesdk</t>
        </is>
      </c>
    </row>
    <row r="9" ht="12" customHeight="1">
      <c r="A9" t="inlineStr">
        <is>
          <t>202601</t>
        </is>
      </c>
      <c r="B9" t="inlineStr">
        <is>
          <t>LTD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15.64</v>
      </c>
      <c r="H9" t="inlineStr">
        <is>
          <t>USD</t>
        </is>
      </c>
      <c r="I9" t="inlineStr">
        <is>
          <t>GBP</t>
        </is>
      </c>
      <c r="J9" s="18" t="n">
        <v>0.72673882</v>
      </c>
      <c r="K9" s="4" t="n">
        <v>11.37</v>
      </c>
      <c r="L9" t="inlineStr">
        <is>
          <t>documents</t>
        </is>
      </c>
      <c r="M9" s="19" t="inlineStr">
        <is>
          <t>AS-95319</t>
        </is>
      </c>
      <c r="N9" t="inlineStr">
        <is>
          <t>https://drive.google.com/file/d/1OyW5YuspPu6miBlQuirvcBZEjyCHCESv/view?usp=drivesdk</t>
        </is>
      </c>
    </row>
    <row r="10" ht="12" customHeight="1">
      <c r="A10" t="inlineStr">
        <is>
          <t>202601</t>
        </is>
      </c>
      <c r="B10" t="inlineStr">
        <is>
          <t>LTD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24.54</v>
      </c>
      <c r="H10" t="inlineStr">
        <is>
          <t>USD</t>
        </is>
      </c>
      <c r="I10" t="inlineStr">
        <is>
          <t>GBP</t>
        </is>
      </c>
      <c r="J10" s="18" t="n">
        <v>0.72673882</v>
      </c>
      <c r="K10" s="4" t="n">
        <v>17.83</v>
      </c>
      <c r="L10" t="inlineStr">
        <is>
          <t>documents</t>
        </is>
      </c>
      <c r="M10" s="19" t="inlineStr">
        <is>
          <t>AS-95383</t>
        </is>
      </c>
      <c r="N10" t="inlineStr">
        <is>
          <t>https://drive.google.com/file/d/1nMW9vfUjHEeOxPMurVPmI2qivgS-jnF9/view?usp=drivesdk</t>
        </is>
      </c>
    </row>
    <row r="11" ht="12" customHeight="1">
      <c r="A11" t="inlineStr">
        <is>
          <t>202601</t>
        </is>
      </c>
      <c r="B11" t="inlineStr">
        <is>
          <t>LTD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93.04000000000001</v>
      </c>
      <c r="H11" t="inlineStr">
        <is>
          <t>USD</t>
        </is>
      </c>
      <c r="I11" t="inlineStr">
        <is>
          <t>GBP</t>
        </is>
      </c>
      <c r="J11" s="18" t="n">
        <v>0.72673882</v>
      </c>
      <c r="K11" s="4" t="n">
        <v>67.62</v>
      </c>
      <c r="L11" t="inlineStr">
        <is>
          <t>documents</t>
        </is>
      </c>
      <c r="M11" s="19" t="inlineStr">
        <is>
          <t>AS-95462</t>
        </is>
      </c>
      <c r="N11" t="inlineStr">
        <is>
          <t>https://drive.google.com/file/d/1BWJbTsvyK62cL9QfpBCxTvKjyCpXo3ni/view?usp=drivesdk</t>
        </is>
      </c>
    </row>
    <row r="12" ht="12" customHeight="1">
      <c r="A12" t="inlineStr">
        <is>
          <t>202601</t>
        </is>
      </c>
      <c r="B12" t="inlineStr">
        <is>
          <t>LTD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93.04000000000001</v>
      </c>
      <c r="H12" t="inlineStr">
        <is>
          <t>USD</t>
        </is>
      </c>
      <c r="I12" t="inlineStr">
        <is>
          <t>GBP</t>
        </is>
      </c>
      <c r="J12" s="18" t="n">
        <v>0.72673882</v>
      </c>
      <c r="K12" s="4" t="n">
        <v>67.62</v>
      </c>
      <c r="L12" t="inlineStr">
        <is>
          <t>documents</t>
        </is>
      </c>
      <c r="M12" s="19" t="inlineStr">
        <is>
          <t>AS-95630</t>
        </is>
      </c>
      <c r="N12" t="inlineStr">
        <is>
          <t>https://drive.google.com/file/d/1T41S4LX4_TpjSsqHL5rijp0du_Xjvz44/view?usp=drivesdk</t>
        </is>
      </c>
    </row>
    <row r="13" ht="12" customHeight="1">
      <c r="A13" t="inlineStr">
        <is>
          <t>202601</t>
        </is>
      </c>
      <c r="B13" t="inlineStr">
        <is>
          <t>LTD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93.04000000000001</v>
      </c>
      <c r="H13" t="inlineStr">
        <is>
          <t>USD</t>
        </is>
      </c>
      <c r="I13" t="inlineStr">
        <is>
          <t>GBP</t>
        </is>
      </c>
      <c r="J13" s="18" t="n">
        <v>0.72673882</v>
      </c>
      <c r="K13" s="4" t="n">
        <v>67.62</v>
      </c>
      <c r="L13" t="inlineStr">
        <is>
          <t>documents</t>
        </is>
      </c>
      <c r="M13" s="19" t="inlineStr">
        <is>
          <t>AS-95636</t>
        </is>
      </c>
      <c r="N13" t="inlineStr">
        <is>
          <t>https://drive.google.com/file/d/1WLRdlpIyyvWA2inP5kzpvap1dktr4RZP/view?usp=drivesdk</t>
        </is>
      </c>
    </row>
    <row r="14" ht="12" customHeight="1">
      <c r="A14" t="inlineStr">
        <is>
          <t>202601</t>
        </is>
      </c>
      <c r="B14" t="inlineStr">
        <is>
          <t>LTD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GBP</t>
        </is>
      </c>
      <c r="J14" s="18" t="n">
        <v>0.72673882</v>
      </c>
      <c r="K14" s="4" t="n">
        <v>26.46</v>
      </c>
      <c r="L14" t="inlineStr">
        <is>
          <t>documents</t>
        </is>
      </c>
      <c r="M14" s="19" t="inlineStr">
        <is>
          <t>AS-95652</t>
        </is>
      </c>
      <c r="N14" t="inlineStr">
        <is>
          <t>https://drive.google.com/file/d/19Ds70MHlzQPyTQGekHEjO8VNnPwfWSnG/view?usp=drivesdk</t>
        </is>
      </c>
    </row>
    <row r="15" ht="12" customHeight="1">
      <c r="A15" t="inlineStr">
        <is>
          <t>202601</t>
        </is>
      </c>
      <c r="B15" t="inlineStr">
        <is>
          <t>LTD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80.88</v>
      </c>
      <c r="H15" t="inlineStr">
        <is>
          <t>USD</t>
        </is>
      </c>
      <c r="I15" t="inlineStr">
        <is>
          <t>GBP</t>
        </is>
      </c>
      <c r="J15" s="18" t="n">
        <v>0.72673882</v>
      </c>
      <c r="K15" s="4" t="n">
        <v>58.78</v>
      </c>
      <c r="L15" t="inlineStr">
        <is>
          <t>documents</t>
        </is>
      </c>
      <c r="M15" s="19" t="inlineStr">
        <is>
          <t>AS-95716</t>
        </is>
      </c>
      <c r="N15" t="inlineStr">
        <is>
          <t>https://drive.google.com/file/d/1zP_ruzDEMP7tcv3xlc2HRJ1_jje-Utwu/view?usp=drivesdk</t>
        </is>
      </c>
    </row>
    <row r="16" ht="12" customHeight="1">
      <c r="A16" t="inlineStr">
        <is>
          <t>202601</t>
        </is>
      </c>
      <c r="B16" t="inlineStr">
        <is>
          <t>LTD</t>
        </is>
      </c>
      <c r="C16" t="inlineStr">
        <is>
          <t>cogs</t>
        </is>
      </c>
      <c r="D16" t="inlineStr">
        <is>
          <t>manufacturing</t>
        </is>
      </c>
      <c r="E16" t="inlineStr">
        <is>
          <t>JONDO</t>
        </is>
      </c>
      <c r="F16" t="inlineStr">
        <is>
          <t>manufacturing</t>
        </is>
      </c>
      <c r="G16" s="4" t="n">
        <v>182.02</v>
      </c>
      <c r="H16" t="inlineStr">
        <is>
          <t>USD</t>
        </is>
      </c>
      <c r="I16" t="inlineStr">
        <is>
          <t>GBP</t>
        </is>
      </c>
      <c r="J16" s="18" t="n">
        <v>0.72673882</v>
      </c>
      <c r="K16" s="4" t="n">
        <v>132.28</v>
      </c>
      <c r="L16" t="inlineStr">
        <is>
          <t>documents</t>
        </is>
      </c>
      <c r="M16" s="19" t="inlineStr">
        <is>
          <t>AS-95748</t>
        </is>
      </c>
      <c r="N16" t="inlineStr">
        <is>
          <t>https://drive.google.com/file/d/12-OnSt4oL9AJCZeW6Nsk-hZU-jeJ1XNx/view?usp=drivesdk</t>
        </is>
      </c>
    </row>
    <row r="17" ht="12" customHeight="1">
      <c r="A17" t="inlineStr">
        <is>
          <t>202601</t>
        </is>
      </c>
      <c r="B17" t="inlineStr">
        <is>
          <t>LTD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JONDO</t>
        </is>
      </c>
      <c r="F17" t="inlineStr">
        <is>
          <t>manufacturing</t>
        </is>
      </c>
      <c r="G17" s="4" t="n">
        <v>20.5</v>
      </c>
      <c r="H17" t="inlineStr">
        <is>
          <t>USD</t>
        </is>
      </c>
      <c r="I17" t="inlineStr">
        <is>
          <t>GBP</t>
        </is>
      </c>
      <c r="J17" s="18" t="n">
        <v>0.72673882</v>
      </c>
      <c r="K17" s="4" t="n">
        <v>14.9</v>
      </c>
      <c r="L17" t="inlineStr">
        <is>
          <t>documents</t>
        </is>
      </c>
      <c r="M17" s="19" t="inlineStr">
        <is>
          <t>AS-95763</t>
        </is>
      </c>
      <c r="N17" t="inlineStr">
        <is>
          <t>https://drive.google.com/file/d/1IqI0DS5TubEqbeiwdZWr2KdJ8A_sB7-7/view?usp=drivesdk</t>
        </is>
      </c>
    </row>
    <row r="18" ht="12" customHeight="1">
      <c r="A18" t="inlineStr">
        <is>
          <t>202601</t>
        </is>
      </c>
      <c r="B18" t="inlineStr">
        <is>
          <t>LTD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JONDO</t>
        </is>
      </c>
      <c r="F18" t="inlineStr">
        <is>
          <t>manufacturing</t>
        </is>
      </c>
      <c r="G18" s="4" t="n">
        <v>15.64</v>
      </c>
      <c r="H18" t="inlineStr">
        <is>
          <t>USD</t>
        </is>
      </c>
      <c r="I18" t="inlineStr">
        <is>
          <t>GBP</t>
        </is>
      </c>
      <c r="J18" s="18" t="n">
        <v>0.72673882</v>
      </c>
      <c r="K18" s="4" t="n">
        <v>11.37</v>
      </c>
      <c r="L18" t="inlineStr">
        <is>
          <t>documents</t>
        </is>
      </c>
      <c r="M18" s="19" t="inlineStr">
        <is>
          <t>AS-95778</t>
        </is>
      </c>
      <c r="N18" t="inlineStr">
        <is>
          <t>https://drive.google.com/file/d/1Wzf_0d27_QQKn09fePaqHmt9lH2L5i1x/view?usp=drivesdk</t>
        </is>
      </c>
    </row>
    <row r="19" ht="12" customHeight="1">
      <c r="A19" t="inlineStr">
        <is>
          <t>202601</t>
        </is>
      </c>
      <c r="B19" t="inlineStr">
        <is>
          <t>LTD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JONDO</t>
        </is>
      </c>
      <c r="F19" t="inlineStr">
        <is>
          <t>manufacturing</t>
        </is>
      </c>
      <c r="G19" s="4" t="n">
        <v>112.44</v>
      </c>
      <c r="H19" t="inlineStr">
        <is>
          <t>USD</t>
        </is>
      </c>
      <c r="I19" t="inlineStr">
        <is>
          <t>GBP</t>
        </is>
      </c>
      <c r="J19" s="18" t="n">
        <v>0.72673882</v>
      </c>
      <c r="K19" s="4" t="n">
        <v>81.70999999999999</v>
      </c>
      <c r="L19" t="inlineStr">
        <is>
          <t>documents</t>
        </is>
      </c>
      <c r="M19" s="19" t="inlineStr">
        <is>
          <t>AS-96078</t>
        </is>
      </c>
      <c r="N19" t="inlineStr">
        <is>
          <t>https://drive.google.com/file/d/1wDNuMLZrYtqaZCEGfLXcbbpdt71O7et-/view?usp=drivesdk</t>
        </is>
      </c>
    </row>
    <row r="20" ht="12" customHeight="1">
      <c r="A20" t="inlineStr">
        <is>
          <t>202601</t>
        </is>
      </c>
      <c r="B20" t="inlineStr">
        <is>
          <t>LTD</t>
        </is>
      </c>
      <c r="C20" t="inlineStr">
        <is>
          <t>cogs</t>
        </is>
      </c>
      <c r="D20" t="inlineStr">
        <is>
          <t>manufacturing</t>
        </is>
      </c>
      <c r="E20" t="inlineStr">
        <is>
          <t>JONDO</t>
        </is>
      </c>
      <c r="F20" t="inlineStr">
        <is>
          <t>manufacturing</t>
        </is>
      </c>
      <c r="G20" s="4" t="n">
        <v>44.06</v>
      </c>
      <c r="H20" t="inlineStr">
        <is>
          <t>USD</t>
        </is>
      </c>
      <c r="I20" t="inlineStr">
        <is>
          <t>GBP</t>
        </is>
      </c>
      <c r="J20" s="18" t="n">
        <v>0.72673882</v>
      </c>
      <c r="K20" s="4" t="n">
        <v>32.02</v>
      </c>
      <c r="L20" t="inlineStr">
        <is>
          <t>documents</t>
        </is>
      </c>
      <c r="M20" s="19" t="inlineStr">
        <is>
          <t>AS-96170</t>
        </is>
      </c>
      <c r="N20" t="inlineStr">
        <is>
          <t>https://drive.google.com/file/d/1VxTsEAT2Y_7gPT8-KktdLPajUlnpmLVI/view?usp=drivesdk</t>
        </is>
      </c>
    </row>
    <row r="21" ht="12" customHeight="1">
      <c r="A21" t="inlineStr">
        <is>
          <t>202601</t>
        </is>
      </c>
      <c r="B21" t="inlineStr">
        <is>
          <t>LTD</t>
        </is>
      </c>
      <c r="C21" t="inlineStr">
        <is>
          <t>cogs</t>
        </is>
      </c>
      <c r="D21" t="inlineStr">
        <is>
          <t>manufacturing</t>
        </is>
      </c>
      <c r="E21" t="inlineStr">
        <is>
          <t>JONDO</t>
        </is>
      </c>
      <c r="F21" t="inlineStr">
        <is>
          <t>manufacturing</t>
        </is>
      </c>
      <c r="G21" s="4" t="n">
        <v>214.8</v>
      </c>
      <c r="H21" t="inlineStr">
        <is>
          <t>USD</t>
        </is>
      </c>
      <c r="I21" t="inlineStr">
        <is>
          <t>GBP</t>
        </is>
      </c>
      <c r="J21" s="18" t="n">
        <v>0.72673882</v>
      </c>
      <c r="K21" s="4" t="n">
        <v>156.1</v>
      </c>
      <c r="L21" t="inlineStr">
        <is>
          <t>documents</t>
        </is>
      </c>
      <c r="M21" s="19" t="inlineStr">
        <is>
          <t>AS-96234</t>
        </is>
      </c>
      <c r="N21" t="inlineStr">
        <is>
          <t>https://drive.google.com/file/d/1Qw1sA5nEwhoQbOW8ZCah4hdcjIt18Wea/view?usp=drivesdk</t>
        </is>
      </c>
    </row>
    <row r="22" ht="12" customHeight="1">
      <c r="A22" t="inlineStr">
        <is>
          <t>202601</t>
        </is>
      </c>
      <c r="B22" t="inlineStr">
        <is>
          <t>LTD</t>
        </is>
      </c>
      <c r="C22" t="inlineStr">
        <is>
          <t>cogs</t>
        </is>
      </c>
      <c r="D22" t="inlineStr">
        <is>
          <t>manufacturing</t>
        </is>
      </c>
      <c r="E22" t="inlineStr">
        <is>
          <t>JONDO</t>
        </is>
      </c>
      <c r="F22" t="inlineStr">
        <is>
          <t>manufacturing</t>
        </is>
      </c>
      <c r="G22" s="4" t="n">
        <v>44.06</v>
      </c>
      <c r="H22" t="inlineStr">
        <is>
          <t>USD</t>
        </is>
      </c>
      <c r="I22" t="inlineStr">
        <is>
          <t>GBP</t>
        </is>
      </c>
      <c r="J22" s="18" t="n">
        <v>0.72673882</v>
      </c>
      <c r="K22" s="4" t="n">
        <v>32.02</v>
      </c>
      <c r="L22" t="inlineStr">
        <is>
          <t>documents</t>
        </is>
      </c>
      <c r="M22" s="19" t="inlineStr">
        <is>
          <t>AS-96246</t>
        </is>
      </c>
      <c r="N22" t="inlineStr">
        <is>
          <t>https://drive.google.com/file/d/14oYKgtEHlw1B4wAMvq3Cy3zHh9FUAcvd/view?usp=drivesdk</t>
        </is>
      </c>
    </row>
    <row r="23" ht="12" customHeight="1">
      <c r="A23" t="inlineStr">
        <is>
          <t>202601</t>
        </is>
      </c>
      <c r="B23" t="inlineStr">
        <is>
          <t>LTD</t>
        </is>
      </c>
      <c r="C23" t="inlineStr">
        <is>
          <t>cogs</t>
        </is>
      </c>
      <c r="D23" t="inlineStr">
        <is>
          <t>manufacturing</t>
        </is>
      </c>
      <c r="E23" t="inlineStr">
        <is>
          <t>JONDO</t>
        </is>
      </c>
      <c r="F23" t="inlineStr">
        <is>
          <t>manufacturing</t>
        </is>
      </c>
      <c r="G23" s="4" t="n">
        <v>20.5</v>
      </c>
      <c r="H23" t="inlineStr">
        <is>
          <t>USD</t>
        </is>
      </c>
      <c r="I23" t="inlineStr">
        <is>
          <t>GBP</t>
        </is>
      </c>
      <c r="J23" s="18" t="n">
        <v>0.72673882</v>
      </c>
      <c r="K23" s="4" t="n">
        <v>14.9</v>
      </c>
      <c r="L23" t="inlineStr">
        <is>
          <t>documents</t>
        </is>
      </c>
      <c r="M23" s="19" t="inlineStr">
        <is>
          <t>AS-96512</t>
        </is>
      </c>
      <c r="N23" t="inlineStr">
        <is>
          <t>https://drive.google.com/file/d/1tZvG8Qkr285pw0p3UVP_4nrHb55TEnad/view?usp=drivesdk</t>
        </is>
      </c>
    </row>
    <row r="24" ht="12" customHeight="1">
      <c r="A24" t="inlineStr">
        <is>
          <t>202601</t>
        </is>
      </c>
      <c r="B24" t="inlineStr">
        <is>
          <t>LTD</t>
        </is>
      </c>
      <c r="C24" t="inlineStr">
        <is>
          <t>cogs</t>
        </is>
      </c>
      <c r="D24" t="inlineStr">
        <is>
          <t>manufacturing</t>
        </is>
      </c>
      <c r="E24" t="inlineStr">
        <is>
          <t>JONDO</t>
        </is>
      </c>
      <c r="F24" t="inlineStr">
        <is>
          <t>manufacturing</t>
        </is>
      </c>
      <c r="G24" s="4" t="n">
        <v>93.04000000000001</v>
      </c>
      <c r="H24" t="inlineStr">
        <is>
          <t>USD</t>
        </is>
      </c>
      <c r="I24" t="inlineStr">
        <is>
          <t>GBP</t>
        </is>
      </c>
      <c r="J24" s="18" t="n">
        <v>0.72673882</v>
      </c>
      <c r="K24" s="4" t="n">
        <v>67.62</v>
      </c>
      <c r="L24" t="inlineStr">
        <is>
          <t>documents</t>
        </is>
      </c>
      <c r="M24" s="19" t="inlineStr">
        <is>
          <t>AS-96838</t>
        </is>
      </c>
      <c r="N24" t="inlineStr">
        <is>
          <t>https://drive.google.com/file/d/1kSeP0IRoDaS31JgE1VFXPOwX2_JXQjyx/view?usp=drivesdk</t>
        </is>
      </c>
    </row>
    <row r="25" ht="12" customHeight="1">
      <c r="A25" t="inlineStr">
        <is>
          <t>202601</t>
        </is>
      </c>
      <c r="B25" t="inlineStr">
        <is>
          <t>LTD</t>
        </is>
      </c>
      <c r="C25" t="inlineStr">
        <is>
          <t>cogs</t>
        </is>
      </c>
      <c r="D25" t="inlineStr">
        <is>
          <t>manufacturing</t>
        </is>
      </c>
      <c r="E25" t="inlineStr">
        <is>
          <t>JONDO</t>
        </is>
      </c>
      <c r="F25" t="inlineStr">
        <is>
          <t>manufacturing</t>
        </is>
      </c>
      <c r="G25" s="4" t="n">
        <v>84.12</v>
      </c>
      <c r="H25" t="inlineStr">
        <is>
          <t>USD</t>
        </is>
      </c>
      <c r="I25" t="inlineStr">
        <is>
          <t>GBP</t>
        </is>
      </c>
      <c r="J25" s="18" t="n">
        <v>0.72673882</v>
      </c>
      <c r="K25" s="4" t="n">
        <v>61.13</v>
      </c>
      <c r="L25" t="inlineStr">
        <is>
          <t>documents</t>
        </is>
      </c>
      <c r="M25" s="19" t="inlineStr">
        <is>
          <t>AS-97012</t>
        </is>
      </c>
      <c r="N25" t="inlineStr">
        <is>
          <t>https://drive.google.com/file/d/12daSfdaOVWBdy-yTWlaRpApVlxl1Asqq/view?usp=drivesdk</t>
        </is>
      </c>
    </row>
    <row r="26" ht="12" customHeight="1">
      <c r="A26" t="inlineStr">
        <is>
          <t>202601</t>
        </is>
      </c>
      <c r="B26" t="inlineStr">
        <is>
          <t>LTD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93.04000000000001</v>
      </c>
      <c r="H26" t="inlineStr">
        <is>
          <t>USD</t>
        </is>
      </c>
      <c r="I26" t="inlineStr">
        <is>
          <t>GBP</t>
        </is>
      </c>
      <c r="J26" s="18" t="n">
        <v>0.72673882</v>
      </c>
      <c r="K26" s="4" t="n">
        <v>67.62</v>
      </c>
      <c r="L26" t="inlineStr">
        <is>
          <t>documents</t>
        </is>
      </c>
      <c r="M26" s="19" t="inlineStr">
        <is>
          <t>AS-97038</t>
        </is>
      </c>
      <c r="N26" t="inlineStr">
        <is>
          <t>https://drive.google.com/file/d/1ipbssICwv_CNawuFNAdNkhIngIPBE-su/view?usp=drivesdk</t>
        </is>
      </c>
    </row>
    <row r="27" ht="12" customHeight="1">
      <c r="A27" t="inlineStr">
        <is>
          <t>202601</t>
        </is>
      </c>
      <c r="B27" t="inlineStr">
        <is>
          <t>LTD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PROCO</t>
        </is>
      </c>
      <c r="F27" t="inlineStr">
        <is>
          <t>manufacturing</t>
        </is>
      </c>
      <c r="G27" s="4" t="n">
        <v>4754.19</v>
      </c>
      <c r="H27" t="inlineStr">
        <is>
          <t>GBP</t>
        </is>
      </c>
      <c r="I27" t="inlineStr">
        <is>
          <t>GBP</t>
        </is>
      </c>
      <c r="J27" s="18" t="n">
        <v>1</v>
      </c>
      <c r="K27" s="4" t="n">
        <v>4754.19</v>
      </c>
      <c r="L27" t="inlineStr">
        <is>
          <t>documents</t>
        </is>
      </c>
      <c r="M27" s="19" t="inlineStr">
        <is>
          <t>6032421</t>
        </is>
      </c>
      <c r="N27" t="inlineStr">
        <is>
          <t>https://drive.google.com/file/d/1WO-DW4XapqiPAW8ic_8DMJZOdSrmj1HB/view?usp=drivesdk</t>
        </is>
      </c>
    </row>
    <row r="28" ht="12" customHeight="1">
      <c r="A28" t="inlineStr">
        <is>
          <t>202601</t>
        </is>
      </c>
      <c r="B28" t="inlineStr">
        <is>
          <t>LTD</t>
        </is>
      </c>
      <c r="C28" t="inlineStr">
        <is>
          <t>cogs</t>
        </is>
      </c>
      <c r="D28" t="inlineStr">
        <is>
          <t>logistics</t>
        </is>
      </c>
      <c r="E28" t="inlineStr">
        <is>
          <t>PROCO</t>
        </is>
      </c>
      <c r="F28" t="inlineStr">
        <is>
          <t>logistics</t>
        </is>
      </c>
      <c r="G28" s="4" t="n">
        <v>1255.05</v>
      </c>
      <c r="H28" t="inlineStr">
        <is>
          <t>GBP</t>
        </is>
      </c>
      <c r="I28" t="inlineStr">
        <is>
          <t>GBP</t>
        </is>
      </c>
      <c r="J28" s="18" t="n">
        <v>1</v>
      </c>
      <c r="K28" s="4" t="n">
        <v>1255.05</v>
      </c>
      <c r="L28" t="inlineStr">
        <is>
          <t>documents</t>
        </is>
      </c>
      <c r="M28" s="19" t="inlineStr">
        <is>
          <t>6032421</t>
        </is>
      </c>
      <c r="N28" t="inlineStr">
        <is>
          <t>https://drive.google.com/file/d/1WO-DW4XapqiPAW8ic_8DMJZOdSrmj1HB/view?usp=drivesdk</t>
        </is>
      </c>
    </row>
    <row r="29" ht="12" customHeight="1">
      <c r="A29" t="inlineStr">
        <is>
          <t>202601</t>
        </is>
      </c>
      <c r="B29" t="inlineStr">
        <is>
          <t>LTD</t>
        </is>
      </c>
      <c r="C29" t="inlineStr">
        <is>
          <t>opex</t>
        </is>
      </c>
      <c r="D29" t="inlineStr">
        <is>
          <t>shared_services</t>
        </is>
      </c>
      <c r="E29" t="inlineStr">
        <is>
          <t>SHAREDSERVICESSL</t>
        </is>
      </c>
      <c r="F29" t="inlineStr">
        <is>
          <t>invoice</t>
        </is>
      </c>
      <c r="G29" s="4" t="n">
        <v>10732.87</v>
      </c>
      <c r="H29" t="inlineStr">
        <is>
          <t>EUR</t>
        </is>
      </c>
      <c r="I29" t="inlineStr">
        <is>
          <t>GBP</t>
        </is>
      </c>
      <c r="J29" s="18" t="n">
        <v>0.8662</v>
      </c>
      <c r="K29" s="4" t="n">
        <v>9296.809999999999</v>
      </c>
      <c r="L29" t="inlineStr">
        <is>
          <t>documents</t>
        </is>
      </c>
      <c r="M29" s="19" t="inlineStr">
        <is>
          <t>2026-0010</t>
        </is>
      </c>
      <c r="N29" t="inlineStr">
        <is>
          <t>https://drive.google.com/file/d/1DVbcrKI34TY_XRmPCWYxFfktOzy1Bqmr/view?usp=drivesdk</t>
        </is>
      </c>
    </row>
    <row r="30" ht="12" customHeight="1">
      <c r="A30" t="inlineStr">
        <is>
          <t>202601</t>
        </is>
      </c>
      <c r="B30" t="inlineStr">
        <is>
          <t>LTD</t>
        </is>
      </c>
      <c r="C30" t="inlineStr">
        <is>
          <t>opex</t>
        </is>
      </c>
      <c r="D30" t="inlineStr">
        <is>
          <t>administration</t>
        </is>
      </c>
      <c r="E30" t="inlineStr">
        <is>
          <t>YOURACCOUNTSTAXES</t>
        </is>
      </c>
      <c r="F30" t="inlineStr">
        <is>
          <t>invoice</t>
        </is>
      </c>
      <c r="G30" s="4" t="n">
        <v>26.5</v>
      </c>
      <c r="H30" t="inlineStr">
        <is>
          <t>GBP</t>
        </is>
      </c>
      <c r="I30" t="inlineStr">
        <is>
          <t>GBP</t>
        </is>
      </c>
      <c r="J30" s="18" t="n">
        <v>1</v>
      </c>
      <c r="K30" s="4" t="n">
        <v>26.5</v>
      </c>
      <c r="L30" t="inlineStr">
        <is>
          <t>documents</t>
        </is>
      </c>
      <c r="M30" s="19" t="inlineStr">
        <is>
          <t>INV-0679_PERIODIFICADA_1_12</t>
        </is>
      </c>
      <c r="N30" t="inlineStr">
        <is>
          <t>https://drive.google.com/file/d/1n3uOf_jbqFYt5zJTiDDfZSbSjOCzEMHL/view?usp=drivesdk</t>
        </is>
      </c>
    </row>
    <row r="31" ht="12" customHeight="1">
      <c r="A31" t="inlineStr">
        <is>
          <t>202601</t>
        </is>
      </c>
      <c r="B31" t="inlineStr">
        <is>
          <t>LTD</t>
        </is>
      </c>
      <c r="C31" t="inlineStr">
        <is>
          <t>opex</t>
        </is>
      </c>
      <c r="D31" t="inlineStr">
        <is>
          <t>administration</t>
        </is>
      </c>
      <c r="E31" t="inlineStr">
        <is>
          <t>YOURACCOUNTSTAXES</t>
        </is>
      </c>
      <c r="F31" t="inlineStr">
        <is>
          <t>invoice</t>
        </is>
      </c>
      <c r="G31" s="4" t="n">
        <v>103.67</v>
      </c>
      <c r="H31" t="inlineStr">
        <is>
          <t>GBP</t>
        </is>
      </c>
      <c r="I31" t="inlineStr">
        <is>
          <t>GBP</t>
        </is>
      </c>
      <c r="J31" s="18" t="n">
        <v>1</v>
      </c>
      <c r="K31" s="4" t="n">
        <v>103.67</v>
      </c>
      <c r="L31" t="inlineStr">
        <is>
          <t>documents</t>
        </is>
      </c>
      <c r="M31" s="19" t="inlineStr">
        <is>
          <t>INV-0682_PERIODIFICADA_1_12</t>
        </is>
      </c>
      <c r="N31" t="inlineStr">
        <is>
          <t>https://drive.google.com/file/d/1CIuzkH_u1gHARcMpknCAJ9pI5qmqqobY/view?usp=drivesdk</t>
        </is>
      </c>
    </row>
    <row r="32" ht="12" customHeight="1">
      <c r="A32" t="inlineStr">
        <is>
          <t>202602</t>
        </is>
      </c>
      <c r="B32" t="inlineStr">
        <is>
          <t>LTD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15.64</v>
      </c>
      <c r="H32" t="inlineStr">
        <is>
          <t>USD</t>
        </is>
      </c>
      <c r="I32" t="inlineStr">
        <is>
          <t>GBP</t>
        </is>
      </c>
      <c r="J32" s="18" t="n">
        <v>0.74231258</v>
      </c>
      <c r="K32" s="4" t="n">
        <v>11.61</v>
      </c>
      <c r="L32" t="inlineStr">
        <is>
          <t>documents</t>
        </is>
      </c>
      <c r="M32" s="19" t="inlineStr">
        <is>
          <t>AS-97196</t>
        </is>
      </c>
      <c r="N32" t="inlineStr">
        <is>
          <t>https://drive.google.com/file/d/1z2ShmClela43bUW-vTcb2pcrB7Qwu6gE/view?usp=drivesdk</t>
        </is>
      </c>
    </row>
    <row r="33" ht="12" customHeight="1">
      <c r="A33" t="inlineStr">
        <is>
          <t>202602</t>
        </is>
      </c>
      <c r="B33" t="inlineStr">
        <is>
          <t>LTD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28.4</v>
      </c>
      <c r="H33" t="inlineStr">
        <is>
          <t>USD</t>
        </is>
      </c>
      <c r="I33" t="inlineStr">
        <is>
          <t>GBP</t>
        </is>
      </c>
      <c r="J33" s="18" t="n">
        <v>0.74231258</v>
      </c>
      <c r="K33" s="4" t="n">
        <v>21.08</v>
      </c>
      <c r="L33" t="inlineStr">
        <is>
          <t>documents</t>
        </is>
      </c>
      <c r="M33" s="19" t="inlineStr">
        <is>
          <t>AS-97254</t>
        </is>
      </c>
      <c r="N33" t="inlineStr">
        <is>
          <t>https://drive.google.com/file/d/1-yGn3xRRsCE-8T-jXa2ZANZ3lXnMlnU1/view?usp=drivesdk</t>
        </is>
      </c>
    </row>
    <row r="34" ht="12" customHeight="1">
      <c r="A34" t="inlineStr">
        <is>
          <t>202602</t>
        </is>
      </c>
      <c r="B34" t="inlineStr">
        <is>
          <t>LTD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GBP</t>
        </is>
      </c>
      <c r="J34" s="18" t="n">
        <v>0.74231258</v>
      </c>
      <c r="K34" s="4" t="n">
        <v>27.33</v>
      </c>
      <c r="L34" t="inlineStr">
        <is>
          <t>documents</t>
        </is>
      </c>
      <c r="M34" s="19" t="inlineStr">
        <is>
          <t>AS-97464</t>
        </is>
      </c>
      <c r="N34" t="inlineStr">
        <is>
          <t>https://drive.google.com/file/d/1-NkdlGvZLusGXUX04m43SkJkiaNTkBXH/view?usp=drivesdk</t>
        </is>
      </c>
    </row>
    <row r="35" ht="12" customHeight="1">
      <c r="A35" t="inlineStr">
        <is>
          <t>202602</t>
        </is>
      </c>
      <c r="B35" t="inlineStr">
        <is>
          <t>LTD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56.8</v>
      </c>
      <c r="H35" t="inlineStr">
        <is>
          <t>USD</t>
        </is>
      </c>
      <c r="I35" t="inlineStr">
        <is>
          <t>GBP</t>
        </is>
      </c>
      <c r="J35" s="18" t="n">
        <v>0.74231258</v>
      </c>
      <c r="K35" s="4" t="n">
        <v>42.16</v>
      </c>
      <c r="L35" t="inlineStr">
        <is>
          <t>documents</t>
        </is>
      </c>
      <c r="M35" s="19" t="inlineStr">
        <is>
          <t>AS-97516</t>
        </is>
      </c>
      <c r="N35" t="inlineStr">
        <is>
          <t>https://drive.google.com/file/d/14Kv6de85keqbrh_ImJOpxC57rdB8Nml-/view?usp=drivesdk</t>
        </is>
      </c>
    </row>
    <row r="36" ht="12" customHeight="1">
      <c r="A36" t="inlineStr">
        <is>
          <t>202602</t>
        </is>
      </c>
      <c r="B36" t="inlineStr">
        <is>
          <t>LTD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GBP</t>
        </is>
      </c>
      <c r="J36" s="18" t="n">
        <v>0.74231258</v>
      </c>
      <c r="K36" s="4" t="n">
        <v>27.03</v>
      </c>
      <c r="L36" t="inlineStr">
        <is>
          <t>documents</t>
        </is>
      </c>
      <c r="M36" s="19" t="inlineStr">
        <is>
          <t>AS-97520</t>
        </is>
      </c>
      <c r="N36" t="inlineStr">
        <is>
          <t>https://drive.google.com/file/d/1mwHXLhoynWBHDPYgvA1Qh5oQ_Pj7aqp4/view?usp=drivesdk</t>
        </is>
      </c>
    </row>
    <row r="37" ht="12" customHeight="1">
      <c r="A37" t="inlineStr">
        <is>
          <t>202602</t>
        </is>
      </c>
      <c r="B37" t="inlineStr">
        <is>
          <t>LTD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56.22</v>
      </c>
      <c r="H37" t="inlineStr">
        <is>
          <t>USD</t>
        </is>
      </c>
      <c r="I37" t="inlineStr">
        <is>
          <t>GBP</t>
        </is>
      </c>
      <c r="J37" s="18" t="n">
        <v>0.74231258</v>
      </c>
      <c r="K37" s="4" t="n">
        <v>41.73</v>
      </c>
      <c r="L37" t="inlineStr">
        <is>
          <t>documents</t>
        </is>
      </c>
      <c r="M37" s="19" t="inlineStr">
        <is>
          <t>AS-97602</t>
        </is>
      </c>
      <c r="N37" t="inlineStr">
        <is>
          <t>https://drive.google.com/file/d/1gR9CgliEJupvg6aabwQrw3bszdfJQUA2/view?usp=drivesdk</t>
        </is>
      </c>
    </row>
    <row r="38" ht="12" customHeight="1">
      <c r="A38" t="inlineStr">
        <is>
          <t>202602</t>
        </is>
      </c>
      <c r="B38" t="inlineStr">
        <is>
          <t>LTD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182.02</v>
      </c>
      <c r="H38" t="inlineStr">
        <is>
          <t>USD</t>
        </is>
      </c>
      <c r="I38" t="inlineStr">
        <is>
          <t>GBP</t>
        </is>
      </c>
      <c r="J38" s="18" t="n">
        <v>0.74231258</v>
      </c>
      <c r="K38" s="4" t="n">
        <v>135.12</v>
      </c>
      <c r="L38" t="inlineStr">
        <is>
          <t>documents</t>
        </is>
      </c>
      <c r="M38" s="19" t="inlineStr">
        <is>
          <t>AS-98142</t>
        </is>
      </c>
      <c r="N38" t="inlineStr">
        <is>
          <t>https://drive.google.com/file/d/18wgtpL_Ix0DraaeKhnVN5Yc5zMx0gfNt/view?usp=drivesdk</t>
        </is>
      </c>
    </row>
    <row r="39" ht="12" customHeight="1">
      <c r="A39" t="inlineStr">
        <is>
          <t>202602</t>
        </is>
      </c>
      <c r="B39" t="inlineStr">
        <is>
          <t>LTD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42.06</v>
      </c>
      <c r="H39" t="inlineStr">
        <is>
          <t>USD</t>
        </is>
      </c>
      <c r="I39" t="inlineStr">
        <is>
          <t>GBP</t>
        </is>
      </c>
      <c r="J39" s="18" t="n">
        <v>0.74231258</v>
      </c>
      <c r="K39" s="4" t="n">
        <v>31.22</v>
      </c>
      <c r="L39" t="inlineStr">
        <is>
          <t>documents</t>
        </is>
      </c>
      <c r="M39" s="19" t="inlineStr">
        <is>
          <t>AS-98380</t>
        </is>
      </c>
      <c r="N39" t="inlineStr">
        <is>
          <t>https://drive.google.com/file/d/16WCK7LMlNJ1SA8hTr9sh0RTKdxYuzOOj/view?usp=drivesdk</t>
        </is>
      </c>
    </row>
    <row r="40" ht="12" customHeight="1">
      <c r="A40" t="inlineStr">
        <is>
          <t>202602</t>
        </is>
      </c>
      <c r="B40" t="inlineStr">
        <is>
          <t>LTD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36.41</v>
      </c>
      <c r="H40" t="inlineStr">
        <is>
          <t>USD</t>
        </is>
      </c>
      <c r="I40" t="inlineStr">
        <is>
          <t>GBP</t>
        </is>
      </c>
      <c r="J40" s="18" t="n">
        <v>0.74231258</v>
      </c>
      <c r="K40" s="4" t="n">
        <v>27.03</v>
      </c>
      <c r="L40" t="inlineStr">
        <is>
          <t>documents</t>
        </is>
      </c>
      <c r="M40" s="19" t="inlineStr">
        <is>
          <t>AS-98382</t>
        </is>
      </c>
      <c r="N40" t="inlineStr">
        <is>
          <t>https://drive.google.com/file/d/1m_hZoeF7mnj1sjA7HqOewotwB0qPKy4D/view?usp=drivesdk</t>
        </is>
      </c>
    </row>
    <row r="41" ht="12" customHeight="1">
      <c r="A41" t="inlineStr">
        <is>
          <t>202602</t>
        </is>
      </c>
      <c r="B41" t="inlineStr">
        <is>
          <t>LTD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24.54</v>
      </c>
      <c r="H41" t="inlineStr">
        <is>
          <t>USD</t>
        </is>
      </c>
      <c r="I41" t="inlineStr">
        <is>
          <t>GBP</t>
        </is>
      </c>
      <c r="J41" s="18" t="n">
        <v>0.74231258</v>
      </c>
      <c r="K41" s="4" t="n">
        <v>18.22</v>
      </c>
      <c r="L41" t="inlineStr">
        <is>
          <t>documents</t>
        </is>
      </c>
      <c r="M41" s="19" t="inlineStr">
        <is>
          <t>AS-98403</t>
        </is>
      </c>
      <c r="N41" t="inlineStr">
        <is>
          <t>https://drive.google.com/file/d/1lko37nObfSfkjyh3XJSPQ-9HkcajcYM5/view?usp=drivesdk</t>
        </is>
      </c>
    </row>
    <row r="42" ht="12" customHeight="1">
      <c r="A42" t="inlineStr">
        <is>
          <t>202602</t>
        </is>
      </c>
      <c r="B42" t="inlineStr">
        <is>
          <t>LTD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71.59999999999999</v>
      </c>
      <c r="H42" t="inlineStr">
        <is>
          <t>USD</t>
        </is>
      </c>
      <c r="I42" t="inlineStr">
        <is>
          <t>GBP</t>
        </is>
      </c>
      <c r="J42" s="18" t="n">
        <v>0.74231258</v>
      </c>
      <c r="K42" s="4" t="n">
        <v>53.15</v>
      </c>
      <c r="L42" t="inlineStr">
        <is>
          <t>documents</t>
        </is>
      </c>
      <c r="M42" s="19" t="inlineStr">
        <is>
          <t>AS-98524</t>
        </is>
      </c>
      <c r="N42" t="inlineStr">
        <is>
          <t>https://drive.google.com/file/d/1pQbRirka8GpZOXPr2ddHLAfhOlWi3xvz/view?usp=drivesdk</t>
        </is>
      </c>
    </row>
    <row r="43" ht="12" customHeight="1">
      <c r="A43" t="inlineStr">
        <is>
          <t>202602</t>
        </is>
      </c>
      <c r="B43" t="inlineStr">
        <is>
          <t>LTD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GBP</t>
        </is>
      </c>
      <c r="J43" s="18" t="n">
        <v>0.74231258</v>
      </c>
      <c r="K43" s="4" t="n">
        <v>53.15</v>
      </c>
      <c r="L43" t="inlineStr">
        <is>
          <t>documents</t>
        </is>
      </c>
      <c r="M43" s="19" t="inlineStr">
        <is>
          <t>AS-98544</t>
        </is>
      </c>
      <c r="N43" t="inlineStr">
        <is>
          <t>https://drive.google.com/file/d/19w6pnXyuBTQjCd8b3o6eKT17hCjMiE-W/view?usp=drivesdk</t>
        </is>
      </c>
    </row>
    <row r="44" ht="12" customHeight="1">
      <c r="A44" t="inlineStr">
        <is>
          <t>202602</t>
        </is>
      </c>
      <c r="B44" t="inlineStr">
        <is>
          <t>LTD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44.06</v>
      </c>
      <c r="H44" t="inlineStr">
        <is>
          <t>USD</t>
        </is>
      </c>
      <c r="I44" t="inlineStr">
        <is>
          <t>GBP</t>
        </is>
      </c>
      <c r="J44" s="18" t="n">
        <v>0.74231258</v>
      </c>
      <c r="K44" s="4" t="n">
        <v>32.71</v>
      </c>
      <c r="L44" t="inlineStr">
        <is>
          <t>documents</t>
        </is>
      </c>
      <c r="M44" s="19" t="inlineStr">
        <is>
          <t>AS-98563</t>
        </is>
      </c>
      <c r="N44" t="inlineStr">
        <is>
          <t>https://drive.google.com/file/d/119xbszT9MRCL7obqdTeJCKp5GpdneYVY/view?usp=drivesdk</t>
        </is>
      </c>
    </row>
    <row r="45" ht="12" customHeight="1">
      <c r="A45" t="inlineStr">
        <is>
          <t>202602</t>
        </is>
      </c>
      <c r="B45" t="inlineStr">
        <is>
          <t>LTD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28.4</v>
      </c>
      <c r="H45" t="inlineStr">
        <is>
          <t>USD</t>
        </is>
      </c>
      <c r="I45" t="inlineStr">
        <is>
          <t>GBP</t>
        </is>
      </c>
      <c r="J45" s="18" t="n">
        <v>0.74231258</v>
      </c>
      <c r="K45" s="4" t="n">
        <v>21.08</v>
      </c>
      <c r="L45" t="inlineStr">
        <is>
          <t>documents</t>
        </is>
      </c>
      <c r="M45" s="19" t="inlineStr">
        <is>
          <t>AS-98567</t>
        </is>
      </c>
      <c r="N45" t="inlineStr">
        <is>
          <t>https://drive.google.com/file/d/1MFjQFLyJqvx5yAWAc_AAveY2DzsxSbkO/view?usp=drivesdk</t>
        </is>
      </c>
    </row>
    <row r="46" ht="12" customHeight="1">
      <c r="A46" t="inlineStr">
        <is>
          <t>202602</t>
        </is>
      </c>
      <c r="B46" t="inlineStr">
        <is>
          <t>LTD</t>
        </is>
      </c>
      <c r="C46" t="inlineStr">
        <is>
          <t>cogs</t>
        </is>
      </c>
      <c r="D46" t="inlineStr">
        <is>
          <t>manufacturing</t>
        </is>
      </c>
      <c r="E46" t="inlineStr">
        <is>
          <t>JONDO</t>
        </is>
      </c>
      <c r="F46" t="inlineStr">
        <is>
          <t>manufacturing</t>
        </is>
      </c>
      <c r="G46" s="4" t="n">
        <v>63.91</v>
      </c>
      <c r="H46" t="inlineStr">
        <is>
          <t>USD</t>
        </is>
      </c>
      <c r="I46" t="inlineStr">
        <is>
          <t>GBP</t>
        </is>
      </c>
      <c r="J46" s="18" t="n">
        <v>0.74231258</v>
      </c>
      <c r="K46" s="4" t="n">
        <v>47.44</v>
      </c>
      <c r="L46" t="inlineStr">
        <is>
          <t>documents</t>
        </is>
      </c>
      <c r="M46" s="19" t="inlineStr">
        <is>
          <t>AS-98978</t>
        </is>
      </c>
      <c r="N46" t="inlineStr">
        <is>
          <t>https://drive.google.com/file/d/1EGU0eMrVgdXIV0o0psYd-vesgsKzy8wg/view?usp=drivesdk</t>
        </is>
      </c>
    </row>
    <row r="47" ht="12" customHeight="1">
      <c r="A47" t="inlineStr">
        <is>
          <t>202602</t>
        </is>
      </c>
      <c r="B47" t="inlineStr">
        <is>
          <t>LTD</t>
        </is>
      </c>
      <c r="C47" t="inlineStr">
        <is>
          <t>cogs</t>
        </is>
      </c>
      <c r="D47" t="inlineStr">
        <is>
          <t>manufacturing</t>
        </is>
      </c>
      <c r="E47" t="inlineStr">
        <is>
          <t>JONDO</t>
        </is>
      </c>
      <c r="F47" t="inlineStr">
        <is>
          <t>manufacturing</t>
        </is>
      </c>
      <c r="G47" s="4" t="n">
        <v>36.41</v>
      </c>
      <c r="H47" t="inlineStr">
        <is>
          <t>USD</t>
        </is>
      </c>
      <c r="I47" t="inlineStr">
        <is>
          <t>GBP</t>
        </is>
      </c>
      <c r="J47" s="18" t="n">
        <v>0.74231258</v>
      </c>
      <c r="K47" s="4" t="n">
        <v>27.03</v>
      </c>
      <c r="L47" t="inlineStr">
        <is>
          <t>documents</t>
        </is>
      </c>
      <c r="M47" s="19" t="inlineStr">
        <is>
          <t>AS-99094</t>
        </is>
      </c>
      <c r="N47" t="inlineStr">
        <is>
          <t>https://drive.google.com/file/d/188JrZ8ux_a9_Ip2aOmADCtPKmy7wBQj0/view?usp=drivesdk</t>
        </is>
      </c>
    </row>
    <row r="48" ht="12" customHeight="1">
      <c r="A48" t="inlineStr">
        <is>
          <t>202602</t>
        </is>
      </c>
      <c r="B48" t="inlineStr">
        <is>
          <t>LTD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JONDO</t>
        </is>
      </c>
      <c r="F48" t="inlineStr">
        <is>
          <t>manufacturing</t>
        </is>
      </c>
      <c r="G48" s="4" t="n">
        <v>44.06</v>
      </c>
      <c r="H48" t="inlineStr">
        <is>
          <t>USD</t>
        </is>
      </c>
      <c r="I48" t="inlineStr">
        <is>
          <t>GBP</t>
        </is>
      </c>
      <c r="J48" s="18" t="n">
        <v>0.74231258</v>
      </c>
      <c r="K48" s="4" t="n">
        <v>32.71</v>
      </c>
      <c r="L48" t="inlineStr">
        <is>
          <t>documents</t>
        </is>
      </c>
      <c r="M48" s="19" t="inlineStr">
        <is>
          <t>AS-99179</t>
        </is>
      </c>
      <c r="N48" t="inlineStr">
        <is>
          <t>https://drive.google.com/file/d/1CYVXlsz1cZylIEE_FnK0-bDsegHXy0lC/view?usp=drivesdk</t>
        </is>
      </c>
    </row>
    <row r="49" ht="12" customHeight="1">
      <c r="A49" t="inlineStr">
        <is>
          <t>202602</t>
        </is>
      </c>
      <c r="B49" t="inlineStr">
        <is>
          <t>LTD</t>
        </is>
      </c>
      <c r="C49" t="inlineStr">
        <is>
          <t>cogs</t>
        </is>
      </c>
      <c r="D49" t="inlineStr">
        <is>
          <t>manufacturing</t>
        </is>
      </c>
      <c r="E49" t="inlineStr">
        <is>
          <t>JONDO</t>
        </is>
      </c>
      <c r="F49" t="inlineStr">
        <is>
          <t>manufacturing</t>
        </is>
      </c>
      <c r="G49" s="4" t="n">
        <v>42.06</v>
      </c>
      <c r="H49" t="inlineStr">
        <is>
          <t>USD</t>
        </is>
      </c>
      <c r="I49" t="inlineStr">
        <is>
          <t>GBP</t>
        </is>
      </c>
      <c r="J49" s="18" t="n">
        <v>0.74231258</v>
      </c>
      <c r="K49" s="4" t="n">
        <v>31.22</v>
      </c>
      <c r="L49" t="inlineStr">
        <is>
          <t>documents</t>
        </is>
      </c>
      <c r="M49" s="19" t="inlineStr">
        <is>
          <t>AS-99349</t>
        </is>
      </c>
      <c r="N49" t="inlineStr">
        <is>
          <t>https://drive.google.com/file/d/1u-NxRqm2pZqxIZ4jxPovnCnRMSBW61bs/view?usp=drivesdk</t>
        </is>
      </c>
    </row>
    <row r="50" ht="12" customHeight="1">
      <c r="A50" t="inlineStr">
        <is>
          <t>202602</t>
        </is>
      </c>
      <c r="B50" t="inlineStr">
        <is>
          <t>LTD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JONDO</t>
        </is>
      </c>
      <c r="F50" t="inlineStr">
        <is>
          <t>manufacturing</t>
        </is>
      </c>
      <c r="G50" s="4" t="n">
        <v>44.06</v>
      </c>
      <c r="H50" t="inlineStr">
        <is>
          <t>USD</t>
        </is>
      </c>
      <c r="I50" t="inlineStr">
        <is>
          <t>GBP</t>
        </is>
      </c>
      <c r="J50" s="18" t="n">
        <v>0.74231258</v>
      </c>
      <c r="K50" s="4" t="n">
        <v>32.71</v>
      </c>
      <c r="L50" t="inlineStr">
        <is>
          <t>documents</t>
        </is>
      </c>
      <c r="M50" s="19" t="inlineStr">
        <is>
          <t>AS-99356</t>
        </is>
      </c>
      <c r="N50" t="inlineStr">
        <is>
          <t>https://drive.google.com/file/d/1aZO2DUv7EnGbzTuaqe1zcL_0vcIT-IsR/view?usp=drivesdk</t>
        </is>
      </c>
    </row>
    <row r="51" ht="12" customHeight="1">
      <c r="A51" t="inlineStr">
        <is>
          <t>202602</t>
        </is>
      </c>
      <c r="B51" t="inlineStr">
        <is>
          <t>LTD</t>
        </is>
      </c>
      <c r="C51" t="inlineStr">
        <is>
          <t>cogs</t>
        </is>
      </c>
      <c r="D51" t="inlineStr">
        <is>
          <t>manufacturing</t>
        </is>
      </c>
      <c r="E51" t="inlineStr">
        <is>
          <t>JONDO</t>
        </is>
      </c>
      <c r="F51" t="inlineStr">
        <is>
          <t>manufacturing</t>
        </is>
      </c>
      <c r="G51" s="4" t="n">
        <v>36.41</v>
      </c>
      <c r="H51" t="inlineStr">
        <is>
          <t>USD</t>
        </is>
      </c>
      <c r="I51" t="inlineStr">
        <is>
          <t>GBP</t>
        </is>
      </c>
      <c r="J51" s="18" t="n">
        <v>0.74231258</v>
      </c>
      <c r="K51" s="4" t="n">
        <v>27.03</v>
      </c>
      <c r="L51" t="inlineStr">
        <is>
          <t>documents</t>
        </is>
      </c>
      <c r="M51" s="19" t="inlineStr">
        <is>
          <t>AS-99390</t>
        </is>
      </c>
      <c r="N51" t="inlineStr">
        <is>
          <t>https://drive.google.com/file/d/1bb4D0frLw6tv0YR0_K_0bz4GyPMaST00/view?usp=drivesdk</t>
        </is>
      </c>
    </row>
    <row r="52" ht="12" customHeight="1">
      <c r="A52" t="inlineStr">
        <is>
          <t>202602</t>
        </is>
      </c>
      <c r="B52" t="inlineStr">
        <is>
          <t>LTD</t>
        </is>
      </c>
      <c r="C52" t="inlineStr">
        <is>
          <t>cogs</t>
        </is>
      </c>
      <c r="D52" t="inlineStr">
        <is>
          <t>manufacturing</t>
        </is>
      </c>
      <c r="E52" t="inlineStr">
        <is>
          <t>JONDO</t>
        </is>
      </c>
      <c r="F52" t="inlineStr">
        <is>
          <t>manufacturing</t>
        </is>
      </c>
      <c r="G52" s="4" t="n">
        <v>20.5</v>
      </c>
      <c r="H52" t="inlineStr">
        <is>
          <t>USD</t>
        </is>
      </c>
      <c r="I52" t="inlineStr">
        <is>
          <t>GBP</t>
        </is>
      </c>
      <c r="J52" s="18" t="n">
        <v>0.74231258</v>
      </c>
      <c r="K52" s="4" t="n">
        <v>15.22</v>
      </c>
      <c r="L52" t="inlineStr">
        <is>
          <t>documents</t>
        </is>
      </c>
      <c r="M52" s="19" t="inlineStr">
        <is>
          <t>AS-99509</t>
        </is>
      </c>
      <c r="N52" t="inlineStr">
        <is>
          <t>https://drive.google.com/file/d/1A7IKjrdSctavHx5vvWMoTR2X3YvCVcqK/view?usp=drivesdk</t>
        </is>
      </c>
    </row>
    <row r="53" ht="12" customHeight="1">
      <c r="A53" t="inlineStr">
        <is>
          <t>202602</t>
        </is>
      </c>
      <c r="B53" t="inlineStr">
        <is>
          <t>LTD</t>
        </is>
      </c>
      <c r="C53" t="inlineStr">
        <is>
          <t>cogs</t>
        </is>
      </c>
      <c r="D53" t="inlineStr">
        <is>
          <t>manufacturing</t>
        </is>
      </c>
      <c r="E53" t="inlineStr">
        <is>
          <t>JONDO</t>
        </is>
      </c>
      <c r="F53" t="inlineStr">
        <is>
          <t>manufacturing</t>
        </is>
      </c>
      <c r="G53" s="4" t="n">
        <v>112.44</v>
      </c>
      <c r="H53" t="inlineStr">
        <is>
          <t>USD</t>
        </is>
      </c>
      <c r="I53" t="inlineStr">
        <is>
          <t>GBP</t>
        </is>
      </c>
      <c r="J53" s="18" t="n">
        <v>0.74231258</v>
      </c>
      <c r="K53" s="4" t="n">
        <v>83.47</v>
      </c>
      <c r="L53" t="inlineStr">
        <is>
          <t>documents</t>
        </is>
      </c>
      <c r="M53" s="19" t="inlineStr">
        <is>
          <t>AS-99616</t>
        </is>
      </c>
      <c r="N53" t="inlineStr">
        <is>
          <t>https://drive.google.com/file/d/1Fr7EpLc4_w_y7t7ZSWM8qyk01zEjoINy/view?usp=drivesdk</t>
        </is>
      </c>
    </row>
    <row r="54" ht="12" customHeight="1">
      <c r="A54" t="inlineStr">
        <is>
          <t>202602</t>
        </is>
      </c>
      <c r="B54" t="inlineStr">
        <is>
          <t>LTD</t>
        </is>
      </c>
      <c r="C54" t="inlineStr">
        <is>
          <t>cogs</t>
        </is>
      </c>
      <c r="D54" t="inlineStr">
        <is>
          <t>manufacturing</t>
        </is>
      </c>
      <c r="E54" t="inlineStr">
        <is>
          <t>JONDO</t>
        </is>
      </c>
      <c r="F54" t="inlineStr">
        <is>
          <t>manufacturing</t>
        </is>
      </c>
      <c r="G54" s="4" t="n">
        <v>71.59999999999999</v>
      </c>
      <c r="H54" t="inlineStr">
        <is>
          <t>USD</t>
        </is>
      </c>
      <c r="I54" t="inlineStr">
        <is>
          <t>GBP</t>
        </is>
      </c>
      <c r="J54" s="18" t="n">
        <v>0.74231258</v>
      </c>
      <c r="K54" s="4" t="n">
        <v>53.15</v>
      </c>
      <c r="L54" t="inlineStr">
        <is>
          <t>documents</t>
        </is>
      </c>
      <c r="M54" s="19" t="inlineStr">
        <is>
          <t>AS-99632</t>
        </is>
      </c>
      <c r="N54" t="inlineStr">
        <is>
          <t>https://drive.google.com/file/d/1J665leZvteRH41FHARz4EBF_bjAJjDa0/view?usp=drivesdk</t>
        </is>
      </c>
    </row>
    <row r="55" ht="12" customHeight="1">
      <c r="A55" t="inlineStr">
        <is>
          <t>202602</t>
        </is>
      </c>
      <c r="B55" t="inlineStr">
        <is>
          <t>LTD</t>
        </is>
      </c>
      <c r="C55" t="inlineStr">
        <is>
          <t>cogs</t>
        </is>
      </c>
      <c r="D55" t="inlineStr">
        <is>
          <t>manufacturing</t>
        </is>
      </c>
      <c r="E55" t="inlineStr">
        <is>
          <t>JONDO</t>
        </is>
      </c>
      <c r="F55" t="inlineStr">
        <is>
          <t>manufacturing</t>
        </is>
      </c>
      <c r="G55" s="4" t="n">
        <v>93.04000000000001</v>
      </c>
      <c r="H55" t="inlineStr">
        <is>
          <t>USD</t>
        </is>
      </c>
      <c r="I55" t="inlineStr">
        <is>
          <t>GBP</t>
        </is>
      </c>
      <c r="J55" s="18" t="n">
        <v>0.74231258</v>
      </c>
      <c r="K55" s="4" t="n">
        <v>69.06</v>
      </c>
      <c r="L55" t="inlineStr">
        <is>
          <t>documents</t>
        </is>
      </c>
      <c r="M55" s="19" t="inlineStr">
        <is>
          <t>AS-99779</t>
        </is>
      </c>
      <c r="N55" t="inlineStr">
        <is>
          <t>https://drive.google.com/file/d/1FQOlw_0RiHG8QnYV4OF9UIi82z0ERrol/view?usp=drivesdk</t>
        </is>
      </c>
    </row>
    <row r="56" ht="12" customHeight="1">
      <c r="A56" t="inlineStr">
        <is>
          <t>202602</t>
        </is>
      </c>
      <c r="B56" t="inlineStr">
        <is>
          <t>LTD</t>
        </is>
      </c>
      <c r="C56" t="inlineStr">
        <is>
          <t>cogs</t>
        </is>
      </c>
      <c r="D56" t="inlineStr">
        <is>
          <t>manufacturing</t>
        </is>
      </c>
      <c r="E56" t="inlineStr">
        <is>
          <t>JONDO</t>
        </is>
      </c>
      <c r="F56" t="inlineStr">
        <is>
          <t>manufacturing</t>
        </is>
      </c>
      <c r="G56" s="4" t="n">
        <v>28.4</v>
      </c>
      <c r="H56" t="inlineStr">
        <is>
          <t>USD</t>
        </is>
      </c>
      <c r="I56" t="inlineStr">
        <is>
          <t>GBP</t>
        </is>
      </c>
      <c r="J56" s="18" t="n">
        <v>0.74231258</v>
      </c>
      <c r="K56" s="4" t="n">
        <v>21.08</v>
      </c>
      <c r="L56" t="inlineStr">
        <is>
          <t>documents</t>
        </is>
      </c>
      <c r="M56" s="19" t="inlineStr">
        <is>
          <t>AS-99780</t>
        </is>
      </c>
      <c r="N56" t="inlineStr">
        <is>
          <t>https://drive.google.com/file/d/1buNB3TxMmADuGJ_Rck7CIzzoNcvTA1jx/view?usp=drivesdk</t>
        </is>
      </c>
    </row>
    <row r="57" ht="12" customHeight="1">
      <c r="A57" t="inlineStr">
        <is>
          <t>202602</t>
        </is>
      </c>
      <c r="B57" t="inlineStr">
        <is>
          <t>LTD</t>
        </is>
      </c>
      <c r="C57" t="inlineStr">
        <is>
          <t>cogs</t>
        </is>
      </c>
      <c r="D57" t="inlineStr">
        <is>
          <t>manufacturing</t>
        </is>
      </c>
      <c r="E57" t="inlineStr">
        <is>
          <t>JONDO</t>
        </is>
      </c>
      <c r="F57" t="inlineStr">
        <is>
          <t>manufacturing</t>
        </is>
      </c>
      <c r="G57" s="4" t="n">
        <v>93.04000000000001</v>
      </c>
      <c r="H57" t="inlineStr">
        <is>
          <t>USD</t>
        </is>
      </c>
      <c r="I57" t="inlineStr">
        <is>
          <t>GBP</t>
        </is>
      </c>
      <c r="J57" s="18" t="n">
        <v>0.74231258</v>
      </c>
      <c r="K57" s="4" t="n">
        <v>69.06</v>
      </c>
      <c r="L57" t="inlineStr">
        <is>
          <t>documents</t>
        </is>
      </c>
      <c r="M57" s="19" t="inlineStr">
        <is>
          <t>AS-99822</t>
        </is>
      </c>
      <c r="N57" t="inlineStr">
        <is>
          <t>https://drive.google.com/file/d/13CovCArR8TTPaWcDahlSrtlE8_ddFvC9/view?usp=drivesdk</t>
        </is>
      </c>
    </row>
    <row r="58" ht="12" customHeight="1">
      <c r="A58" t="inlineStr">
        <is>
          <t>202602</t>
        </is>
      </c>
      <c r="B58" t="inlineStr">
        <is>
          <t>LTD</t>
        </is>
      </c>
      <c r="C58" t="inlineStr">
        <is>
          <t>cogs</t>
        </is>
      </c>
      <c r="D58" t="inlineStr">
        <is>
          <t>manufacturing</t>
        </is>
      </c>
      <c r="E58" t="inlineStr">
        <is>
          <t>JONDO</t>
        </is>
      </c>
      <c r="F58" t="inlineStr">
        <is>
          <t>manufacturing</t>
        </is>
      </c>
      <c r="G58" s="4" t="n">
        <v>36.41</v>
      </c>
      <c r="H58" t="inlineStr">
        <is>
          <t>USD</t>
        </is>
      </c>
      <c r="I58" t="inlineStr">
        <is>
          <t>GBP</t>
        </is>
      </c>
      <c r="J58" s="18" t="n">
        <v>0.74231258</v>
      </c>
      <c r="K58" s="4" t="n">
        <v>27.03</v>
      </c>
      <c r="L58" t="inlineStr">
        <is>
          <t>documents</t>
        </is>
      </c>
      <c r="M58" s="19" t="inlineStr">
        <is>
          <t>AS-99880</t>
        </is>
      </c>
      <c r="N58" t="inlineStr">
        <is>
          <t>https://drive.google.com/file/d/1dzNdT4yHYiEpXxRJX5SXJetVjDxt8rjH/view?usp=drivesdk</t>
        </is>
      </c>
    </row>
    <row r="59" ht="12" customHeight="1">
      <c r="A59" t="inlineStr">
        <is>
          <t>202602</t>
        </is>
      </c>
      <c r="B59" t="inlineStr">
        <is>
          <t>LTD</t>
        </is>
      </c>
      <c r="C59" t="inlineStr">
        <is>
          <t>cogs</t>
        </is>
      </c>
      <c r="D59" t="inlineStr">
        <is>
          <t>manufacturing</t>
        </is>
      </c>
      <c r="E59" t="inlineStr">
        <is>
          <t>JONDO</t>
        </is>
      </c>
      <c r="F59" t="inlineStr">
        <is>
          <t>manufacturing</t>
        </is>
      </c>
      <c r="G59" s="4" t="n">
        <v>42.06</v>
      </c>
      <c r="H59" t="inlineStr">
        <is>
          <t>USD</t>
        </is>
      </c>
      <c r="I59" t="inlineStr">
        <is>
          <t>GBP</t>
        </is>
      </c>
      <c r="J59" s="18" t="n">
        <v>0.74231258</v>
      </c>
      <c r="K59" s="4" t="n">
        <v>31.22</v>
      </c>
      <c r="L59" t="inlineStr">
        <is>
          <t>documents</t>
        </is>
      </c>
      <c r="M59" s="19" t="inlineStr">
        <is>
          <t>AS-99886</t>
        </is>
      </c>
      <c r="N59" t="inlineStr">
        <is>
          <t>https://drive.google.com/file/d/177tCIVVwMHTZIZRxNRTPK0fTuc-di7MS/view?usp=drivesdk</t>
        </is>
      </c>
    </row>
    <row r="60" ht="12" customHeight="1">
      <c r="A60" t="inlineStr">
        <is>
          <t>202602</t>
        </is>
      </c>
      <c r="B60" t="inlineStr">
        <is>
          <t>LTD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manufacturing</t>
        </is>
      </c>
      <c r="G60" s="4" t="n">
        <v>71.59999999999999</v>
      </c>
      <c r="H60" t="inlineStr">
        <is>
          <t>USD</t>
        </is>
      </c>
      <c r="I60" t="inlineStr">
        <is>
          <t>GBP</t>
        </is>
      </c>
      <c r="J60" s="18" t="n">
        <v>0.74231258</v>
      </c>
      <c r="K60" s="4" t="n">
        <v>53.15</v>
      </c>
      <c r="L60" t="inlineStr">
        <is>
          <t>documents</t>
        </is>
      </c>
      <c r="M60" s="19" t="inlineStr">
        <is>
          <t>AS-99899</t>
        </is>
      </c>
      <c r="N60" t="inlineStr">
        <is>
          <t>https://drive.google.com/file/d/1vTGjWxyT3P7m_LD9TVvGvT59-h229ubs/view?usp=drivesdk</t>
        </is>
      </c>
    </row>
    <row r="61" ht="12" customHeight="1">
      <c r="A61" t="inlineStr">
        <is>
          <t>202602</t>
        </is>
      </c>
      <c r="B61" t="inlineStr">
        <is>
          <t>LTD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PROCO</t>
        </is>
      </c>
      <c r="F61" t="inlineStr">
        <is>
          <t>manufacturing</t>
        </is>
      </c>
      <c r="G61" s="4" t="n">
        <v>4593.8</v>
      </c>
      <c r="H61" t="inlineStr">
        <is>
          <t>GBP</t>
        </is>
      </c>
      <c r="I61" t="inlineStr">
        <is>
          <t>GBP</t>
        </is>
      </c>
      <c r="J61" s="18" t="n">
        <v>1</v>
      </c>
      <c r="K61" s="4" t="n">
        <v>4593.8</v>
      </c>
      <c r="L61" t="inlineStr">
        <is>
          <t>documents</t>
        </is>
      </c>
      <c r="M61" s="19" t="inlineStr">
        <is>
          <t>6033326</t>
        </is>
      </c>
      <c r="N61" t="inlineStr">
        <is>
          <t>https://drive.google.com/file/d/1rpih0MGtiiho53ABBb6RFSia9ocS5ewI/view?usp=drivesdk</t>
        </is>
      </c>
    </row>
    <row r="62" ht="12" customHeight="1">
      <c r="A62" t="inlineStr">
        <is>
          <t>202602</t>
        </is>
      </c>
      <c r="B62" t="inlineStr">
        <is>
          <t>LTD</t>
        </is>
      </c>
      <c r="C62" t="inlineStr">
        <is>
          <t>cogs</t>
        </is>
      </c>
      <c r="D62" t="inlineStr">
        <is>
          <t>logistics</t>
        </is>
      </c>
      <c r="E62" t="inlineStr">
        <is>
          <t>PROCO</t>
        </is>
      </c>
      <c r="F62" t="inlineStr">
        <is>
          <t>logistics</t>
        </is>
      </c>
      <c r="G62" s="4" t="n">
        <v>1670.3</v>
      </c>
      <c r="H62" t="inlineStr">
        <is>
          <t>GBP</t>
        </is>
      </c>
      <c r="I62" t="inlineStr">
        <is>
          <t>GBP</t>
        </is>
      </c>
      <c r="J62" s="18" t="n">
        <v>1</v>
      </c>
      <c r="K62" s="4" t="n">
        <v>1670.3</v>
      </c>
      <c r="L62" t="inlineStr">
        <is>
          <t>documents</t>
        </is>
      </c>
      <c r="M62" s="19" t="inlineStr">
        <is>
          <t>6033326</t>
        </is>
      </c>
      <c r="N62" t="inlineStr">
        <is>
          <t>https://drive.google.com/file/d/1rpih0MGtiiho53ABBb6RFSia9ocS5ewI/view?usp=drivesdk</t>
        </is>
      </c>
    </row>
    <row r="63" ht="12" customHeight="1">
      <c r="A63" t="inlineStr">
        <is>
          <t>202602</t>
        </is>
      </c>
      <c r="B63" t="inlineStr">
        <is>
          <t>LTD</t>
        </is>
      </c>
      <c r="C63" t="inlineStr">
        <is>
          <t>opex</t>
        </is>
      </c>
      <c r="D63" t="inlineStr">
        <is>
          <t>shared_services</t>
        </is>
      </c>
      <c r="E63" t="inlineStr">
        <is>
          <t>SHAREDSERVICESSL</t>
        </is>
      </c>
      <c r="F63" t="inlineStr">
        <is>
          <t>invoice</t>
        </is>
      </c>
      <c r="G63" s="4" t="n">
        <v>13068.98</v>
      </c>
      <c r="H63" t="inlineStr">
        <is>
          <t>EUR</t>
        </is>
      </c>
      <c r="I63" t="inlineStr">
        <is>
          <t>GBP</t>
        </is>
      </c>
      <c r="J63" s="18" t="n">
        <v>0.8763</v>
      </c>
      <c r="K63" s="4" t="n">
        <v>11452.35</v>
      </c>
      <c r="L63" t="inlineStr">
        <is>
          <t>documents</t>
        </is>
      </c>
      <c r="M63" s="19" t="inlineStr">
        <is>
          <t>2026-0015</t>
        </is>
      </c>
      <c r="N63" t="inlineStr">
        <is>
          <t>https://drive.google.com/file/d/1pNRISEZAlDdg2kXsh98mNhDndQFk42mV/view?usp=drivesdk</t>
        </is>
      </c>
    </row>
    <row r="64" ht="12" customHeight="1">
      <c r="A64" t="inlineStr">
        <is>
          <t>202602</t>
        </is>
      </c>
      <c r="B64" t="inlineStr">
        <is>
          <t>LTD</t>
        </is>
      </c>
      <c r="C64" t="inlineStr">
        <is>
          <t>opex</t>
        </is>
      </c>
      <c r="D64" t="inlineStr">
        <is>
          <t>administration</t>
        </is>
      </c>
      <c r="E64" t="inlineStr">
        <is>
          <t>YOURACCOUNTSTAXES</t>
        </is>
      </c>
      <c r="F64" t="inlineStr">
        <is>
          <t>invoice</t>
        </is>
      </c>
      <c r="G64" s="4" t="n">
        <v>26.5</v>
      </c>
      <c r="H64" t="inlineStr">
        <is>
          <t>GBP</t>
        </is>
      </c>
      <c r="I64" t="inlineStr">
        <is>
          <t>GBP</t>
        </is>
      </c>
      <c r="J64" s="18" t="n">
        <v>1</v>
      </c>
      <c r="K64" s="4" t="n">
        <v>26.5</v>
      </c>
      <c r="L64" t="inlineStr">
        <is>
          <t>documents</t>
        </is>
      </c>
      <c r="M64" s="19" t="inlineStr">
        <is>
          <t>INV-0679_PERIODIFICADA_2_12</t>
        </is>
      </c>
      <c r="N64" t="inlineStr">
        <is>
          <t>https://drive.google.com/file/d/1nzOKra7y7jGR4FYuKDhpUSUhEqubGgof/view?usp=drivesdk</t>
        </is>
      </c>
    </row>
    <row r="65" ht="12" customHeight="1">
      <c r="A65" t="inlineStr">
        <is>
          <t>202602</t>
        </is>
      </c>
      <c r="B65" t="inlineStr">
        <is>
          <t>LTD</t>
        </is>
      </c>
      <c r="C65" t="inlineStr">
        <is>
          <t>opex</t>
        </is>
      </c>
      <c r="D65" t="inlineStr">
        <is>
          <t>administration</t>
        </is>
      </c>
      <c r="E65" t="inlineStr">
        <is>
          <t>YOURACCOUNTSTAXES</t>
        </is>
      </c>
      <c r="F65" t="inlineStr">
        <is>
          <t>invoice</t>
        </is>
      </c>
      <c r="G65" s="4" t="n">
        <v>55</v>
      </c>
      <c r="H65" t="inlineStr">
        <is>
          <t>GBP</t>
        </is>
      </c>
      <c r="I65" t="inlineStr">
        <is>
          <t>GBP</t>
        </is>
      </c>
      <c r="J65" s="18" t="n">
        <v>1</v>
      </c>
      <c r="K65" s="4" t="n">
        <v>55</v>
      </c>
      <c r="L65" t="inlineStr">
        <is>
          <t>documents</t>
        </is>
      </c>
      <c r="M65" s="19" t="inlineStr">
        <is>
          <t>INV-0681_PERIODIFICADA_1_12</t>
        </is>
      </c>
      <c r="N65" t="inlineStr">
        <is>
          <t>https://drive.google.com/file/d/15tq2MF_O05gx-y3VBFK4eRPCaHDrEmog/view?usp=drivesdk</t>
        </is>
      </c>
    </row>
    <row r="66" ht="12" customHeight="1">
      <c r="A66" t="inlineStr">
        <is>
          <t>202602</t>
        </is>
      </c>
      <c r="B66" t="inlineStr">
        <is>
          <t>LTD</t>
        </is>
      </c>
      <c r="C66" t="inlineStr">
        <is>
          <t>opex</t>
        </is>
      </c>
      <c r="D66" t="inlineStr">
        <is>
          <t>administration</t>
        </is>
      </c>
      <c r="E66" t="inlineStr">
        <is>
          <t>YOURACCOUNTSTAXES</t>
        </is>
      </c>
      <c r="F66" t="inlineStr">
        <is>
          <t>invoice</t>
        </is>
      </c>
      <c r="G66" s="4" t="n">
        <v>103.67</v>
      </c>
      <c r="H66" t="inlineStr">
        <is>
          <t>GBP</t>
        </is>
      </c>
      <c r="I66" t="inlineStr">
        <is>
          <t>GBP</t>
        </is>
      </c>
      <c r="J66" s="18" t="n">
        <v>1</v>
      </c>
      <c r="K66" s="4" t="n">
        <v>103.67</v>
      </c>
      <c r="L66" t="inlineStr">
        <is>
          <t>documents</t>
        </is>
      </c>
      <c r="M66" s="19" t="inlineStr">
        <is>
          <t>INV-0682_PERIODIFICADA_2_12</t>
        </is>
      </c>
      <c r="N66" t="inlineStr">
        <is>
          <t>https://drive.google.com/file/d/14rmjOK-9JvSS6fOl1YvTZ2GbZNnpQ6WO/view?usp=drivesdk</t>
        </is>
      </c>
    </row>
    <row r="67" ht="12" customHeight="1">
      <c r="A67" t="inlineStr">
        <is>
          <t>202603</t>
        </is>
      </c>
      <c r="B67" t="inlineStr">
        <is>
          <t>LTD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28.4</v>
      </c>
      <c r="H67" t="inlineStr">
        <is>
          <t>USD</t>
        </is>
      </c>
      <c r="I67" t="inlineStr">
        <is>
          <t>GBP</t>
        </is>
      </c>
      <c r="J67" s="18" t="n">
        <v>0.7552009</v>
      </c>
      <c r="K67" s="4" t="n">
        <v>21.45</v>
      </c>
      <c r="L67" t="inlineStr">
        <is>
          <t>documents</t>
        </is>
      </c>
      <c r="M67" s="19" t="inlineStr">
        <is>
          <t>AS-100037</t>
        </is>
      </c>
      <c r="N67" t="inlineStr">
        <is>
          <t>https://drive.google.com/file/d/1BbO_L0AfWA_e4-vcgmAPDKVBywq_z0ek/view?usp=drivesdk</t>
        </is>
      </c>
    </row>
    <row r="68" ht="12" customHeight="1">
      <c r="A68" t="inlineStr">
        <is>
          <t>202603</t>
        </is>
      </c>
      <c r="B68" t="inlineStr">
        <is>
          <t>LTD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84.62</v>
      </c>
      <c r="H68" t="inlineStr">
        <is>
          <t>USD</t>
        </is>
      </c>
      <c r="I68" t="inlineStr">
        <is>
          <t>GBP</t>
        </is>
      </c>
      <c r="J68" s="18" t="n">
        <v>0.7552009</v>
      </c>
      <c r="K68" s="4" t="n">
        <v>63.91</v>
      </c>
      <c r="L68" t="inlineStr">
        <is>
          <t>documents</t>
        </is>
      </c>
      <c r="M68" s="19" t="inlineStr">
        <is>
          <t>AS-100054</t>
        </is>
      </c>
      <c r="N68" t="inlineStr">
        <is>
          <t>https://drive.google.com/file/d/165HRmZ2g0WdfskzbrtHzXV6ALXimYaIu/view?usp=drivesdk</t>
        </is>
      </c>
    </row>
    <row r="69" ht="12" customHeight="1">
      <c r="A69" t="inlineStr">
        <is>
          <t>202603</t>
        </is>
      </c>
      <c r="B69" t="inlineStr">
        <is>
          <t>LTD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71.59999999999999</v>
      </c>
      <c r="H69" t="inlineStr">
        <is>
          <t>USD</t>
        </is>
      </c>
      <c r="I69" t="inlineStr">
        <is>
          <t>GBP</t>
        </is>
      </c>
      <c r="J69" s="18" t="n">
        <v>0.7552009</v>
      </c>
      <c r="K69" s="4" t="n">
        <v>54.07</v>
      </c>
      <c r="L69" t="inlineStr">
        <is>
          <t>documents</t>
        </is>
      </c>
      <c r="M69" s="19" t="inlineStr">
        <is>
          <t>AS-100099</t>
        </is>
      </c>
      <c r="N69" t="inlineStr">
        <is>
          <t>https://drive.google.com/file/d/1Z_5d0QXG3Bn3aTm5JVNpjt8qPQMwGt21/view?usp=drivesdk</t>
        </is>
      </c>
    </row>
    <row r="70" ht="12" customHeight="1">
      <c r="A70" t="inlineStr">
        <is>
          <t>202603</t>
        </is>
      </c>
      <c r="B70" t="inlineStr">
        <is>
          <t>LTD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36.41</v>
      </c>
      <c r="H70" t="inlineStr">
        <is>
          <t>USD</t>
        </is>
      </c>
      <c r="I70" t="inlineStr">
        <is>
          <t>GBP</t>
        </is>
      </c>
      <c r="J70" s="18" t="n">
        <v>0.7552009</v>
      </c>
      <c r="K70" s="4" t="n">
        <v>27.5</v>
      </c>
      <c r="L70" t="inlineStr">
        <is>
          <t>documents</t>
        </is>
      </c>
      <c r="M70" s="19" t="inlineStr">
        <is>
          <t>AS-100109</t>
        </is>
      </c>
      <c r="N70" t="inlineStr">
        <is>
          <t>https://drive.google.com/file/d/1CHjm3mQctRUQYqbv6zXs3SonHgln2nD3/view?usp=drivesdk</t>
        </is>
      </c>
    </row>
    <row r="71" ht="12" customHeight="1">
      <c r="A71" t="inlineStr">
        <is>
          <t>202603</t>
        </is>
      </c>
      <c r="B71" t="inlineStr">
        <is>
          <t>LTD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24.54</v>
      </c>
      <c r="H71" t="inlineStr">
        <is>
          <t>USD</t>
        </is>
      </c>
      <c r="I71" t="inlineStr">
        <is>
          <t>GBP</t>
        </is>
      </c>
      <c r="J71" s="18" t="n">
        <v>0.7552009</v>
      </c>
      <c r="K71" s="4" t="n">
        <v>18.53</v>
      </c>
      <c r="L71" t="inlineStr">
        <is>
          <t>documents</t>
        </is>
      </c>
      <c r="M71" s="19" t="inlineStr">
        <is>
          <t>AS-100157</t>
        </is>
      </c>
      <c r="N71" t="inlineStr">
        <is>
          <t>https://drive.google.com/file/d/1IhZUZEwe2_BBXikCjpL1GKXdK4xEetaE/view?usp=drivesdk</t>
        </is>
      </c>
    </row>
    <row r="72" ht="12" customHeight="1">
      <c r="A72" t="inlineStr">
        <is>
          <t>202603</t>
        </is>
      </c>
      <c r="B72" t="inlineStr">
        <is>
          <t>LTD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36.41</v>
      </c>
      <c r="H72" t="inlineStr">
        <is>
          <t>USD</t>
        </is>
      </c>
      <c r="I72" t="inlineStr">
        <is>
          <t>GBP</t>
        </is>
      </c>
      <c r="J72" s="18" t="n">
        <v>0.7552009</v>
      </c>
      <c r="K72" s="4" t="n">
        <v>27.5</v>
      </c>
      <c r="L72" t="inlineStr">
        <is>
          <t>documents</t>
        </is>
      </c>
      <c r="M72" s="19" t="inlineStr">
        <is>
          <t>AS-100239</t>
        </is>
      </c>
      <c r="N72" t="inlineStr">
        <is>
          <t>https://drive.google.com/file/d/1AsgQ8_PjOJrvqTYcsPYEKolunIYlfV4Q/view?usp=drivesdk</t>
        </is>
      </c>
    </row>
    <row r="73" ht="12" customHeight="1">
      <c r="A73" t="inlineStr">
        <is>
          <t>202603</t>
        </is>
      </c>
      <c r="B73" t="inlineStr">
        <is>
          <t>LTD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20.5</v>
      </c>
      <c r="H73" t="inlineStr">
        <is>
          <t>USD</t>
        </is>
      </c>
      <c r="I73" t="inlineStr">
        <is>
          <t>GBP</t>
        </is>
      </c>
      <c r="J73" s="18" t="n">
        <v>0.7552009</v>
      </c>
      <c r="K73" s="4" t="n">
        <v>15.48</v>
      </c>
      <c r="L73" t="inlineStr">
        <is>
          <t>documents</t>
        </is>
      </c>
      <c r="M73" s="19" t="inlineStr">
        <is>
          <t>AS-100248</t>
        </is>
      </c>
      <c r="N73" t="inlineStr">
        <is>
          <t>https://drive.google.com/file/d/1hksJO_fnTPFDMp-4j1XZWpegWgO2Ailq/view?usp=drivesdk</t>
        </is>
      </c>
    </row>
    <row r="74" ht="12" customHeight="1">
      <c r="A74" t="inlineStr">
        <is>
          <t>202603</t>
        </is>
      </c>
      <c r="B74" t="inlineStr">
        <is>
          <t>LTD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31.28</v>
      </c>
      <c r="H74" t="inlineStr">
        <is>
          <t>USD</t>
        </is>
      </c>
      <c r="I74" t="inlineStr">
        <is>
          <t>GBP</t>
        </is>
      </c>
      <c r="J74" s="18" t="n">
        <v>0.7552009</v>
      </c>
      <c r="K74" s="4" t="n">
        <v>23.62</v>
      </c>
      <c r="L74" t="inlineStr">
        <is>
          <t>documents</t>
        </is>
      </c>
      <c r="M74" s="19" t="inlineStr">
        <is>
          <t>AS-100286</t>
        </is>
      </c>
      <c r="N74" t="inlineStr">
        <is>
          <t>https://drive.google.com/file/d/1NdybY9fRXHw9j82a5s65MgztyJPOsoin/view?usp=drivesdk</t>
        </is>
      </c>
    </row>
    <row r="75" ht="12" customHeight="1">
      <c r="A75" t="inlineStr">
        <is>
          <t>202603</t>
        </is>
      </c>
      <c r="B75" t="inlineStr">
        <is>
          <t>LTD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182.02</v>
      </c>
      <c r="H75" t="inlineStr">
        <is>
          <t>USD</t>
        </is>
      </c>
      <c r="I75" t="inlineStr">
        <is>
          <t>GBP</t>
        </is>
      </c>
      <c r="J75" s="18" t="n">
        <v>0.7552009</v>
      </c>
      <c r="K75" s="4" t="n">
        <v>137.46</v>
      </c>
      <c r="L75" t="inlineStr">
        <is>
          <t>documents</t>
        </is>
      </c>
      <c r="M75" s="19" t="inlineStr">
        <is>
          <t>AS-100339</t>
        </is>
      </c>
      <c r="N75" t="inlineStr">
        <is>
          <t>https://drive.google.com/file/d/1TxyFOoXyfr9p89UtdqAEbWxywM7AezVv/view?usp=drivesdk</t>
        </is>
      </c>
    </row>
    <row r="76" ht="12" customHeight="1">
      <c r="A76" t="inlineStr">
        <is>
          <t>202603</t>
        </is>
      </c>
      <c r="B76" t="inlineStr">
        <is>
          <t>LTD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186.08</v>
      </c>
      <c r="H76" t="inlineStr">
        <is>
          <t>USD</t>
        </is>
      </c>
      <c r="I76" t="inlineStr">
        <is>
          <t>GBP</t>
        </is>
      </c>
      <c r="J76" s="18" t="n">
        <v>0.7552009</v>
      </c>
      <c r="K76" s="4" t="n">
        <v>140.53</v>
      </c>
      <c r="L76" t="inlineStr">
        <is>
          <t>documents</t>
        </is>
      </c>
      <c r="M76" s="19" t="inlineStr">
        <is>
          <t>AS-100443</t>
        </is>
      </c>
      <c r="N76" t="inlineStr">
        <is>
          <t>https://drive.google.com/file/d/1tbELKs8Gm6ALpTiDWY6M4Ga_pPzHHQLH/view?usp=drivesdk</t>
        </is>
      </c>
    </row>
    <row r="77" ht="12" customHeight="1">
      <c r="A77" t="inlineStr">
        <is>
          <t>202603</t>
        </is>
      </c>
      <c r="B77" t="inlineStr">
        <is>
          <t>LTD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15.64</v>
      </c>
      <c r="H77" t="inlineStr">
        <is>
          <t>USD</t>
        </is>
      </c>
      <c r="I77" t="inlineStr">
        <is>
          <t>GBP</t>
        </is>
      </c>
      <c r="J77" s="18" t="n">
        <v>0.7552009</v>
      </c>
      <c r="K77" s="4" t="n">
        <v>11.81</v>
      </c>
      <c r="L77" t="inlineStr">
        <is>
          <t>documents</t>
        </is>
      </c>
      <c r="M77" s="19" t="inlineStr">
        <is>
          <t>AS-100562</t>
        </is>
      </c>
      <c r="N77" t="inlineStr">
        <is>
          <t>https://drive.google.com/file/d/1m6t-40HqBc7x03IlnYO4vz-lkfI1VO3t/view?usp=drivesdk</t>
        </is>
      </c>
    </row>
    <row r="78" ht="12" customHeight="1">
      <c r="A78" t="inlineStr">
        <is>
          <t>202603</t>
        </is>
      </c>
      <c r="B78" t="inlineStr">
        <is>
          <t>LTD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56.22</v>
      </c>
      <c r="H78" t="inlineStr">
        <is>
          <t>USD</t>
        </is>
      </c>
      <c r="I78" t="inlineStr">
        <is>
          <t>GBP</t>
        </is>
      </c>
      <c r="J78" s="18" t="n">
        <v>0.7552009</v>
      </c>
      <c r="K78" s="4" t="n">
        <v>42.46</v>
      </c>
      <c r="L78" t="inlineStr">
        <is>
          <t>documents</t>
        </is>
      </c>
      <c r="M78" s="19" t="inlineStr">
        <is>
          <t>AS-100662</t>
        </is>
      </c>
      <c r="N78" t="inlineStr">
        <is>
          <t>https://drive.google.com/file/d/1velP298axM7FnOlEsW9xXp43RNAtbDk_/view?usp=drivesdk</t>
        </is>
      </c>
    </row>
    <row r="79" ht="12" customHeight="1">
      <c r="A79" t="inlineStr">
        <is>
          <t>202603</t>
        </is>
      </c>
      <c r="B79" t="inlineStr">
        <is>
          <t>LTD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168.66</v>
      </c>
      <c r="H79" t="inlineStr">
        <is>
          <t>USD</t>
        </is>
      </c>
      <c r="I79" t="inlineStr">
        <is>
          <t>GBP</t>
        </is>
      </c>
      <c r="J79" s="18" t="n">
        <v>0.7552009</v>
      </c>
      <c r="K79" s="4" t="n">
        <v>127.37</v>
      </c>
      <c r="L79" t="inlineStr">
        <is>
          <t>documents</t>
        </is>
      </c>
      <c r="M79" s="19" t="inlineStr">
        <is>
          <t>AS-100690</t>
        </is>
      </c>
      <c r="N79" t="inlineStr">
        <is>
          <t>https://drive.google.com/file/d/1NkTeSsIU2g7Noh0t4qFauRZ7p4F2FIag/view?usp=drivesdk</t>
        </is>
      </c>
    </row>
    <row r="80" ht="12" customHeight="1">
      <c r="A80" t="inlineStr">
        <is>
          <t>202603</t>
        </is>
      </c>
      <c r="B80" t="inlineStr">
        <is>
          <t>LTD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62.56</v>
      </c>
      <c r="H80" t="inlineStr">
        <is>
          <t>USD</t>
        </is>
      </c>
      <c r="I80" t="inlineStr">
        <is>
          <t>GBP</t>
        </is>
      </c>
      <c r="J80" s="18" t="n">
        <v>0.7552009</v>
      </c>
      <c r="K80" s="4" t="n">
        <v>47.25</v>
      </c>
      <c r="L80" t="inlineStr">
        <is>
          <t>documents</t>
        </is>
      </c>
      <c r="M80" s="19" t="inlineStr">
        <is>
          <t>AS-100702</t>
        </is>
      </c>
      <c r="N80" t="inlineStr">
        <is>
          <t>https://drive.google.com/file/d/1cyz-3ccDZAAUV3hMKT7TsExQQ2SYAq82/view?usp=drivesdk</t>
        </is>
      </c>
    </row>
    <row r="81" ht="12" customHeight="1">
      <c r="A81" t="inlineStr">
        <is>
          <t>202603</t>
        </is>
      </c>
      <c r="B81" t="inlineStr">
        <is>
          <t>LTD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93.04000000000001</v>
      </c>
      <c r="H81" t="inlineStr">
        <is>
          <t>USD</t>
        </is>
      </c>
      <c r="I81" t="inlineStr">
        <is>
          <t>GBP</t>
        </is>
      </c>
      <c r="J81" s="18" t="n">
        <v>0.7552009</v>
      </c>
      <c r="K81" s="4" t="n">
        <v>70.26000000000001</v>
      </c>
      <c r="L81" t="inlineStr">
        <is>
          <t>documents</t>
        </is>
      </c>
      <c r="M81" s="19" t="inlineStr">
        <is>
          <t>AS-100782</t>
        </is>
      </c>
      <c r="N81" t="inlineStr">
        <is>
          <t>https://drive.google.com/file/d/1ho42EUM8JZxXS_YGQoS1k4VYDfMnTjL7/view?usp=drivesdk</t>
        </is>
      </c>
    </row>
    <row r="82" ht="12" customHeight="1">
      <c r="A82" t="inlineStr">
        <is>
          <t>202603</t>
        </is>
      </c>
      <c r="B82" t="inlineStr">
        <is>
          <t>LTD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20.5</v>
      </c>
      <c r="H82" t="inlineStr">
        <is>
          <t>USD</t>
        </is>
      </c>
      <c r="I82" t="inlineStr">
        <is>
          <t>GBP</t>
        </is>
      </c>
      <c r="J82" s="18" t="n">
        <v>0.7552009</v>
      </c>
      <c r="K82" s="4" t="n">
        <v>15.48</v>
      </c>
      <c r="L82" t="inlineStr">
        <is>
          <t>documents</t>
        </is>
      </c>
      <c r="M82" s="19" t="inlineStr">
        <is>
          <t>AS-100814</t>
        </is>
      </c>
      <c r="N82" t="inlineStr">
        <is>
          <t>https://drive.google.com/file/d/1UK5ImvPI8zfDKueQkYKgn7dgmMdVOoQU/view?usp=drivesdk</t>
        </is>
      </c>
    </row>
    <row r="83" ht="12" customHeight="1">
      <c r="A83" t="inlineStr">
        <is>
          <t>202603</t>
        </is>
      </c>
      <c r="B83" t="inlineStr">
        <is>
          <t>LTD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20.5</v>
      </c>
      <c r="H83" t="inlineStr">
        <is>
          <t>USD</t>
        </is>
      </c>
      <c r="I83" t="inlineStr">
        <is>
          <t>GBP</t>
        </is>
      </c>
      <c r="J83" s="18" t="n">
        <v>0.7552009</v>
      </c>
      <c r="K83" s="4" t="n">
        <v>15.48</v>
      </c>
      <c r="L83" t="inlineStr">
        <is>
          <t>documents</t>
        </is>
      </c>
      <c r="M83" s="19" t="inlineStr">
        <is>
          <t>AS-100856</t>
        </is>
      </c>
      <c r="N83" t="inlineStr">
        <is>
          <t>https://drive.google.com/file/d/14Gm4WH1frLdk8P62dC1mVPD_BGIVWZ27/view?usp=drivesdk</t>
        </is>
      </c>
    </row>
    <row r="84" ht="12" customHeight="1">
      <c r="A84" t="inlineStr">
        <is>
          <t>202603</t>
        </is>
      </c>
      <c r="B84" t="inlineStr">
        <is>
          <t>LTD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121.44</v>
      </c>
      <c r="H84" t="inlineStr">
        <is>
          <t>USD</t>
        </is>
      </c>
      <c r="I84" t="inlineStr">
        <is>
          <t>GBP</t>
        </is>
      </c>
      <c r="J84" s="18" t="n">
        <v>0.7552009</v>
      </c>
      <c r="K84" s="4" t="n">
        <v>91.70999999999999</v>
      </c>
      <c r="L84" t="inlineStr">
        <is>
          <t>documents</t>
        </is>
      </c>
      <c r="M84" s="19" t="inlineStr">
        <is>
          <t>AS-100911</t>
        </is>
      </c>
      <c r="N84" t="inlineStr">
        <is>
          <t>https://drive.google.com/file/d/11IWevgkm4WNzACo87cKk44YcMUSTk_1p/view?usp=drivesdk</t>
        </is>
      </c>
    </row>
    <row r="85" ht="12" customHeight="1">
      <c r="A85" t="inlineStr">
        <is>
          <t>202603</t>
        </is>
      </c>
      <c r="B85" t="inlineStr">
        <is>
          <t>LTD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20.5</v>
      </c>
      <c r="H85" t="inlineStr">
        <is>
          <t>USD</t>
        </is>
      </c>
      <c r="I85" t="inlineStr">
        <is>
          <t>GBP</t>
        </is>
      </c>
      <c r="J85" s="18" t="n">
        <v>0.7552009</v>
      </c>
      <c r="K85" s="4" t="n">
        <v>15.48</v>
      </c>
      <c r="L85" t="inlineStr">
        <is>
          <t>documents</t>
        </is>
      </c>
      <c r="M85" s="19" t="inlineStr">
        <is>
          <t>AS-100918</t>
        </is>
      </c>
      <c r="N85" t="inlineStr">
        <is>
          <t>https://drive.google.com/file/d/1m7AFyGhqy5cMVsFA4gpzq-TGjUBTq2gZ/view?usp=drivesdk</t>
        </is>
      </c>
    </row>
    <row r="86" ht="12" customHeight="1">
      <c r="A86" t="inlineStr">
        <is>
          <t>202603</t>
        </is>
      </c>
      <c r="B86" t="inlineStr">
        <is>
          <t>LTD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84.62</v>
      </c>
      <c r="H86" t="inlineStr">
        <is>
          <t>USD</t>
        </is>
      </c>
      <c r="I86" t="inlineStr">
        <is>
          <t>GBP</t>
        </is>
      </c>
      <c r="J86" s="18" t="n">
        <v>0.7552009</v>
      </c>
      <c r="K86" s="4" t="n">
        <v>63.91</v>
      </c>
      <c r="L86" t="inlineStr">
        <is>
          <t>documents</t>
        </is>
      </c>
      <c r="M86" s="19" t="inlineStr">
        <is>
          <t>AS-100977</t>
        </is>
      </c>
      <c r="N86" t="inlineStr">
        <is>
          <t>https://drive.google.com/file/d/1Cgc8hchCfgf7rmLBnj_H1qlutGNRdZB7/view?usp=drivesdk</t>
        </is>
      </c>
    </row>
    <row r="87" ht="12" customHeight="1">
      <c r="A87" t="inlineStr">
        <is>
          <t>202603</t>
        </is>
      </c>
      <c r="B87" t="inlineStr">
        <is>
          <t>LTD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44.06</v>
      </c>
      <c r="H87" t="inlineStr">
        <is>
          <t>USD</t>
        </is>
      </c>
      <c r="I87" t="inlineStr">
        <is>
          <t>GBP</t>
        </is>
      </c>
      <c r="J87" s="18" t="n">
        <v>0.7552009</v>
      </c>
      <c r="K87" s="4" t="n">
        <v>33.27</v>
      </c>
      <c r="L87" t="inlineStr">
        <is>
          <t>documents</t>
        </is>
      </c>
      <c r="M87" s="19" t="inlineStr">
        <is>
          <t>AS-101054</t>
        </is>
      </c>
      <c r="N87" t="inlineStr">
        <is>
          <t>https://drive.google.com/file/d/1WIDmlF0GDJ0yZUnSoWNMz1v8-Q--q-6h/view?usp=drivesdk</t>
        </is>
      </c>
    </row>
    <row r="88" ht="12" customHeight="1">
      <c r="A88" t="inlineStr">
        <is>
          <t>202603</t>
        </is>
      </c>
      <c r="B88" t="inlineStr">
        <is>
          <t>LTD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20.5</v>
      </c>
      <c r="H88" t="inlineStr">
        <is>
          <t>USD</t>
        </is>
      </c>
      <c r="I88" t="inlineStr">
        <is>
          <t>GBP</t>
        </is>
      </c>
      <c r="J88" s="18" t="n">
        <v>0.7552009</v>
      </c>
      <c r="K88" s="4" t="n">
        <v>15.48</v>
      </c>
      <c r="L88" t="inlineStr">
        <is>
          <t>documents</t>
        </is>
      </c>
      <c r="M88" s="19" t="inlineStr">
        <is>
          <t>AS-101073</t>
        </is>
      </c>
      <c r="N88" t="inlineStr">
        <is>
          <t>https://drive.google.com/file/d/1cvO8lXiAyWdQriOkXjiHgWASFj3yUJwM/view?usp=drivesdk</t>
        </is>
      </c>
    </row>
    <row r="89" ht="12" customHeight="1">
      <c r="A89" t="inlineStr">
        <is>
          <t>202603</t>
        </is>
      </c>
      <c r="B89" t="inlineStr">
        <is>
          <t>LTD</t>
        </is>
      </c>
      <c r="C89" t="inlineStr">
        <is>
          <t>cogs</t>
        </is>
      </c>
      <c r="D89" t="inlineStr">
        <is>
          <t>manufacturing</t>
        </is>
      </c>
      <c r="E89" t="inlineStr">
        <is>
          <t>JONDO</t>
        </is>
      </c>
      <c r="F89" t="inlineStr">
        <is>
          <t>invoice</t>
        </is>
      </c>
      <c r="G89" s="4" t="n">
        <v>186.08</v>
      </c>
      <c r="H89" t="inlineStr">
        <is>
          <t>USD</t>
        </is>
      </c>
      <c r="I89" t="inlineStr">
        <is>
          <t>GBP</t>
        </is>
      </c>
      <c r="J89" s="18" t="n">
        <v>0.7552009</v>
      </c>
      <c r="K89" s="4" t="n">
        <v>140.53</v>
      </c>
      <c r="L89" t="inlineStr">
        <is>
          <t>documents</t>
        </is>
      </c>
      <c r="M89" s="19" t="inlineStr">
        <is>
          <t>AS-101183</t>
        </is>
      </c>
      <c r="N89" t="inlineStr">
        <is>
          <t>https://drive.google.com/file/d/1kvZrj32v9oOsnIpfIXWQrBr1_zczw0Mb/view?usp=drivesdk</t>
        </is>
      </c>
    </row>
    <row r="90" ht="12" customHeight="1">
      <c r="A90" t="inlineStr">
        <is>
          <t>202603</t>
        </is>
      </c>
      <c r="B90" t="inlineStr">
        <is>
          <t>LTD</t>
        </is>
      </c>
      <c r="C90" t="inlineStr">
        <is>
          <t>cogs</t>
        </is>
      </c>
      <c r="D90" t="inlineStr">
        <is>
          <t>manufacturing</t>
        </is>
      </c>
      <c r="E90" t="inlineStr">
        <is>
          <t>JONDO</t>
        </is>
      </c>
      <c r="F90" t="inlineStr">
        <is>
          <t>invoice</t>
        </is>
      </c>
      <c r="G90" s="4" t="n">
        <v>24.54</v>
      </c>
      <c r="H90" t="inlineStr">
        <is>
          <t>USD</t>
        </is>
      </c>
      <c r="I90" t="inlineStr">
        <is>
          <t>GBP</t>
        </is>
      </c>
      <c r="J90" s="18" t="n">
        <v>0.7552009</v>
      </c>
      <c r="K90" s="4" t="n">
        <v>18.53</v>
      </c>
      <c r="L90" t="inlineStr">
        <is>
          <t>documents</t>
        </is>
      </c>
      <c r="M90" s="19" t="inlineStr">
        <is>
          <t>AS-101240</t>
        </is>
      </c>
      <c r="N90" t="inlineStr">
        <is>
          <t>https://drive.google.com/file/d/1HCXrEX-E4AdhpJ_Tt-6eEc5urwVoVfe2/view?usp=drivesdk</t>
        </is>
      </c>
    </row>
    <row r="91" ht="12" customHeight="1">
      <c r="A91" t="inlineStr">
        <is>
          <t>202603</t>
        </is>
      </c>
      <c r="B91" t="inlineStr">
        <is>
          <t>LTD</t>
        </is>
      </c>
      <c r="C91" t="inlineStr">
        <is>
          <t>cogs</t>
        </is>
      </c>
      <c r="D91" t="inlineStr">
        <is>
          <t>manufacturing</t>
        </is>
      </c>
      <c r="E91" t="inlineStr">
        <is>
          <t>JONDO</t>
        </is>
      </c>
      <c r="F91" t="inlineStr">
        <is>
          <t>invoice</t>
        </is>
      </c>
      <c r="G91" s="4" t="n">
        <v>63.91</v>
      </c>
      <c r="H91" t="inlineStr">
        <is>
          <t>USD</t>
        </is>
      </c>
      <c r="I91" t="inlineStr">
        <is>
          <t>GBP</t>
        </is>
      </c>
      <c r="J91" s="18" t="n">
        <v>0.7552009</v>
      </c>
      <c r="K91" s="4" t="n">
        <v>48.26</v>
      </c>
      <c r="L91" t="inlineStr">
        <is>
          <t>documents</t>
        </is>
      </c>
      <c r="M91" s="19" t="inlineStr">
        <is>
          <t>AS-101372</t>
        </is>
      </c>
      <c r="N91" t="inlineStr">
        <is>
          <t>https://drive.google.com/file/d/1nPjtPT4uhWtj_Jl1cSMmqzdiPrM1nL4t/view?usp=drivesdk</t>
        </is>
      </c>
    </row>
    <row r="92" ht="12" customHeight="1">
      <c r="A92" t="inlineStr">
        <is>
          <t>202603</t>
        </is>
      </c>
      <c r="B92" t="inlineStr">
        <is>
          <t>LTD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JONDO</t>
        </is>
      </c>
      <c r="F92" t="inlineStr">
        <is>
          <t>invoice</t>
        </is>
      </c>
      <c r="G92" s="4" t="n">
        <v>44.06</v>
      </c>
      <c r="H92" t="inlineStr">
        <is>
          <t>USD</t>
        </is>
      </c>
      <c r="I92" t="inlineStr">
        <is>
          <t>GBP</t>
        </is>
      </c>
      <c r="J92" s="18" t="n">
        <v>0.7552009</v>
      </c>
      <c r="K92" s="4" t="n">
        <v>33.27</v>
      </c>
      <c r="L92" t="inlineStr">
        <is>
          <t>documents</t>
        </is>
      </c>
      <c r="M92" s="19" t="inlineStr">
        <is>
          <t>AS-101435</t>
        </is>
      </c>
      <c r="N92" t="inlineStr">
        <is>
          <t>https://drive.google.com/file/d/1z5qKzMidf4sb00p7COAUy6esaN8tMgkB/view?usp=drivesdk</t>
        </is>
      </c>
    </row>
    <row r="93" ht="12" customHeight="1">
      <c r="A93" t="inlineStr">
        <is>
          <t>202603</t>
        </is>
      </c>
      <c r="B93" t="inlineStr">
        <is>
          <t>LTD</t>
        </is>
      </c>
      <c r="C93" t="inlineStr">
        <is>
          <t>cogs</t>
        </is>
      </c>
      <c r="D93" t="inlineStr">
        <is>
          <t>manufacturing</t>
        </is>
      </c>
      <c r="E93" t="inlineStr">
        <is>
          <t>JONDO</t>
        </is>
      </c>
      <c r="F93" t="inlineStr">
        <is>
          <t>invoice</t>
        </is>
      </c>
      <c r="G93" s="4" t="n">
        <v>289.26</v>
      </c>
      <c r="H93" t="inlineStr">
        <is>
          <t>USD</t>
        </is>
      </c>
      <c r="I93" t="inlineStr">
        <is>
          <t>GBP</t>
        </is>
      </c>
      <c r="J93" s="18" t="n">
        <v>0.7552009</v>
      </c>
      <c r="K93" s="4" t="n">
        <v>218.45</v>
      </c>
      <c r="L93" t="inlineStr">
        <is>
          <t>documents</t>
        </is>
      </c>
      <c r="M93" s="19" t="inlineStr">
        <is>
          <t>AS-101498</t>
        </is>
      </c>
      <c r="N93" t="inlineStr">
        <is>
          <t>https://drive.google.com/file/d/1rtodFn9rgE_8MBt-0KNt598W1j1iXFhQ/view?usp=drivesdk</t>
        </is>
      </c>
    </row>
    <row r="94" ht="12" customHeight="1">
      <c r="A94" t="inlineStr">
        <is>
          <t>202603</t>
        </is>
      </c>
      <c r="B94" t="inlineStr">
        <is>
          <t>LTD</t>
        </is>
      </c>
      <c r="C94" t="inlineStr">
        <is>
          <t>cogs</t>
        </is>
      </c>
      <c r="D94" t="inlineStr">
        <is>
          <t>manufacturing</t>
        </is>
      </c>
      <c r="E94" t="inlineStr">
        <is>
          <t>JONDO</t>
        </is>
      </c>
      <c r="F94" t="inlineStr">
        <is>
          <t>invoice</t>
        </is>
      </c>
      <c r="G94" s="4" t="n">
        <v>93.04000000000001</v>
      </c>
      <c r="H94" t="inlineStr">
        <is>
          <t>USD</t>
        </is>
      </c>
      <c r="I94" t="inlineStr">
        <is>
          <t>GBP</t>
        </is>
      </c>
      <c r="J94" s="18" t="n">
        <v>0.7552009</v>
      </c>
      <c r="K94" s="4" t="n">
        <v>70.26000000000001</v>
      </c>
      <c r="L94" t="inlineStr">
        <is>
          <t>documents</t>
        </is>
      </c>
      <c r="M94" s="19" t="inlineStr">
        <is>
          <t>AS-101504</t>
        </is>
      </c>
      <c r="N94" t="inlineStr">
        <is>
          <t>https://drive.google.com/file/d/1n7W1kipwRj0DuCiUnfnuByxq-xnBWLQG/view?usp=drivesdk</t>
        </is>
      </c>
    </row>
    <row r="95" ht="12" customHeight="1">
      <c r="A95" t="inlineStr">
        <is>
          <t>202603</t>
        </is>
      </c>
      <c r="B95" t="inlineStr">
        <is>
          <t>LTD</t>
        </is>
      </c>
      <c r="C95" t="inlineStr">
        <is>
          <t>cogs</t>
        </is>
      </c>
      <c r="D95" t="inlineStr">
        <is>
          <t>manufacturing</t>
        </is>
      </c>
      <c r="E95" t="inlineStr">
        <is>
          <t>JONDO</t>
        </is>
      </c>
      <c r="F95" t="inlineStr">
        <is>
          <t>invoice</t>
        </is>
      </c>
      <c r="G95" s="4" t="n">
        <v>44.06</v>
      </c>
      <c r="H95" t="inlineStr">
        <is>
          <t>USD</t>
        </is>
      </c>
      <c r="I95" t="inlineStr">
        <is>
          <t>GBP</t>
        </is>
      </c>
      <c r="J95" s="18" t="n">
        <v>0.7552009</v>
      </c>
      <c r="K95" s="4" t="n">
        <v>33.27</v>
      </c>
      <c r="L95" t="inlineStr">
        <is>
          <t>documents</t>
        </is>
      </c>
      <c r="M95" s="19" t="inlineStr">
        <is>
          <t>AS-101728</t>
        </is>
      </c>
      <c r="N95" t="inlineStr">
        <is>
          <t>https://drive.google.com/file/d/1SSvy3CRiyERc3B_Ml_KjQ8UkCL9O35kX/view?usp=drivesdk</t>
        </is>
      </c>
    </row>
    <row r="96" ht="12" customHeight="1">
      <c r="A96" t="inlineStr">
        <is>
          <t>202603</t>
        </is>
      </c>
      <c r="B96" t="inlineStr">
        <is>
          <t>LTD</t>
        </is>
      </c>
      <c r="C96" t="inlineStr">
        <is>
          <t>cogs</t>
        </is>
      </c>
      <c r="D96" t="inlineStr">
        <is>
          <t>manufacturing</t>
        </is>
      </c>
      <c r="E96" t="inlineStr">
        <is>
          <t>JONDO</t>
        </is>
      </c>
      <c r="F96" t="inlineStr">
        <is>
          <t>invoice</t>
        </is>
      </c>
      <c r="G96" s="4" t="n">
        <v>63.91</v>
      </c>
      <c r="H96" t="inlineStr">
        <is>
          <t>USD</t>
        </is>
      </c>
      <c r="I96" t="inlineStr">
        <is>
          <t>GBP</t>
        </is>
      </c>
      <c r="J96" s="18" t="n">
        <v>0.7552009</v>
      </c>
      <c r="K96" s="4" t="n">
        <v>48.26</v>
      </c>
      <c r="L96" t="inlineStr">
        <is>
          <t>documents</t>
        </is>
      </c>
      <c r="M96" s="19" t="inlineStr">
        <is>
          <t>AS-101822</t>
        </is>
      </c>
      <c r="N96" t="inlineStr">
        <is>
          <t>https://drive.google.com/file/d/11AdEe5_B3gGDMClc5xlXO-Q4LLgsHc7j/view?usp=drivesdk</t>
        </is>
      </c>
    </row>
    <row r="97" ht="12" customHeight="1">
      <c r="A97" t="inlineStr">
        <is>
          <t>202603</t>
        </is>
      </c>
      <c r="B97" t="inlineStr">
        <is>
          <t>LTD</t>
        </is>
      </c>
      <c r="C97" t="inlineStr">
        <is>
          <t>cogs</t>
        </is>
      </c>
      <c r="D97" t="inlineStr">
        <is>
          <t>manufacturing</t>
        </is>
      </c>
      <c r="E97" t="inlineStr">
        <is>
          <t>JONDO</t>
        </is>
      </c>
      <c r="F97" t="inlineStr">
        <is>
          <t>invoice</t>
        </is>
      </c>
      <c r="G97" s="4" t="n">
        <v>36.41</v>
      </c>
      <c r="H97" t="inlineStr">
        <is>
          <t>USD</t>
        </is>
      </c>
      <c r="I97" t="inlineStr">
        <is>
          <t>GBP</t>
        </is>
      </c>
      <c r="J97" s="18" t="n">
        <v>0.7552009</v>
      </c>
      <c r="K97" s="4" t="n">
        <v>27.5</v>
      </c>
      <c r="L97" t="inlineStr">
        <is>
          <t>documents</t>
        </is>
      </c>
      <c r="M97" s="19" t="inlineStr">
        <is>
          <t>AS-101900</t>
        </is>
      </c>
      <c r="N97" t="inlineStr">
        <is>
          <t>https://drive.google.com/file/d/1SUoxBgOXOFHpe0FgpBOtdodf-tqILSBr/view?usp=drivesdk</t>
        </is>
      </c>
    </row>
    <row r="98" ht="12" customHeight="1">
      <c r="A98" t="inlineStr">
        <is>
          <t>202603</t>
        </is>
      </c>
      <c r="B98" t="inlineStr">
        <is>
          <t>LTD</t>
        </is>
      </c>
      <c r="C98" t="inlineStr">
        <is>
          <t>cogs</t>
        </is>
      </c>
      <c r="D98" t="inlineStr">
        <is>
          <t>manufacturing</t>
        </is>
      </c>
      <c r="E98" t="inlineStr">
        <is>
          <t>JONDO</t>
        </is>
      </c>
      <c r="F98" t="inlineStr">
        <is>
          <t>invoice</t>
        </is>
      </c>
      <c r="G98" s="4" t="n">
        <v>36.82</v>
      </c>
      <c r="H98" t="inlineStr">
        <is>
          <t>USD</t>
        </is>
      </c>
      <c r="I98" t="inlineStr">
        <is>
          <t>GBP</t>
        </is>
      </c>
      <c r="J98" s="18" t="n">
        <v>0.7552009</v>
      </c>
      <c r="K98" s="4" t="n">
        <v>27.81</v>
      </c>
      <c r="L98" t="inlineStr">
        <is>
          <t>documents</t>
        </is>
      </c>
      <c r="M98" s="19" t="inlineStr">
        <is>
          <t>AS-101969</t>
        </is>
      </c>
      <c r="N98" t="inlineStr">
        <is>
          <t>https://drive.google.com/file/d/1lXf3gMz04497nZzdwMIWtJ48G-yrGP0M/view?usp=drivesdk</t>
        </is>
      </c>
    </row>
    <row r="99" ht="12" customHeight="1">
      <c r="A99" t="inlineStr">
        <is>
          <t>202603</t>
        </is>
      </c>
      <c r="B99" t="inlineStr">
        <is>
          <t>LTD</t>
        </is>
      </c>
      <c r="C99" t="inlineStr">
        <is>
          <t>cogs</t>
        </is>
      </c>
      <c r="D99" t="inlineStr">
        <is>
          <t>manufacturing</t>
        </is>
      </c>
      <c r="E99" t="inlineStr">
        <is>
          <t>JONDO</t>
        </is>
      </c>
      <c r="F99" t="inlineStr">
        <is>
          <t>invoice</t>
        </is>
      </c>
      <c r="G99" s="4" t="n">
        <v>45.04</v>
      </c>
      <c r="H99" t="inlineStr">
        <is>
          <t>USD</t>
        </is>
      </c>
      <c r="I99" t="inlineStr">
        <is>
          <t>GBP</t>
        </is>
      </c>
      <c r="J99" s="18" t="n">
        <v>0.7552009</v>
      </c>
      <c r="K99" s="4" t="n">
        <v>34.01</v>
      </c>
      <c r="L99" t="inlineStr">
        <is>
          <t>documents</t>
        </is>
      </c>
      <c r="M99" s="19" t="inlineStr">
        <is>
          <t>AS-102040</t>
        </is>
      </c>
      <c r="N99" t="inlineStr">
        <is>
          <t>https://drive.google.com/file/d/1QyHd3vSTw0ECion_wPSyL_KKOYVB1VcV/view?usp=drivesdk</t>
        </is>
      </c>
    </row>
    <row r="100" ht="12" customHeight="1">
      <c r="A100" t="inlineStr">
        <is>
          <t>202603</t>
        </is>
      </c>
      <c r="B100" t="inlineStr">
        <is>
          <t>LTD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92.63</v>
      </c>
      <c r="H100" t="inlineStr">
        <is>
          <t>USD</t>
        </is>
      </c>
      <c r="I100" t="inlineStr">
        <is>
          <t>GBP</t>
        </is>
      </c>
      <c r="J100" s="18" t="n">
        <v>0.7552009</v>
      </c>
      <c r="K100" s="4" t="n">
        <v>69.95</v>
      </c>
      <c r="L100" t="inlineStr">
        <is>
          <t>documents</t>
        </is>
      </c>
      <c r="M100" s="19" t="inlineStr">
        <is>
          <t>AS-102097</t>
        </is>
      </c>
      <c r="N100" t="inlineStr">
        <is>
          <t>https://drive.google.com/file/d/1S3W9uEB4awliO5PmEKO8Q08Mgl6vzlCT/view?usp=drivesdk</t>
        </is>
      </c>
    </row>
    <row r="101" ht="12" customHeight="1">
      <c r="A101" t="inlineStr">
        <is>
          <t>202603</t>
        </is>
      </c>
      <c r="B101" t="inlineStr">
        <is>
          <t>LTD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36.41</v>
      </c>
      <c r="H101" t="inlineStr">
        <is>
          <t>USD</t>
        </is>
      </c>
      <c r="I101" t="inlineStr">
        <is>
          <t>GBP</t>
        </is>
      </c>
      <c r="J101" s="18" t="n">
        <v>0.7552009</v>
      </c>
      <c r="K101" s="4" t="n">
        <v>27.5</v>
      </c>
      <c r="L101" t="inlineStr">
        <is>
          <t>documents</t>
        </is>
      </c>
      <c r="M101" s="19" t="inlineStr">
        <is>
          <t>AS-102102</t>
        </is>
      </c>
      <c r="N101" t="inlineStr">
        <is>
          <t>https://drive.google.com/file/d/1lRtBdbWrHQz82FckIim2FjPJ6jwlzBvJ/view?usp=drivesdk</t>
        </is>
      </c>
    </row>
    <row r="102" ht="12" customHeight="1">
      <c r="A102" t="inlineStr">
        <is>
          <t>202603</t>
        </is>
      </c>
      <c r="B102" t="inlineStr">
        <is>
          <t>LTD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56.22</v>
      </c>
      <c r="H102" t="inlineStr">
        <is>
          <t>USD</t>
        </is>
      </c>
      <c r="I102" t="inlineStr">
        <is>
          <t>GBP</t>
        </is>
      </c>
      <c r="J102" s="18" t="n">
        <v>0.7552009</v>
      </c>
      <c r="K102" s="4" t="n">
        <v>42.46</v>
      </c>
      <c r="L102" t="inlineStr">
        <is>
          <t>documents</t>
        </is>
      </c>
      <c r="M102" s="19" t="inlineStr">
        <is>
          <t>AS-102184</t>
        </is>
      </c>
      <c r="N102" t="inlineStr">
        <is>
          <t>https://drive.google.com/file/d/19zP1jb5VdyLdru5aGeM4onYiWNr8_hLV/view?usp=drivesdk</t>
        </is>
      </c>
    </row>
    <row r="103" ht="12" customHeight="1">
      <c r="A103" t="inlineStr">
        <is>
          <t>202603</t>
        </is>
      </c>
      <c r="B103" t="inlineStr">
        <is>
          <t>LTD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93.04000000000001</v>
      </c>
      <c r="H103" t="inlineStr">
        <is>
          <t>USD</t>
        </is>
      </c>
      <c r="I103" t="inlineStr">
        <is>
          <t>GBP</t>
        </is>
      </c>
      <c r="J103" s="18" t="n">
        <v>0.7552009</v>
      </c>
      <c r="K103" s="4" t="n">
        <v>70.26000000000001</v>
      </c>
      <c r="L103" t="inlineStr">
        <is>
          <t>documents</t>
        </is>
      </c>
      <c r="M103" s="19" t="inlineStr">
        <is>
          <t>AS-102223</t>
        </is>
      </c>
      <c r="N103" t="inlineStr">
        <is>
          <t>https://drive.google.com/file/d/1qZaFUoy8ye6aPodf87UetEFKHj9d2tzG/view?usp=drivesdk</t>
        </is>
      </c>
    </row>
    <row r="104" ht="12" customHeight="1">
      <c r="A104" t="inlineStr">
        <is>
          <t>202603</t>
        </is>
      </c>
      <c r="B104" t="inlineStr">
        <is>
          <t>LTD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36.41</v>
      </c>
      <c r="H104" t="inlineStr">
        <is>
          <t>USD</t>
        </is>
      </c>
      <c r="I104" t="inlineStr">
        <is>
          <t>GBP</t>
        </is>
      </c>
      <c r="J104" s="18" t="n">
        <v>0.7552009</v>
      </c>
      <c r="K104" s="4" t="n">
        <v>27.5</v>
      </c>
      <c r="L104" t="inlineStr">
        <is>
          <t>documents</t>
        </is>
      </c>
      <c r="M104" s="19" t="inlineStr">
        <is>
          <t>AS-102380</t>
        </is>
      </c>
      <c r="N104" t="inlineStr">
        <is>
          <t>https://drive.google.com/file/d/1IGgA4r6m6O4ntYrt2TiNlL-heocKia49/view?usp=drivesdk</t>
        </is>
      </c>
    </row>
    <row r="105" ht="12" customHeight="1">
      <c r="A105" t="inlineStr">
        <is>
          <t>202603</t>
        </is>
      </c>
      <c r="B105" t="inlineStr">
        <is>
          <t>LTD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36.82</v>
      </c>
      <c r="H105" t="inlineStr">
        <is>
          <t>USD</t>
        </is>
      </c>
      <c r="I105" t="inlineStr">
        <is>
          <t>GBP</t>
        </is>
      </c>
      <c r="J105" s="18" t="n">
        <v>0.7552009</v>
      </c>
      <c r="K105" s="4" t="n">
        <v>27.81</v>
      </c>
      <c r="L105" t="inlineStr">
        <is>
          <t>documents</t>
        </is>
      </c>
      <c r="M105" s="19" t="inlineStr">
        <is>
          <t>AS-102423</t>
        </is>
      </c>
      <c r="N105" t="inlineStr">
        <is>
          <t>https://drive.google.com/file/d/1ITdGy-6O91D6z0_qImZpKUv0mdgh0AD6/view?usp=drivesdk</t>
        </is>
      </c>
    </row>
    <row r="106" ht="12" customHeight="1">
      <c r="A106" t="inlineStr">
        <is>
          <t>202603</t>
        </is>
      </c>
      <c r="B106" t="inlineStr">
        <is>
          <t>LTD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93.04000000000001</v>
      </c>
      <c r="H106" t="inlineStr">
        <is>
          <t>USD</t>
        </is>
      </c>
      <c r="I106" t="inlineStr">
        <is>
          <t>GBP</t>
        </is>
      </c>
      <c r="J106" s="18" t="n">
        <v>0.7552009</v>
      </c>
      <c r="K106" s="4" t="n">
        <v>70.26000000000001</v>
      </c>
      <c r="L106" t="inlineStr">
        <is>
          <t>documents</t>
        </is>
      </c>
      <c r="M106" s="19" t="inlineStr">
        <is>
          <t>AS-102515</t>
        </is>
      </c>
      <c r="N106" t="inlineStr">
        <is>
          <t>https://drive.google.com/file/d/1eTgClB7SO7ewlahs2CtNRw-_ITgqqOY3/view?usp=drivesdk</t>
        </is>
      </c>
    </row>
    <row r="107" ht="12" customHeight="1">
      <c r="A107" t="inlineStr">
        <is>
          <t>202603</t>
        </is>
      </c>
      <c r="B107" t="inlineStr">
        <is>
          <t>LTD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168.66</v>
      </c>
      <c r="H107" t="inlineStr">
        <is>
          <t>USD</t>
        </is>
      </c>
      <c r="I107" t="inlineStr">
        <is>
          <t>GBP</t>
        </is>
      </c>
      <c r="J107" s="18" t="n">
        <v>0.7552009</v>
      </c>
      <c r="K107" s="4" t="n">
        <v>127.37</v>
      </c>
      <c r="L107" t="inlineStr">
        <is>
          <t>documents</t>
        </is>
      </c>
      <c r="M107" s="19" t="inlineStr">
        <is>
          <t>AS-99937</t>
        </is>
      </c>
      <c r="N107" t="inlineStr">
        <is>
          <t>https://drive.google.com/file/d/1F5n3S94IlEQiaG5CxcEnMOmVUEe54Qph/view?usp=drivesdk</t>
        </is>
      </c>
    </row>
    <row r="108" ht="12" customHeight="1">
      <c r="A108" t="inlineStr">
        <is>
          <t>202603</t>
        </is>
      </c>
      <c r="B108" t="inlineStr">
        <is>
          <t>LTD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45.04</v>
      </c>
      <c r="H108" t="inlineStr">
        <is>
          <t>USD</t>
        </is>
      </c>
      <c r="I108" t="inlineStr">
        <is>
          <t>GBP</t>
        </is>
      </c>
      <c r="J108" s="18" t="n">
        <v>0.7552009</v>
      </c>
      <c r="K108" s="4" t="n">
        <v>34.01</v>
      </c>
      <c r="L108" t="inlineStr">
        <is>
          <t>documents</t>
        </is>
      </c>
      <c r="M108" s="19" t="inlineStr">
        <is>
          <t>AS-99977</t>
        </is>
      </c>
      <c r="N108" t="inlineStr">
        <is>
          <t>https://drive.google.com/file/d/1HqxIRZp8jdjgtVEEzbk0E2ug9Ukvwr6z/view?usp=drivesdk</t>
        </is>
      </c>
    </row>
    <row r="109" ht="12" customHeight="1">
      <c r="A109" t="inlineStr">
        <is>
          <t>202603</t>
        </is>
      </c>
      <c r="B109" t="inlineStr">
        <is>
          <t>LTD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PORTCLEARANCE</t>
        </is>
      </c>
      <c r="F109" t="inlineStr">
        <is>
          <t>manufacturing</t>
        </is>
      </c>
      <c r="G109" s="4" t="n">
        <v>52</v>
      </c>
      <c r="H109" t="inlineStr">
        <is>
          <t>GBP</t>
        </is>
      </c>
      <c r="I109" t="inlineStr">
        <is>
          <t>GBP</t>
        </is>
      </c>
      <c r="J109" s="18" t="n">
        <v>1</v>
      </c>
      <c r="K109" s="4" t="n">
        <v>52</v>
      </c>
      <c r="L109" t="inlineStr">
        <is>
          <t>documents</t>
        </is>
      </c>
      <c r="M109" s="19" t="inlineStr">
        <is>
          <t>PCSI2601529</t>
        </is>
      </c>
      <c r="N109" t="inlineStr">
        <is>
          <t>https://drive.google.com/file/d/1iuW9SLUOB-pyUC4WZ2Kr-BZJwj1fyRk2/view?usp=drivesdk</t>
        </is>
      </c>
    </row>
    <row r="110" ht="12" customHeight="1">
      <c r="A110" t="inlineStr">
        <is>
          <t>202603</t>
        </is>
      </c>
      <c r="B110" t="inlineStr">
        <is>
          <t>LTD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PROCO</t>
        </is>
      </c>
      <c r="F110" t="inlineStr">
        <is>
          <t>logistics</t>
        </is>
      </c>
      <c r="G110" s="4" t="n">
        <v>2355.35</v>
      </c>
      <c r="H110" t="inlineStr">
        <is>
          <t>GBP</t>
        </is>
      </c>
      <c r="I110" t="inlineStr">
        <is>
          <t>GBP</t>
        </is>
      </c>
      <c r="J110" s="18" t="n">
        <v>1</v>
      </c>
      <c r="K110" s="4" t="n">
        <v>2355.35</v>
      </c>
      <c r="L110" t="inlineStr">
        <is>
          <t>documents</t>
        </is>
      </c>
      <c r="M110" s="19" t="inlineStr">
        <is>
          <t>6033972</t>
        </is>
      </c>
      <c r="N110" t="inlineStr">
        <is>
          <t>https://drive.google.com/file/d/1JNfV8XsMUpl0QxOG7Ao1qGRC8bJoJjPf/view?usp=drivesdk</t>
        </is>
      </c>
    </row>
    <row r="111" ht="12" customHeight="1">
      <c r="A111" t="inlineStr">
        <is>
          <t>202603</t>
        </is>
      </c>
      <c r="B111" t="inlineStr">
        <is>
          <t>LTD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PROCO</t>
        </is>
      </c>
      <c r="F111" t="inlineStr">
        <is>
          <t>manufacturing</t>
        </is>
      </c>
      <c r="G111" s="4" t="n">
        <v>5142.2</v>
      </c>
      <c r="H111" t="inlineStr">
        <is>
          <t>GBP</t>
        </is>
      </c>
      <c r="I111" t="inlineStr">
        <is>
          <t>GBP</t>
        </is>
      </c>
      <c r="J111" s="18" t="n">
        <v>1</v>
      </c>
      <c r="K111" s="4" t="n">
        <v>5142.2</v>
      </c>
      <c r="L111" t="inlineStr">
        <is>
          <t>documents</t>
        </is>
      </c>
      <c r="M111" s="19" t="inlineStr">
        <is>
          <t>6033972</t>
        </is>
      </c>
      <c r="N111" t="inlineStr">
        <is>
          <t>https://drive.google.com/file/d/1JNfV8XsMUpl0QxOG7Ao1qGRC8bJoJjPf/view?usp=drivesdk</t>
        </is>
      </c>
    </row>
    <row r="112" ht="12" customHeight="1">
      <c r="A112" t="inlineStr">
        <is>
          <t>202603</t>
        </is>
      </c>
      <c r="B112" t="inlineStr">
        <is>
          <t>LTD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REVER</t>
        </is>
      </c>
      <c r="F112" t="inlineStr">
        <is>
          <t>invoice</t>
        </is>
      </c>
      <c r="G112" s="4" t="n">
        <v>81.37</v>
      </c>
      <c r="H112" t="inlineStr">
        <is>
          <t>EUR</t>
        </is>
      </c>
      <c r="I112" t="inlineStr">
        <is>
          <t>GBP</t>
        </is>
      </c>
      <c r="J112" s="18" t="n">
        <v>0.86833</v>
      </c>
      <c r="K112" s="4" t="n">
        <v>70.66</v>
      </c>
      <c r="L112" t="inlineStr">
        <is>
          <t>documents</t>
        </is>
      </c>
      <c r="M112" s="19" t="inlineStr">
        <is>
          <t>RVR-17773</t>
        </is>
      </c>
      <c r="N112" t="inlineStr">
        <is>
          <t>https://drive.google.com/file/d/1E-ja8xtAToIkewPj62keRSqcrxMPdPhW/view?usp=drivesdk</t>
        </is>
      </c>
    </row>
    <row r="113" ht="12" customHeight="1">
      <c r="A113" t="inlineStr">
        <is>
          <t>202603</t>
        </is>
      </c>
      <c r="B113" t="inlineStr">
        <is>
          <t>LTD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REVER</t>
        </is>
      </c>
      <c r="F113" t="inlineStr">
        <is>
          <t>invoice</t>
        </is>
      </c>
      <c r="G113" s="4" t="n">
        <v>81.37</v>
      </c>
      <c r="H113" t="inlineStr">
        <is>
          <t>EUR</t>
        </is>
      </c>
      <c r="I113" t="inlineStr">
        <is>
          <t>GBP</t>
        </is>
      </c>
      <c r="J113" s="18" t="n">
        <v>0.86833</v>
      </c>
      <c r="K113" s="4" t="n">
        <v>70.66</v>
      </c>
      <c r="L113" t="inlineStr">
        <is>
          <t>documents</t>
        </is>
      </c>
      <c r="M113" s="19" t="inlineStr">
        <is>
          <t>RVR-18638</t>
        </is>
      </c>
      <c r="N113" t="inlineStr">
        <is>
          <t>https://drive.google.com/file/d/1pj6YfDTJzQyuObWQvmYAAc-P8wEb8HwW/view?usp=drivesdk</t>
        </is>
      </c>
    </row>
    <row r="114" ht="12" customHeight="1">
      <c r="A114" t="inlineStr">
        <is>
          <t>202603</t>
        </is>
      </c>
      <c r="B114" t="inlineStr">
        <is>
          <t>LTD</t>
        </is>
      </c>
      <c r="C114" t="inlineStr">
        <is>
          <t>opex</t>
        </is>
      </c>
      <c r="D114" t="inlineStr">
        <is>
          <t>shared_services</t>
        </is>
      </c>
      <c r="E114" t="inlineStr">
        <is>
          <t>SHAREDSERVICESSL</t>
        </is>
      </c>
      <c r="F114" t="inlineStr">
        <is>
          <t>invoice</t>
        </is>
      </c>
      <c r="G114" s="4" t="n">
        <v>14144.1</v>
      </c>
      <c r="H114" t="inlineStr">
        <is>
          <t>EUR</t>
        </is>
      </c>
      <c r="I114" t="inlineStr">
        <is>
          <t>GBP</t>
        </is>
      </c>
      <c r="J114" s="18" t="n">
        <v>0.86833</v>
      </c>
      <c r="K114" s="4" t="n">
        <v>12281.75</v>
      </c>
      <c r="L114" t="inlineStr">
        <is>
          <t>documents</t>
        </is>
      </c>
      <c r="M114" s="19" t="inlineStr">
        <is>
          <t>2026-0016</t>
        </is>
      </c>
      <c r="N114" t="inlineStr">
        <is>
          <t>https://drive.google.com/file/d/1KdK-Ik0l5-TAvrDmyV47ighudMtGRrKE/view?usp=drivesdk</t>
        </is>
      </c>
    </row>
    <row r="115" ht="12" customHeight="1">
      <c r="A115" t="inlineStr">
        <is>
          <t>202603</t>
        </is>
      </c>
      <c r="B115" t="inlineStr">
        <is>
          <t>LTD</t>
        </is>
      </c>
      <c r="C115" t="inlineStr">
        <is>
          <t>opex</t>
        </is>
      </c>
      <c r="D115" t="inlineStr">
        <is>
          <t>administration</t>
        </is>
      </c>
      <c r="E115" t="inlineStr">
        <is>
          <t>YOURACCOUNTSTAXES</t>
        </is>
      </c>
      <c r="F115" t="inlineStr">
        <is>
          <t>invoice</t>
        </is>
      </c>
      <c r="G115" s="4" t="n">
        <v>26.5</v>
      </c>
      <c r="H115" t="inlineStr">
        <is>
          <t>GBP</t>
        </is>
      </c>
      <c r="I115" t="inlineStr">
        <is>
          <t>GBP</t>
        </is>
      </c>
      <c r="J115" s="18" t="n">
        <v>1</v>
      </c>
      <c r="K115" s="4" t="n">
        <v>26.5</v>
      </c>
      <c r="L115" t="inlineStr">
        <is>
          <t>documents</t>
        </is>
      </c>
      <c r="M115" s="19" t="inlineStr">
        <is>
          <t>INV-0679_PERIODIFICADA_3_12</t>
        </is>
      </c>
      <c r="N115" t="inlineStr">
        <is>
          <t>https://drive.google.com/file/d/1SwIai4YdtUV-rQd0AKSUEVkEfdlYRoPA/view?usp=drivesdk</t>
        </is>
      </c>
    </row>
    <row r="116" ht="12" customHeight="1">
      <c r="A116" t="inlineStr">
        <is>
          <t>202603</t>
        </is>
      </c>
      <c r="B116" t="inlineStr">
        <is>
          <t>LTD</t>
        </is>
      </c>
      <c r="C116" t="inlineStr">
        <is>
          <t>opex</t>
        </is>
      </c>
      <c r="D116" t="inlineStr">
        <is>
          <t>administration</t>
        </is>
      </c>
      <c r="E116" t="inlineStr">
        <is>
          <t>YOURACCOUNTSTAXES</t>
        </is>
      </c>
      <c r="F116" t="inlineStr">
        <is>
          <t>invoice</t>
        </is>
      </c>
      <c r="G116" s="4" t="n">
        <v>55</v>
      </c>
      <c r="H116" t="inlineStr">
        <is>
          <t>GBP</t>
        </is>
      </c>
      <c r="I116" t="inlineStr">
        <is>
          <t>GBP</t>
        </is>
      </c>
      <c r="J116" s="18" t="n">
        <v>1</v>
      </c>
      <c r="K116" s="4" t="n">
        <v>55</v>
      </c>
      <c r="L116" t="inlineStr">
        <is>
          <t>documents</t>
        </is>
      </c>
      <c r="M116" s="19" t="inlineStr">
        <is>
          <t>INV-0681_PERIODIFICADA_2_12</t>
        </is>
      </c>
      <c r="N116" t="inlineStr">
        <is>
          <t>https://drive.google.com/file/d/1CFf2KHZd750hPLNp1Xj5DzzQwrKmlw9L/view?usp=drivesdk</t>
        </is>
      </c>
    </row>
    <row r="117" ht="12" customHeight="1">
      <c r="A117" t="inlineStr">
        <is>
          <t>202603</t>
        </is>
      </c>
      <c r="B117" t="inlineStr">
        <is>
          <t>LTD</t>
        </is>
      </c>
      <c r="C117" t="inlineStr">
        <is>
          <t>opex</t>
        </is>
      </c>
      <c r="D117" t="inlineStr">
        <is>
          <t>administration</t>
        </is>
      </c>
      <c r="E117" t="inlineStr">
        <is>
          <t>YOURACCOUNTSTAXES</t>
        </is>
      </c>
      <c r="F117" t="inlineStr">
        <is>
          <t>invoice</t>
        </is>
      </c>
      <c r="G117" s="4" t="n">
        <v>103.67</v>
      </c>
      <c r="H117" t="inlineStr">
        <is>
          <t>GBP</t>
        </is>
      </c>
      <c r="I117" t="inlineStr">
        <is>
          <t>GBP</t>
        </is>
      </c>
      <c r="J117" s="18" t="n">
        <v>1</v>
      </c>
      <c r="K117" s="4" t="n">
        <v>103.67</v>
      </c>
      <c r="L117" t="inlineStr">
        <is>
          <t>documents</t>
        </is>
      </c>
      <c r="M117" s="19" t="inlineStr">
        <is>
          <t>INV-0682_PERIODIFICADA_3_12</t>
        </is>
      </c>
      <c r="N117" t="inlineStr">
        <is>
          <t>https://drive.google.com/file/d/1LlEUQpBPSqkZ5BKsa4CYacg0DVARYbta/view?usp=drivesdk</t>
        </is>
      </c>
    </row>
    <row r="118" ht="12" customHeight="1">
      <c r="A118" t="inlineStr">
        <is>
          <t>202603</t>
        </is>
      </c>
      <c r="B118" t="inlineStr">
        <is>
          <t>LTD</t>
        </is>
      </c>
      <c r="C118" t="inlineStr">
        <is>
          <t>opex</t>
        </is>
      </c>
      <c r="D118" t="inlineStr">
        <is>
          <t>administration</t>
        </is>
      </c>
      <c r="E118" t="inlineStr">
        <is>
          <t>YOURACCOUNTSTAXES</t>
        </is>
      </c>
      <c r="F118" t="inlineStr">
        <is>
          <t>invoice</t>
        </is>
      </c>
      <c r="G118" s="4" t="n">
        <v>69</v>
      </c>
      <c r="H118" t="inlineStr">
        <is>
          <t>GBP</t>
        </is>
      </c>
      <c r="I118" t="inlineStr">
        <is>
          <t>GBP</t>
        </is>
      </c>
      <c r="J118" s="18" t="n">
        <v>1</v>
      </c>
      <c r="K118" s="4" t="n">
        <v>69</v>
      </c>
      <c r="L118" t="inlineStr">
        <is>
          <t>documents</t>
        </is>
      </c>
      <c r="M118" s="19" t="inlineStr">
        <is>
          <t>INV-0683</t>
        </is>
      </c>
      <c r="N118" t="inlineStr">
        <is>
          <t>https://drive.google.com/file/d/1uULQPI6E_iQgTyBEkDnDPTe-Xg6fqGiO/view?usp=drivesdk</t>
        </is>
      </c>
    </row>
    <row r="119" ht="12" customHeight="1">
      <c r="A119" t="inlineStr">
        <is>
          <t>202604</t>
        </is>
      </c>
      <c r="B119" t="inlineStr">
        <is>
          <t>LTD</t>
        </is>
      </c>
      <c r="C119" t="inlineStr">
        <is>
          <t>opex</t>
        </is>
      </c>
      <c r="D119" t="inlineStr">
        <is>
          <t>administration</t>
        </is>
      </c>
      <c r="E119" t="inlineStr">
        <is>
          <t>YOURACCOUNTSTAXES</t>
        </is>
      </c>
      <c r="F119" t="inlineStr">
        <is>
          <t>invoice</t>
        </is>
      </c>
      <c r="G119" s="4" t="n">
        <v>26.5</v>
      </c>
      <c r="H119" t="inlineStr">
        <is>
          <t>GBP</t>
        </is>
      </c>
      <c r="I119" t="inlineStr">
        <is>
          <t>GBP</t>
        </is>
      </c>
      <c r="J119" s="18" t="n">
        <v>1</v>
      </c>
      <c r="K119" s="4" t="n">
        <v>26.5</v>
      </c>
      <c r="L119" t="inlineStr">
        <is>
          <t>documents</t>
        </is>
      </c>
      <c r="M119" s="19" t="inlineStr">
        <is>
          <t>INV-0679_PERIODIFICADA_4_12</t>
        </is>
      </c>
      <c r="N119" t="inlineStr">
        <is>
          <t>https://drive.google.com/file/d/1gDlq6Zum-eIMUjbaI329tWP9UutsRoFn/view?usp=drivesdk</t>
        </is>
      </c>
    </row>
    <row r="120" ht="12" customHeight="1">
      <c r="A120" t="inlineStr">
        <is>
          <t>202604</t>
        </is>
      </c>
      <c r="B120" t="inlineStr">
        <is>
          <t>LTD</t>
        </is>
      </c>
      <c r="C120" t="inlineStr">
        <is>
          <t>opex</t>
        </is>
      </c>
      <c r="D120" t="inlineStr">
        <is>
          <t>administration</t>
        </is>
      </c>
      <c r="E120" t="inlineStr">
        <is>
          <t>YOURACCOUNTSTAXES</t>
        </is>
      </c>
      <c r="F120" t="inlineStr">
        <is>
          <t>invoice</t>
        </is>
      </c>
      <c r="G120" s="4" t="n">
        <v>55</v>
      </c>
      <c r="H120" t="inlineStr">
        <is>
          <t>GBP</t>
        </is>
      </c>
      <c r="I120" t="inlineStr">
        <is>
          <t>GBP</t>
        </is>
      </c>
      <c r="J120" s="18" t="n">
        <v>1</v>
      </c>
      <c r="K120" s="4" t="n">
        <v>55</v>
      </c>
      <c r="L120" t="inlineStr">
        <is>
          <t>documents</t>
        </is>
      </c>
      <c r="M120" s="19" t="inlineStr">
        <is>
          <t>INV-0681_PERIODIFICADA_3_12</t>
        </is>
      </c>
      <c r="N120" t="inlineStr">
        <is>
          <t>https://drive.google.com/file/d/1pNcZKxAtFRGUPPAFVD2p8ORXGSCcvxM8/view?usp=drivesdk</t>
        </is>
      </c>
    </row>
    <row r="121" ht="12" customHeight="1">
      <c r="A121" t="inlineStr">
        <is>
          <t>202604</t>
        </is>
      </c>
      <c r="B121" t="inlineStr">
        <is>
          <t>LTD</t>
        </is>
      </c>
      <c r="C121" t="inlineStr">
        <is>
          <t>opex</t>
        </is>
      </c>
      <c r="D121" t="inlineStr">
        <is>
          <t>administration</t>
        </is>
      </c>
      <c r="E121" t="inlineStr">
        <is>
          <t>YOURACCOUNTSTAXES</t>
        </is>
      </c>
      <c r="F121" t="inlineStr">
        <is>
          <t>invoice</t>
        </is>
      </c>
      <c r="G121" s="4" t="n">
        <v>103.67</v>
      </c>
      <c r="H121" t="inlineStr">
        <is>
          <t>GBP</t>
        </is>
      </c>
      <c r="I121" t="inlineStr">
        <is>
          <t>GBP</t>
        </is>
      </c>
      <c r="J121" s="18" t="n">
        <v>1</v>
      </c>
      <c r="K121" s="4" t="n">
        <v>103.67</v>
      </c>
      <c r="L121" t="inlineStr">
        <is>
          <t>documents</t>
        </is>
      </c>
      <c r="M121" s="19" t="inlineStr">
        <is>
          <t>INV-0682_PERIODIFICADA_4_12</t>
        </is>
      </c>
      <c r="N121" t="inlineStr">
        <is>
          <t>https://drive.google.com/file/d/1fWIKp9xwGFVs0EnOaVMSISVNLAoKF55J/view?usp=drivesdk</t>
        </is>
      </c>
    </row>
    <row r="122" ht="12" customHeight="1">
      <c r="A122" t="inlineStr">
        <is>
          <t>202604</t>
        </is>
      </c>
      <c r="B122" t="inlineStr">
        <is>
          <t>LTD</t>
        </is>
      </c>
      <c r="C122" t="inlineStr">
        <is>
          <t>opex</t>
        </is>
      </c>
      <c r="D122" t="inlineStr">
        <is>
          <t>administration</t>
        </is>
      </c>
      <c r="E122" t="inlineStr">
        <is>
          <t>YOURACCOUNTSTAXES</t>
        </is>
      </c>
      <c r="F122" t="inlineStr">
        <is>
          <t>invoice</t>
        </is>
      </c>
      <c r="G122" s="4" t="n">
        <v>850</v>
      </c>
      <c r="H122" t="inlineStr">
        <is>
          <t>GBP</t>
        </is>
      </c>
      <c r="I122" t="inlineStr">
        <is>
          <t>GBP</t>
        </is>
      </c>
      <c r="J122" s="18" t="n">
        <v>1</v>
      </c>
      <c r="K122" s="4" t="n">
        <v>850</v>
      </c>
      <c r="L122" t="inlineStr">
        <is>
          <t>documents</t>
        </is>
      </c>
      <c r="M122" s="19" t="inlineStr">
        <is>
          <t>INV-0684</t>
        </is>
      </c>
      <c r="N122" t="inlineStr">
        <is>
          <t>https://drive.google.com/file/d/14aG7eyxDXqZhJN0vFlOv-hyu-GR-ZjH-/view?usp=drivesdk</t>
        </is>
      </c>
    </row>
    <row r="123" ht="12" customHeight="1">
      <c r="A123" t="inlineStr">
        <is>
          <t>202605</t>
        </is>
      </c>
      <c r="B123" t="inlineStr">
        <is>
          <t>LTD</t>
        </is>
      </c>
      <c r="C123" t="inlineStr">
        <is>
          <t>opex</t>
        </is>
      </c>
      <c r="D123" t="inlineStr">
        <is>
          <t>administration</t>
        </is>
      </c>
      <c r="E123" t="inlineStr">
        <is>
          <t>YOURACCOUNTSTAXES</t>
        </is>
      </c>
      <c r="F123" t="inlineStr">
        <is>
          <t>invoice</t>
        </is>
      </c>
      <c r="G123" s="4" t="n">
        <v>26.5</v>
      </c>
      <c r="H123" t="inlineStr">
        <is>
          <t>GBP</t>
        </is>
      </c>
      <c r="I123" t="inlineStr">
        <is>
          <t>GBP</t>
        </is>
      </c>
      <c r="J123" s="18" t="n">
        <v>1</v>
      </c>
      <c r="K123" s="4" t="n">
        <v>26.5</v>
      </c>
      <c r="L123" t="inlineStr">
        <is>
          <t>documents</t>
        </is>
      </c>
      <c r="M123" s="19" t="inlineStr">
        <is>
          <t>INV-0679_PERIODIFICADA_5_12</t>
        </is>
      </c>
      <c r="N123" t="inlineStr">
        <is>
          <t>https://drive.google.com/file/d/1bP1XnXo2Vs8zIS0sVNRvq52xJQH7BSfD/view?usp=drivesdk</t>
        </is>
      </c>
    </row>
    <row r="124" ht="12" customHeight="1">
      <c r="A124" t="inlineStr">
        <is>
          <t>202605</t>
        </is>
      </c>
      <c r="B124" t="inlineStr">
        <is>
          <t>LTD</t>
        </is>
      </c>
      <c r="C124" t="inlineStr">
        <is>
          <t>opex</t>
        </is>
      </c>
      <c r="D124" t="inlineStr">
        <is>
          <t>administration</t>
        </is>
      </c>
      <c r="E124" t="inlineStr">
        <is>
          <t>YOURACCOUNTSTAXES</t>
        </is>
      </c>
      <c r="F124" t="inlineStr">
        <is>
          <t>invoice</t>
        </is>
      </c>
      <c r="G124" s="4" t="n">
        <v>55</v>
      </c>
      <c r="H124" t="inlineStr">
        <is>
          <t>GBP</t>
        </is>
      </c>
      <c r="I124" t="inlineStr">
        <is>
          <t>GBP</t>
        </is>
      </c>
      <c r="J124" s="18" t="n">
        <v>1</v>
      </c>
      <c r="K124" s="4" t="n">
        <v>55</v>
      </c>
      <c r="L124" t="inlineStr">
        <is>
          <t>documents</t>
        </is>
      </c>
      <c r="M124" s="19" t="inlineStr">
        <is>
          <t>INV-0681_PERIODIFICADA_4_12</t>
        </is>
      </c>
      <c r="N124" t="inlineStr">
        <is>
          <t>https://drive.google.com/file/d/1ddnzOxZZgaXtVcRqNHeEt9LTz5s8C26J/view?usp=drivesdk</t>
        </is>
      </c>
    </row>
    <row r="125" ht="12" customHeight="1">
      <c r="A125" t="inlineStr">
        <is>
          <t>202605</t>
        </is>
      </c>
      <c r="B125" t="inlineStr">
        <is>
          <t>LTD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YOURACCOUNTSTAXES</t>
        </is>
      </c>
      <c r="F125" t="inlineStr">
        <is>
          <t>invoice</t>
        </is>
      </c>
      <c r="G125" s="4" t="n">
        <v>103.67</v>
      </c>
      <c r="H125" t="inlineStr">
        <is>
          <t>GBP</t>
        </is>
      </c>
      <c r="I125" t="inlineStr">
        <is>
          <t>GBP</t>
        </is>
      </c>
      <c r="J125" s="18" t="n">
        <v>1</v>
      </c>
      <c r="K125" s="4" t="n">
        <v>103.67</v>
      </c>
      <c r="L125" t="inlineStr">
        <is>
          <t>documents</t>
        </is>
      </c>
      <c r="M125" s="19" t="inlineStr">
        <is>
          <t>INV-0682_PERIODIFICADA_5_12</t>
        </is>
      </c>
      <c r="N125" t="inlineStr">
        <is>
          <t>https://drive.google.com/file/d/1Z-NJHduArecH7-687SOBbQfa8Ef1m52p/view?usp=drivesdk</t>
        </is>
      </c>
    </row>
    <row r="126" ht="12" customHeight="1">
      <c r="A126" t="inlineStr">
        <is>
          <t>202606</t>
        </is>
      </c>
      <c r="B126" t="inlineStr">
        <is>
          <t>LTD</t>
        </is>
      </c>
      <c r="C126" t="inlineStr">
        <is>
          <t>opex</t>
        </is>
      </c>
      <c r="D126" t="inlineStr">
        <is>
          <t>administration</t>
        </is>
      </c>
      <c r="E126" t="inlineStr">
        <is>
          <t>YOURACCOUNTSTAXES</t>
        </is>
      </c>
      <c r="F126" t="inlineStr">
        <is>
          <t>invoice</t>
        </is>
      </c>
      <c r="G126" s="4" t="n">
        <v>26.5</v>
      </c>
      <c r="H126" t="inlineStr">
        <is>
          <t>GBP</t>
        </is>
      </c>
      <c r="I126" t="inlineStr">
        <is>
          <t>GBP</t>
        </is>
      </c>
      <c r="J126" s="18" t="n">
        <v>1</v>
      </c>
      <c r="K126" s="4" t="n">
        <v>26.5</v>
      </c>
      <c r="L126" t="inlineStr">
        <is>
          <t>documents</t>
        </is>
      </c>
      <c r="M126" s="19" t="inlineStr">
        <is>
          <t>INV-0679_PERIODIFICADA_6_12</t>
        </is>
      </c>
      <c r="N126" t="inlineStr">
        <is>
          <t>https://drive.google.com/file/d/1I6H1omawcw5Be01IubiDlz8RDBKB0kcd/view?usp=drivesdk</t>
        </is>
      </c>
    </row>
    <row r="127" ht="12" customHeight="1">
      <c r="A127" t="inlineStr">
        <is>
          <t>202606</t>
        </is>
      </c>
      <c r="B127" t="inlineStr">
        <is>
          <t>LTD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YOURACCOUNTSTAXES</t>
        </is>
      </c>
      <c r="F127" t="inlineStr">
        <is>
          <t>invoice</t>
        </is>
      </c>
      <c r="G127" s="4" t="n">
        <v>55</v>
      </c>
      <c r="H127" t="inlineStr">
        <is>
          <t>GBP</t>
        </is>
      </c>
      <c r="I127" t="inlineStr">
        <is>
          <t>GBP</t>
        </is>
      </c>
      <c r="J127" s="18" t="n">
        <v>1</v>
      </c>
      <c r="K127" s="4" t="n">
        <v>55</v>
      </c>
      <c r="L127" t="inlineStr">
        <is>
          <t>documents</t>
        </is>
      </c>
      <c r="M127" s="19" t="inlineStr">
        <is>
          <t>INV-0681_PERIODIFICADA_5_12</t>
        </is>
      </c>
      <c r="N127" t="inlineStr">
        <is>
          <t>https://drive.google.com/file/d/14VMCuf4u87NNWjcx9C3H2yysZN1jqyTf/view?usp=drivesdk</t>
        </is>
      </c>
    </row>
    <row r="128" ht="12" customHeight="1">
      <c r="A128" t="inlineStr">
        <is>
          <t>202606</t>
        </is>
      </c>
      <c r="B128" t="inlineStr">
        <is>
          <t>LTD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YOURACCOUNTSTAXES</t>
        </is>
      </c>
      <c r="F128" t="inlineStr">
        <is>
          <t>invoice</t>
        </is>
      </c>
      <c r="G128" s="4" t="n">
        <v>103.67</v>
      </c>
      <c r="H128" t="inlineStr">
        <is>
          <t>GBP</t>
        </is>
      </c>
      <c r="I128" t="inlineStr">
        <is>
          <t>GBP</t>
        </is>
      </c>
      <c r="J128" s="18" t="n">
        <v>1</v>
      </c>
      <c r="K128" s="4" t="n">
        <v>103.67</v>
      </c>
      <c r="L128" t="inlineStr">
        <is>
          <t>documents</t>
        </is>
      </c>
      <c r="M128" s="19" t="inlineStr">
        <is>
          <t>INV-0682_PERIODIFICADA_6_12</t>
        </is>
      </c>
      <c r="N128" t="inlineStr">
        <is>
          <t>https://drive.google.com/file/d/1gmWh5ZgXhifus_kfGZ-bL8_sLe8eUug3/view?usp=drivesdk</t>
        </is>
      </c>
    </row>
    <row r="129" ht="12" customHeight="1">
      <c r="A129" t="inlineStr">
        <is>
          <t>202607</t>
        </is>
      </c>
      <c r="B129" t="inlineStr">
        <is>
          <t>LTD</t>
        </is>
      </c>
      <c r="C129" t="inlineStr">
        <is>
          <t>opex</t>
        </is>
      </c>
      <c r="D129" t="inlineStr">
        <is>
          <t>administration</t>
        </is>
      </c>
      <c r="E129" t="inlineStr">
        <is>
          <t>YOURACCOUNTSTAXES</t>
        </is>
      </c>
      <c r="F129" t="inlineStr">
        <is>
          <t>invoice</t>
        </is>
      </c>
      <c r="G129" s="4" t="n">
        <v>26.5</v>
      </c>
      <c r="H129" t="inlineStr">
        <is>
          <t>GBP</t>
        </is>
      </c>
      <c r="I129" t="inlineStr">
        <is>
          <t>GBP</t>
        </is>
      </c>
      <c r="J129" s="18" t="n">
        <v>1</v>
      </c>
      <c r="K129" s="4" t="n">
        <v>26.5</v>
      </c>
      <c r="L129" t="inlineStr">
        <is>
          <t>documents</t>
        </is>
      </c>
      <c r="M129" s="19" t="inlineStr">
        <is>
          <t>INV-0679_PERIODIFICADA_7_12</t>
        </is>
      </c>
      <c r="N129" t="inlineStr">
        <is>
          <t>https://drive.google.com/file/d/17hLMBW75hT4b6Q8RWmnLCnkK6axE-wzU/view?usp=drivesdk</t>
        </is>
      </c>
    </row>
    <row r="130" ht="12" customHeight="1">
      <c r="A130" t="inlineStr">
        <is>
          <t>202607</t>
        </is>
      </c>
      <c r="B130" t="inlineStr">
        <is>
          <t>LTD</t>
        </is>
      </c>
      <c r="C130" t="inlineStr">
        <is>
          <t>opex</t>
        </is>
      </c>
      <c r="D130" t="inlineStr">
        <is>
          <t>administration</t>
        </is>
      </c>
      <c r="E130" t="inlineStr">
        <is>
          <t>YOURACCOUNTSTAXES</t>
        </is>
      </c>
      <c r="F130" t="inlineStr">
        <is>
          <t>invoice</t>
        </is>
      </c>
      <c r="G130" s="4" t="n">
        <v>55</v>
      </c>
      <c r="H130" t="inlineStr">
        <is>
          <t>GBP</t>
        </is>
      </c>
      <c r="I130" t="inlineStr">
        <is>
          <t>GBP</t>
        </is>
      </c>
      <c r="J130" s="18" t="n">
        <v>1</v>
      </c>
      <c r="K130" s="4" t="n">
        <v>55</v>
      </c>
      <c r="L130" t="inlineStr">
        <is>
          <t>documents</t>
        </is>
      </c>
      <c r="M130" s="19" t="inlineStr">
        <is>
          <t>INV-0681_PERIODIFICADA_6_12</t>
        </is>
      </c>
      <c r="N130" t="inlineStr">
        <is>
          <t>https://drive.google.com/file/d/1-4m6d0UYjYO2RBrJjkiKAjW12aRalpOJ/view?usp=drivesdk</t>
        </is>
      </c>
    </row>
    <row r="131" ht="12" customHeight="1">
      <c r="A131" t="inlineStr">
        <is>
          <t>202607</t>
        </is>
      </c>
      <c r="B131" t="inlineStr">
        <is>
          <t>LTD</t>
        </is>
      </c>
      <c r="C131" t="inlineStr">
        <is>
          <t>opex</t>
        </is>
      </c>
      <c r="D131" t="inlineStr">
        <is>
          <t>administration</t>
        </is>
      </c>
      <c r="E131" t="inlineStr">
        <is>
          <t>YOURACCOUNTSTAXES</t>
        </is>
      </c>
      <c r="F131" t="inlineStr">
        <is>
          <t>invoice</t>
        </is>
      </c>
      <c r="G131" s="4" t="n">
        <v>103.67</v>
      </c>
      <c r="H131" t="inlineStr">
        <is>
          <t>GBP</t>
        </is>
      </c>
      <c r="I131" t="inlineStr">
        <is>
          <t>GBP</t>
        </is>
      </c>
      <c r="J131" s="18" t="n">
        <v>1</v>
      </c>
      <c r="K131" s="4" t="n">
        <v>103.67</v>
      </c>
      <c r="L131" t="inlineStr">
        <is>
          <t>documents</t>
        </is>
      </c>
      <c r="M131" s="19" t="inlineStr">
        <is>
          <t>INV-0682_PERIODIFICADA_7_12</t>
        </is>
      </c>
      <c r="N131" t="inlineStr">
        <is>
          <t>https://drive.google.com/file/d/1c_luteIVUmgrg6i_GlfSo_qh5drW456A/view?usp=drivesdk</t>
        </is>
      </c>
    </row>
    <row r="132" ht="12" customHeight="1">
      <c r="A132" t="inlineStr">
        <is>
          <t>202608</t>
        </is>
      </c>
      <c r="B132" t="inlineStr">
        <is>
          <t>LTD</t>
        </is>
      </c>
      <c r="C132" t="inlineStr">
        <is>
          <t>opex</t>
        </is>
      </c>
      <c r="D132" t="inlineStr">
        <is>
          <t>administration</t>
        </is>
      </c>
      <c r="E132" t="inlineStr">
        <is>
          <t>YOURACCOUNTSTAXES</t>
        </is>
      </c>
      <c r="F132" t="inlineStr">
        <is>
          <t>invoice</t>
        </is>
      </c>
      <c r="G132" s="4" t="n">
        <v>26.5</v>
      </c>
      <c r="H132" t="inlineStr">
        <is>
          <t>GBP</t>
        </is>
      </c>
      <c r="I132" t="inlineStr">
        <is>
          <t>GBP</t>
        </is>
      </c>
      <c r="J132" s="18" t="n">
        <v>1</v>
      </c>
      <c r="K132" s="4" t="n">
        <v>26.5</v>
      </c>
      <c r="L132" t="inlineStr">
        <is>
          <t>documents</t>
        </is>
      </c>
      <c r="M132" s="19" t="inlineStr">
        <is>
          <t>INV-0679_PERIODIFICADA_8_12</t>
        </is>
      </c>
      <c r="N132" t="inlineStr">
        <is>
          <t>https://drive.google.com/file/d/11RmOMn_ZgHdnziLzDS8hsaK7ZIkvkgTY/view?usp=drivesdk</t>
        </is>
      </c>
    </row>
    <row r="133" ht="12" customHeight="1">
      <c r="A133" t="inlineStr">
        <is>
          <t>202608</t>
        </is>
      </c>
      <c r="B133" t="inlineStr">
        <is>
          <t>LTD</t>
        </is>
      </c>
      <c r="C133" t="inlineStr">
        <is>
          <t>opex</t>
        </is>
      </c>
      <c r="D133" t="inlineStr">
        <is>
          <t>administration</t>
        </is>
      </c>
      <c r="E133" t="inlineStr">
        <is>
          <t>YOURACCOUNTSTAXES</t>
        </is>
      </c>
      <c r="F133" t="inlineStr">
        <is>
          <t>invoice</t>
        </is>
      </c>
      <c r="G133" s="4" t="n">
        <v>55</v>
      </c>
      <c r="H133" t="inlineStr">
        <is>
          <t>GBP</t>
        </is>
      </c>
      <c r="I133" t="inlineStr">
        <is>
          <t>GBP</t>
        </is>
      </c>
      <c r="J133" s="18" t="n">
        <v>1</v>
      </c>
      <c r="K133" s="4" t="n">
        <v>55</v>
      </c>
      <c r="L133" t="inlineStr">
        <is>
          <t>documents</t>
        </is>
      </c>
      <c r="M133" s="19" t="inlineStr">
        <is>
          <t>INV-0681_PERIODIFICADA_7_12</t>
        </is>
      </c>
      <c r="N133" t="inlineStr">
        <is>
          <t>https://drive.google.com/file/d/11RGpKkEMdK77095ybWBCzfeU7QXtAazR/view?usp=drivesdk</t>
        </is>
      </c>
    </row>
    <row r="134" ht="12" customHeight="1">
      <c r="A134" t="inlineStr">
        <is>
          <t>202608</t>
        </is>
      </c>
      <c r="B134" t="inlineStr">
        <is>
          <t>LTD</t>
        </is>
      </c>
      <c r="C134" t="inlineStr">
        <is>
          <t>opex</t>
        </is>
      </c>
      <c r="D134" t="inlineStr">
        <is>
          <t>administration</t>
        </is>
      </c>
      <c r="E134" t="inlineStr">
        <is>
          <t>YOURACCOUNTSTAXES</t>
        </is>
      </c>
      <c r="F134" t="inlineStr">
        <is>
          <t>invoice</t>
        </is>
      </c>
      <c r="G134" s="4" t="n">
        <v>103.67</v>
      </c>
      <c r="H134" t="inlineStr">
        <is>
          <t>GBP</t>
        </is>
      </c>
      <c r="I134" t="inlineStr">
        <is>
          <t>GBP</t>
        </is>
      </c>
      <c r="J134" s="18" t="n">
        <v>1</v>
      </c>
      <c r="K134" s="4" t="n">
        <v>103.67</v>
      </c>
      <c r="L134" t="inlineStr">
        <is>
          <t>documents</t>
        </is>
      </c>
      <c r="M134" s="19" t="inlineStr">
        <is>
          <t>INV-0682_PERIODIFICADA_8_12</t>
        </is>
      </c>
      <c r="N134" t="inlineStr">
        <is>
          <t>https://drive.google.com/file/d/1YItJo27rxIk2KucnIbPWCgV-kg6_TIFw/view?usp=drivesdk</t>
        </is>
      </c>
    </row>
    <row r="135" ht="12" customHeight="1">
      <c r="A135" t="inlineStr">
        <is>
          <t>202609</t>
        </is>
      </c>
      <c r="B135" t="inlineStr">
        <is>
          <t>LTD</t>
        </is>
      </c>
      <c r="C135" t="inlineStr">
        <is>
          <t>opex</t>
        </is>
      </c>
      <c r="D135" t="inlineStr">
        <is>
          <t>administration</t>
        </is>
      </c>
      <c r="E135" t="inlineStr">
        <is>
          <t>YOURACCOUNTSTAXES</t>
        </is>
      </c>
      <c r="F135" t="inlineStr">
        <is>
          <t>invoice</t>
        </is>
      </c>
      <c r="G135" s="4" t="n">
        <v>26.5</v>
      </c>
      <c r="H135" t="inlineStr">
        <is>
          <t>GBP</t>
        </is>
      </c>
      <c r="I135" t="inlineStr">
        <is>
          <t>GBP</t>
        </is>
      </c>
      <c r="J135" s="18" t="n">
        <v>1</v>
      </c>
      <c r="K135" s="4" t="n">
        <v>26.5</v>
      </c>
      <c r="L135" t="inlineStr">
        <is>
          <t>documents</t>
        </is>
      </c>
      <c r="M135" s="19" t="inlineStr">
        <is>
          <t>INV-0679_PERIODIFICADA_9_12</t>
        </is>
      </c>
      <c r="N135" t="inlineStr">
        <is>
          <t>https://drive.google.com/file/d/1TiRvkJ6K7ctWCKH70UZtwyVtiBFJcZS3/view?usp=drivesdk</t>
        </is>
      </c>
    </row>
    <row r="136" ht="12" customHeight="1">
      <c r="A136" t="inlineStr">
        <is>
          <t>202609</t>
        </is>
      </c>
      <c r="B136" t="inlineStr">
        <is>
          <t>LTD</t>
        </is>
      </c>
      <c r="C136" t="inlineStr">
        <is>
          <t>opex</t>
        </is>
      </c>
      <c r="D136" t="inlineStr">
        <is>
          <t>administration</t>
        </is>
      </c>
      <c r="E136" t="inlineStr">
        <is>
          <t>YOURACCOUNTSTAXES</t>
        </is>
      </c>
      <c r="F136" t="inlineStr">
        <is>
          <t>invoice</t>
        </is>
      </c>
      <c r="G136" s="4" t="n">
        <v>55</v>
      </c>
      <c r="H136" t="inlineStr">
        <is>
          <t>GBP</t>
        </is>
      </c>
      <c r="I136" t="inlineStr">
        <is>
          <t>GBP</t>
        </is>
      </c>
      <c r="J136" s="18" t="n">
        <v>1</v>
      </c>
      <c r="K136" s="4" t="n">
        <v>55</v>
      </c>
      <c r="L136" t="inlineStr">
        <is>
          <t>documents</t>
        </is>
      </c>
      <c r="M136" s="19" t="inlineStr">
        <is>
          <t>INV-0681_PERIODIFICADA_8_12</t>
        </is>
      </c>
      <c r="N136" t="inlineStr">
        <is>
          <t>https://drive.google.com/file/d/1TCM1PAyZN1h600czUy8h9Vl6JYkcuBnA/view?usp=drivesdk</t>
        </is>
      </c>
    </row>
    <row r="137" ht="12" customHeight="1">
      <c r="A137" t="inlineStr">
        <is>
          <t>202609</t>
        </is>
      </c>
      <c r="B137" t="inlineStr">
        <is>
          <t>LTD</t>
        </is>
      </c>
      <c r="C137" t="inlineStr">
        <is>
          <t>opex</t>
        </is>
      </c>
      <c r="D137" t="inlineStr">
        <is>
          <t>administration</t>
        </is>
      </c>
      <c r="E137" t="inlineStr">
        <is>
          <t>YOURACCOUNTSTAXES</t>
        </is>
      </c>
      <c r="F137" t="inlineStr">
        <is>
          <t>invoice</t>
        </is>
      </c>
      <c r="G137" s="4" t="n">
        <v>103.67</v>
      </c>
      <c r="H137" t="inlineStr">
        <is>
          <t>GBP</t>
        </is>
      </c>
      <c r="I137" t="inlineStr">
        <is>
          <t>GBP</t>
        </is>
      </c>
      <c r="J137" s="18" t="n">
        <v>1</v>
      </c>
      <c r="K137" s="4" t="n">
        <v>103.67</v>
      </c>
      <c r="L137" t="inlineStr">
        <is>
          <t>documents</t>
        </is>
      </c>
      <c r="M137" s="19" t="inlineStr">
        <is>
          <t>INV-0682_PERIODIFICADA_9_12</t>
        </is>
      </c>
      <c r="N137" t="inlineStr">
        <is>
          <t>https://drive.google.com/file/d/1j8eIoueeiDvnTZMGmyiF-LMtx0IPr9pM/view?usp=drivesdk</t>
        </is>
      </c>
    </row>
    <row r="138" ht="12" customHeight="1">
      <c r="A138" t="inlineStr">
        <is>
          <t>202610</t>
        </is>
      </c>
      <c r="B138" t="inlineStr">
        <is>
          <t>LTD</t>
        </is>
      </c>
      <c r="C138" t="inlineStr">
        <is>
          <t>opex</t>
        </is>
      </c>
      <c r="D138" t="inlineStr">
        <is>
          <t>administration</t>
        </is>
      </c>
      <c r="E138" t="inlineStr">
        <is>
          <t>YOURACCOUNTSTAXES</t>
        </is>
      </c>
      <c r="F138" t="inlineStr">
        <is>
          <t>invoice</t>
        </is>
      </c>
      <c r="G138" s="4" t="n">
        <v>26.5</v>
      </c>
      <c r="H138" t="inlineStr">
        <is>
          <t>GBP</t>
        </is>
      </c>
      <c r="I138" t="inlineStr">
        <is>
          <t>GBP</t>
        </is>
      </c>
      <c r="J138" s="18" t="n">
        <v>1</v>
      </c>
      <c r="K138" s="4" t="n">
        <v>26.5</v>
      </c>
      <c r="L138" t="inlineStr">
        <is>
          <t>documents</t>
        </is>
      </c>
      <c r="M138" s="19" t="inlineStr">
        <is>
          <t>INV-0679_PERIODIFICADA_10_12</t>
        </is>
      </c>
      <c r="N138" t="inlineStr">
        <is>
          <t>https://drive.google.com/file/d/1y9fclbPoT1LX8B-Ccm6UQFRfFv51MzCl/view?usp=drivesdk</t>
        </is>
      </c>
    </row>
    <row r="139" ht="12" customHeight="1">
      <c r="A139" t="inlineStr">
        <is>
          <t>202610</t>
        </is>
      </c>
      <c r="B139" t="inlineStr">
        <is>
          <t>LTD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YOURACCOUNTSTAXES</t>
        </is>
      </c>
      <c r="F139" t="inlineStr">
        <is>
          <t>invoice</t>
        </is>
      </c>
      <c r="G139" s="4" t="n">
        <v>55</v>
      </c>
      <c r="H139" t="inlineStr">
        <is>
          <t>GBP</t>
        </is>
      </c>
      <c r="I139" t="inlineStr">
        <is>
          <t>GBP</t>
        </is>
      </c>
      <c r="J139" s="18" t="n">
        <v>1</v>
      </c>
      <c r="K139" s="4" t="n">
        <v>55</v>
      </c>
      <c r="L139" t="inlineStr">
        <is>
          <t>documents</t>
        </is>
      </c>
      <c r="M139" s="19" t="inlineStr">
        <is>
          <t>INV-0681_PERIODIFICADA_9_12</t>
        </is>
      </c>
      <c r="N139" t="inlineStr">
        <is>
          <t>https://drive.google.com/file/d/1F_ojYavt0rOVF-WoA4DILVHACGqB_Xhn/view?usp=drivesdk</t>
        </is>
      </c>
    </row>
    <row r="140" ht="12" customHeight="1">
      <c r="A140" t="inlineStr">
        <is>
          <t>202610</t>
        </is>
      </c>
      <c r="B140" t="inlineStr">
        <is>
          <t>LTD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YOURACCOUNTSTAXES</t>
        </is>
      </c>
      <c r="F140" t="inlineStr">
        <is>
          <t>invoice</t>
        </is>
      </c>
      <c r="G140" s="4" t="n">
        <v>103.67</v>
      </c>
      <c r="H140" t="inlineStr">
        <is>
          <t>GBP</t>
        </is>
      </c>
      <c r="I140" t="inlineStr">
        <is>
          <t>GBP</t>
        </is>
      </c>
      <c r="J140" s="18" t="n">
        <v>1</v>
      </c>
      <c r="K140" s="4" t="n">
        <v>103.67</v>
      </c>
      <c r="L140" t="inlineStr">
        <is>
          <t>documents</t>
        </is>
      </c>
      <c r="M140" s="19" t="inlineStr">
        <is>
          <t>INV-0682_PERIODIFICADA_10_12</t>
        </is>
      </c>
      <c r="N140" t="inlineStr">
        <is>
          <t>https://drive.google.com/file/d/1AB8Xr6NvMGSBv1SkJcKECSxweSG6nBi-/view?usp=drivesdk</t>
        </is>
      </c>
    </row>
    <row r="141" ht="12" customHeight="1">
      <c r="A141" t="inlineStr">
        <is>
          <t>202611</t>
        </is>
      </c>
      <c r="B141" t="inlineStr">
        <is>
          <t>LTD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YOURACCOUNTSTAXES</t>
        </is>
      </c>
      <c r="F141" t="inlineStr">
        <is>
          <t>invoice</t>
        </is>
      </c>
      <c r="G141" s="4" t="n">
        <v>26.5</v>
      </c>
      <c r="H141" t="inlineStr">
        <is>
          <t>GBP</t>
        </is>
      </c>
      <c r="I141" t="inlineStr">
        <is>
          <t>GBP</t>
        </is>
      </c>
      <c r="J141" s="18" t="n">
        <v>1</v>
      </c>
      <c r="K141" s="4" t="n">
        <v>26.5</v>
      </c>
      <c r="L141" t="inlineStr">
        <is>
          <t>documents</t>
        </is>
      </c>
      <c r="M141" s="19" t="inlineStr">
        <is>
          <t>INV-0679_PERIODIFICADA_11_12</t>
        </is>
      </c>
      <c r="N141" t="inlineStr">
        <is>
          <t>https://drive.google.com/file/d/1L3a_vME8SLzq0VCnSYsQFsMpA3aEhGLE/view?usp=drivesdk</t>
        </is>
      </c>
    </row>
    <row r="142" ht="12" customHeight="1">
      <c r="A142" t="inlineStr">
        <is>
          <t>202611</t>
        </is>
      </c>
      <c r="B142" t="inlineStr">
        <is>
          <t>LTD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YOURACCOUNTSTAXES</t>
        </is>
      </c>
      <c r="F142" t="inlineStr">
        <is>
          <t>invoice</t>
        </is>
      </c>
      <c r="G142" s="4" t="n">
        <v>55</v>
      </c>
      <c r="H142" t="inlineStr">
        <is>
          <t>GBP</t>
        </is>
      </c>
      <c r="I142" t="inlineStr">
        <is>
          <t>GBP</t>
        </is>
      </c>
      <c r="J142" s="18" t="n">
        <v>1</v>
      </c>
      <c r="K142" s="4" t="n">
        <v>55</v>
      </c>
      <c r="L142" t="inlineStr">
        <is>
          <t>documents</t>
        </is>
      </c>
      <c r="M142" s="19" t="inlineStr">
        <is>
          <t>INV-0681_PERIODIFICADA_10_12</t>
        </is>
      </c>
      <c r="N142" t="inlineStr">
        <is>
          <t>https://drive.google.com/file/d/1IG_3iLDTE3hoYuVx4M46MqklrzCKpRhc/view?usp=drivesdk</t>
        </is>
      </c>
    </row>
    <row r="143" ht="12" customHeight="1">
      <c r="A143" t="inlineStr">
        <is>
          <t>202611</t>
        </is>
      </c>
      <c r="B143" t="inlineStr">
        <is>
          <t>LTD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YOURACCOUNTSTAXES</t>
        </is>
      </c>
      <c r="F143" t="inlineStr">
        <is>
          <t>invoice</t>
        </is>
      </c>
      <c r="G143" s="4" t="n">
        <v>103.67</v>
      </c>
      <c r="H143" t="inlineStr">
        <is>
          <t>GBP</t>
        </is>
      </c>
      <c r="I143" t="inlineStr">
        <is>
          <t>GBP</t>
        </is>
      </c>
      <c r="J143" s="18" t="n">
        <v>1</v>
      </c>
      <c r="K143" s="4" t="n">
        <v>103.67</v>
      </c>
      <c r="L143" t="inlineStr">
        <is>
          <t>documents</t>
        </is>
      </c>
      <c r="M143" s="19" t="inlineStr">
        <is>
          <t>INV-0682_PERIODIFICADA_11_12</t>
        </is>
      </c>
      <c r="N143" t="inlineStr">
        <is>
          <t>https://drive.google.com/file/d/11zNwha_ZMtf4Wq3wVF4QzJj4bweWWdGI/view?usp=drivesdk</t>
        </is>
      </c>
    </row>
    <row r="144" ht="12" customHeight="1">
      <c r="A144" t="inlineStr">
        <is>
          <t>202612</t>
        </is>
      </c>
      <c r="B144" t="inlineStr">
        <is>
          <t>LTD</t>
        </is>
      </c>
      <c r="C144" t="inlineStr">
        <is>
          <t>opex</t>
        </is>
      </c>
      <c r="D144" t="inlineStr">
        <is>
          <t>administration</t>
        </is>
      </c>
      <c r="E144" t="inlineStr">
        <is>
          <t>YOURACCOUNTSTAXES</t>
        </is>
      </c>
      <c r="F144" t="inlineStr">
        <is>
          <t>invoice</t>
        </is>
      </c>
      <c r="G144" s="4" t="n">
        <v>26.5</v>
      </c>
      <c r="H144" t="inlineStr">
        <is>
          <t>GBP</t>
        </is>
      </c>
      <c r="I144" t="inlineStr">
        <is>
          <t>GBP</t>
        </is>
      </c>
      <c r="J144" s="18" t="n">
        <v>1</v>
      </c>
      <c r="K144" s="4" t="n">
        <v>26.5</v>
      </c>
      <c r="L144" t="inlineStr">
        <is>
          <t>documents</t>
        </is>
      </c>
      <c r="M144" s="19" t="inlineStr">
        <is>
          <t>INV-0679_PERIODIFICADA_12_12</t>
        </is>
      </c>
      <c r="N144" t="inlineStr">
        <is>
          <t>https://drive.google.com/file/d/1ynEcwwwFHRw_j4UIzVQllup-ekY2huWO/view?usp=drivesdk</t>
        </is>
      </c>
    </row>
    <row r="145" ht="12" customHeight="1">
      <c r="A145" t="inlineStr">
        <is>
          <t>202612</t>
        </is>
      </c>
      <c r="B145" t="inlineStr">
        <is>
          <t>LTD</t>
        </is>
      </c>
      <c r="C145" t="inlineStr">
        <is>
          <t>opex</t>
        </is>
      </c>
      <c r="D145" t="inlineStr">
        <is>
          <t>administration</t>
        </is>
      </c>
      <c r="E145" t="inlineStr">
        <is>
          <t>YOURACCOUNTSTAXES</t>
        </is>
      </c>
      <c r="F145" t="inlineStr">
        <is>
          <t>invoice</t>
        </is>
      </c>
      <c r="G145" s="4" t="n">
        <v>55</v>
      </c>
      <c r="H145" t="inlineStr">
        <is>
          <t>GBP</t>
        </is>
      </c>
      <c r="I145" t="inlineStr">
        <is>
          <t>GBP</t>
        </is>
      </c>
      <c r="J145" s="18" t="n">
        <v>1</v>
      </c>
      <c r="K145" s="4" t="n">
        <v>55</v>
      </c>
      <c r="L145" t="inlineStr">
        <is>
          <t>documents</t>
        </is>
      </c>
      <c r="M145" s="19" t="inlineStr">
        <is>
          <t>INV-0681_PERIODIFICADA_11_12</t>
        </is>
      </c>
      <c r="N145" t="inlineStr">
        <is>
          <t>https://drive.google.com/file/d/1RskEVbYtAKWbS4SEumveN8YHrWbIys-_/view?usp=drivesdk</t>
        </is>
      </c>
    </row>
    <row r="146" ht="12" customHeight="1">
      <c r="A146" t="inlineStr">
        <is>
          <t>202612</t>
        </is>
      </c>
      <c r="B146" t="inlineStr">
        <is>
          <t>LTD</t>
        </is>
      </c>
      <c r="C146" t="inlineStr">
        <is>
          <t>opex</t>
        </is>
      </c>
      <c r="D146" t="inlineStr">
        <is>
          <t>administration</t>
        </is>
      </c>
      <c r="E146" t="inlineStr">
        <is>
          <t>YOURACCOUNTSTAXES</t>
        </is>
      </c>
      <c r="F146" t="inlineStr">
        <is>
          <t>invoice</t>
        </is>
      </c>
      <c r="G146" s="4" t="n">
        <v>103.67</v>
      </c>
      <c r="H146" t="inlineStr">
        <is>
          <t>GBP</t>
        </is>
      </c>
      <c r="I146" t="inlineStr">
        <is>
          <t>GBP</t>
        </is>
      </c>
      <c r="J146" s="18" t="n">
        <v>1</v>
      </c>
      <c r="K146" s="4" t="n">
        <v>103.67</v>
      </c>
      <c r="L146" t="inlineStr">
        <is>
          <t>documents</t>
        </is>
      </c>
      <c r="M146" s="19" t="inlineStr">
        <is>
          <t>INV-0682_PERIODIFICADA_12_12</t>
        </is>
      </c>
      <c r="N146" t="inlineStr">
        <is>
          <t>https://drive.google.com/file/d/1vPskc5Qm4-Coe1JxTlzp2VdJWX8WiKRm/view?usp=drivesdk</t>
        </is>
      </c>
    </row>
  </sheetData>
  <hyperlinks>
    <hyperlink ref="A1" location="'P&amp;G-LTD'!A1" display="&lt;- Volver a P&amp;G-LTD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supplier_code</t>
        </is>
      </c>
      <c r="D2" s="17" t="inlineStr">
        <is>
          <t>amount_original</t>
        </is>
      </c>
      <c r="E2" s="17" t="inlineStr">
        <is>
          <t>currency_original</t>
        </is>
      </c>
      <c r="F2" s="17" t="inlineStr">
        <is>
          <t>reporting_currency</t>
        </is>
      </c>
      <c r="G2" s="17" t="inlineStr">
        <is>
          <t>fx_rate</t>
        </is>
      </c>
      <c r="H2" s="17" t="inlineStr">
        <is>
          <t>amount_reporting</t>
        </is>
      </c>
      <c r="I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SHOPIFY</t>
        </is>
      </c>
      <c r="D3" s="4" t="n">
        <v>394.29</v>
      </c>
      <c r="E3" t="inlineStr">
        <is>
          <t>GBP</t>
        </is>
      </c>
      <c r="F3" t="inlineStr">
        <is>
          <t>GBP</t>
        </is>
      </c>
      <c r="G3" s="18" t="n">
        <v>1</v>
      </c>
      <c r="H3" s="4" t="n">
        <v>394.29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SHOPIFY</t>
        </is>
      </c>
      <c r="D4" s="4" t="n">
        <v>488.84</v>
      </c>
      <c r="E4" t="inlineStr">
        <is>
          <t>GBP</t>
        </is>
      </c>
      <c r="F4" t="inlineStr">
        <is>
          <t>GBP</t>
        </is>
      </c>
      <c r="G4" s="18" t="n">
        <v>1</v>
      </c>
      <c r="H4" s="4" t="n">
        <v>488.84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SHOPIFY</t>
        </is>
      </c>
      <c r="D5" s="4" t="n">
        <v>564.5</v>
      </c>
      <c r="E5" t="inlineStr">
        <is>
          <t>GBP</t>
        </is>
      </c>
      <c r="F5" t="inlineStr">
        <is>
          <t>GBP</t>
        </is>
      </c>
      <c r="G5" s="18" t="n">
        <v>1</v>
      </c>
      <c r="H5" s="4" t="n">
        <v>564.5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SHOPIFY</t>
        </is>
      </c>
      <c r="D6" s="4" t="n">
        <v>117.4</v>
      </c>
      <c r="E6" t="inlineStr">
        <is>
          <t>GBP</t>
        </is>
      </c>
      <c r="F6" t="inlineStr">
        <is>
          <t>GBP</t>
        </is>
      </c>
      <c r="G6" s="18" t="n">
        <v>1</v>
      </c>
      <c r="H6" s="4" t="n">
        <v>117.4</v>
      </c>
      <c r="I6" t="inlineStr">
        <is>
          <t>payment_fee_monthly_summary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rate_date</t>
        </is>
      </c>
      <c r="C2" s="17" t="inlineStr">
        <is>
          <t>currency_original</t>
        </is>
      </c>
      <c r="D2" s="17" t="inlineStr">
        <is>
          <t>reporting_currency</t>
        </is>
      </c>
      <c r="E2" s="17" t="inlineStr">
        <is>
          <t>reference_rate</t>
        </is>
      </c>
      <c r="F2" s="17" t="inlineStr">
        <is>
          <t>fx_rate</t>
        </is>
      </c>
      <c r="G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GBP</t>
        </is>
      </c>
      <c r="E3" s="18" t="n">
        <v>1</v>
      </c>
      <c r="F3" s="18" t="n">
        <v>0.8662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GBP</t>
        </is>
      </c>
      <c r="D4" t="inlineStr">
        <is>
          <t>GBP</t>
        </is>
      </c>
      <c r="E4" s="18" t="n">
        <v>1</v>
      </c>
      <c r="F4" s="18" t="n">
        <v>1</v>
      </c>
      <c r="G4" t="inlineStr">
        <is>
          <t>identity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GBP</t>
        </is>
      </c>
      <c r="E5" s="18" t="n">
        <v>1.1919</v>
      </c>
      <c r="F5" s="18" t="n">
        <v>0.72673882</v>
      </c>
      <c r="G5" t="inlineStr">
        <is>
          <t>https://www.ecb.europa.eu/stats/eurofxref/eurofxref-hist.xml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GBP</t>
        </is>
      </c>
      <c r="E6" s="18" t="n">
        <v>1</v>
      </c>
      <c r="F6" s="18" t="n">
        <v>0.8763</v>
      </c>
      <c r="G6" t="inlineStr">
        <is>
          <t>identity -&gt; https://www.ecb.europa.eu/stats/eurofxref/eurofxref-hist.xml</t>
        </is>
      </c>
    </row>
    <row r="7" ht="12" customHeight="1">
      <c r="A7" t="inlineStr">
        <is>
          <t>202602</t>
        </is>
      </c>
      <c r="B7" t="inlineStr">
        <is>
          <t>2026-02-01</t>
        </is>
      </c>
      <c r="C7" t="inlineStr">
        <is>
          <t>GBP</t>
        </is>
      </c>
      <c r="D7" t="inlineStr">
        <is>
          <t>GBP</t>
        </is>
      </c>
      <c r="E7" s="18" t="n">
        <v>1</v>
      </c>
      <c r="F7" s="18" t="n">
        <v>1</v>
      </c>
      <c r="G7" t="inlineStr">
        <is>
          <t>identity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GBP</t>
        </is>
      </c>
      <c r="E8" s="18" t="n">
        <v>1.1805</v>
      </c>
      <c r="F8" s="18" t="n">
        <v>0.74231258</v>
      </c>
      <c r="G8" t="inlineStr">
        <is>
          <t>https://www.ecb.europa.eu/stats/eurofxref/eurofxref-hist.xml -&gt; 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GBP</t>
        </is>
      </c>
      <c r="E9" s="18" t="n">
        <v>1</v>
      </c>
      <c r="F9" s="18" t="n">
        <v>0.86833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202603</t>
        </is>
      </c>
      <c r="B10" t="inlineStr">
        <is>
          <t>2026-03-01</t>
        </is>
      </c>
      <c r="C10" t="inlineStr">
        <is>
          <t>GBP</t>
        </is>
      </c>
      <c r="D10" t="inlineStr">
        <is>
          <t>GBP</t>
        </is>
      </c>
      <c r="E10" s="18" t="n">
        <v>1</v>
      </c>
      <c r="F10" s="18" t="n">
        <v>1</v>
      </c>
      <c r="G10" t="inlineStr">
        <is>
          <t>identity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GBP</t>
        </is>
      </c>
      <c r="E11" s="18" t="n">
        <v>1.1498</v>
      </c>
      <c r="F11" s="18" t="n">
        <v>0.7552009</v>
      </c>
      <c r="G11" t="inlineStr">
        <is>
          <t>https://www.ecb.europa.eu/stats/eurofxref/eurofxref-hist.xml -&gt; 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GBP</t>
        </is>
      </c>
      <c r="D12" t="inlineStr">
        <is>
          <t>GBP</t>
        </is>
      </c>
      <c r="E12" s="18" t="n">
        <v>1</v>
      </c>
      <c r="F12" s="18" t="n">
        <v>1</v>
      </c>
      <c r="G12" t="inlineStr">
        <is>
          <t>identity</t>
        </is>
      </c>
    </row>
    <row r="13" ht="12" customHeight="1">
      <c r="A13" t="inlineStr">
        <is>
          <t>202605</t>
        </is>
      </c>
      <c r="B13" t="inlineStr">
        <is>
          <t>2026-05-01</t>
        </is>
      </c>
      <c r="C13" t="inlineStr">
        <is>
          <t>GBP</t>
        </is>
      </c>
      <c r="D13" t="inlineStr">
        <is>
          <t>GBP</t>
        </is>
      </c>
      <c r="E13" s="18" t="n">
        <v>1</v>
      </c>
      <c r="F13" s="18" t="n">
        <v>1</v>
      </c>
      <c r="G13" t="inlineStr">
        <is>
          <t>identity</t>
        </is>
      </c>
    </row>
    <row r="14" ht="12" customHeight="1">
      <c r="A14" t="inlineStr">
        <is>
          <t>202606</t>
        </is>
      </c>
      <c r="B14" t="inlineStr">
        <is>
          <t>2026-06-01</t>
        </is>
      </c>
      <c r="C14" t="inlineStr">
        <is>
          <t>GBP</t>
        </is>
      </c>
      <c r="D14" t="inlineStr">
        <is>
          <t>GBP</t>
        </is>
      </c>
      <c r="E14" s="18" t="n">
        <v>1</v>
      </c>
      <c r="F14" s="18" t="n">
        <v>1</v>
      </c>
      <c r="G14" t="inlineStr">
        <is>
          <t>identity</t>
        </is>
      </c>
    </row>
    <row r="15" ht="12" customHeight="1">
      <c r="A15" t="inlineStr">
        <is>
          <t>202607</t>
        </is>
      </c>
      <c r="B15" t="inlineStr">
        <is>
          <t>2026-07-01</t>
        </is>
      </c>
      <c r="C15" t="inlineStr">
        <is>
          <t>GBP</t>
        </is>
      </c>
      <c r="D15" t="inlineStr">
        <is>
          <t>GBP</t>
        </is>
      </c>
      <c r="E15" s="18" t="n">
        <v>1</v>
      </c>
      <c r="F15" s="18" t="n">
        <v>1</v>
      </c>
      <c r="G15" t="inlineStr">
        <is>
          <t>identity</t>
        </is>
      </c>
    </row>
    <row r="16" ht="12" customHeight="1">
      <c r="A16" t="inlineStr">
        <is>
          <t>202608</t>
        </is>
      </c>
      <c r="B16" t="inlineStr">
        <is>
          <t>2026-08-01</t>
        </is>
      </c>
      <c r="C16" t="inlineStr">
        <is>
          <t>GBP</t>
        </is>
      </c>
      <c r="D16" t="inlineStr">
        <is>
          <t>GBP</t>
        </is>
      </c>
      <c r="E16" s="18" t="n">
        <v>1</v>
      </c>
      <c r="F16" s="18" t="n">
        <v>1</v>
      </c>
      <c r="G16" t="inlineStr">
        <is>
          <t>identity</t>
        </is>
      </c>
    </row>
    <row r="17" ht="12" customHeight="1">
      <c r="A17" t="inlineStr">
        <is>
          <t>202609</t>
        </is>
      </c>
      <c r="B17" t="inlineStr">
        <is>
          <t>2026-09-01</t>
        </is>
      </c>
      <c r="C17" t="inlineStr">
        <is>
          <t>GBP</t>
        </is>
      </c>
      <c r="D17" t="inlineStr">
        <is>
          <t>GBP</t>
        </is>
      </c>
      <c r="E17" s="18" t="n">
        <v>1</v>
      </c>
      <c r="F17" s="18" t="n">
        <v>1</v>
      </c>
      <c r="G17" t="inlineStr">
        <is>
          <t>identity</t>
        </is>
      </c>
    </row>
    <row r="18" ht="12" customHeight="1">
      <c r="A18" t="inlineStr">
        <is>
          <t>202610</t>
        </is>
      </c>
      <c r="B18" t="inlineStr">
        <is>
          <t>2026-10-01</t>
        </is>
      </c>
      <c r="C18" t="inlineStr">
        <is>
          <t>GBP</t>
        </is>
      </c>
      <c r="D18" t="inlineStr">
        <is>
          <t>GBP</t>
        </is>
      </c>
      <c r="E18" s="18" t="n">
        <v>1</v>
      </c>
      <c r="F18" s="18" t="n">
        <v>1</v>
      </c>
      <c r="G18" t="inlineStr">
        <is>
          <t>identity</t>
        </is>
      </c>
    </row>
    <row r="19" ht="12" customHeight="1">
      <c r="A19" t="inlineStr">
        <is>
          <t>202611</t>
        </is>
      </c>
      <c r="B19" t="inlineStr">
        <is>
          <t>2026-11-01</t>
        </is>
      </c>
      <c r="C19" t="inlineStr">
        <is>
          <t>GBP</t>
        </is>
      </c>
      <c r="D19" t="inlineStr">
        <is>
          <t>GBP</t>
        </is>
      </c>
      <c r="E19" s="18" t="n">
        <v>1</v>
      </c>
      <c r="F19" s="18" t="n">
        <v>1</v>
      </c>
      <c r="G19" t="inlineStr">
        <is>
          <t>identity</t>
        </is>
      </c>
    </row>
    <row r="20" ht="12" customHeight="1">
      <c r="A20" t="inlineStr">
        <is>
          <t>202612</t>
        </is>
      </c>
      <c r="B20" t="inlineStr">
        <is>
          <t>2026-12-01</t>
        </is>
      </c>
      <c r="C20" t="inlineStr">
        <is>
          <t>GBP</t>
        </is>
      </c>
      <c r="D20" t="inlineStr">
        <is>
          <t>GBP</t>
        </is>
      </c>
      <c r="E20" s="18" t="n">
        <v>1</v>
      </c>
      <c r="F20" s="18" t="n">
        <v>1</v>
      </c>
      <c r="G20" t="inlineStr">
        <is>
          <t>identity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supplier_code</t>
        </is>
      </c>
      <c r="B2" s="17" t="inlineStr">
        <is>
          <t>supplier_name</t>
        </is>
      </c>
      <c r="C2" s="17" t="inlineStr">
        <is>
          <t>current_folder</t>
        </is>
      </c>
      <c r="D2" s="17" t="inlineStr">
        <is>
          <t>destination_path</t>
        </is>
      </c>
      <c r="E2" s="17" t="inlineStr">
        <is>
          <t>notes</t>
        </is>
      </c>
    </row>
    <row r="3" ht="12" customHeight="1">
      <c r="A3" t="inlineStr">
        <is>
          <t>ARTLINK</t>
        </is>
      </c>
      <c r="B3" t="inlineStr">
        <is>
          <t>ARTLINK</t>
        </is>
      </c>
      <c r="C3" t="inlineStr">
        <is>
          <t>Artlink</t>
        </is>
      </c>
      <c r="D3" t="inlineStr">
        <is>
          <t>expenses/cogs/manufacturing</t>
        </is>
      </c>
      <c r="E3" t="inlineStr">
        <is>
          <t>Frame purchases and related freight are treated as manufacturing</t>
        </is>
      </c>
    </row>
    <row r="4" ht="12" customHeight="1">
      <c r="A4" t="inlineStr">
        <is>
          <t>PORTCLEARANCE</t>
        </is>
      </c>
      <c r="B4" t="inlineStr">
        <is>
          <t>PORTCLEARANCE</t>
        </is>
      </c>
      <c r="C4" t="inlineStr">
        <is>
          <t>port clearence</t>
        </is>
      </c>
      <c r="D4" t="inlineStr">
        <is>
          <t>expenses/cogs/manufacturing</t>
        </is>
      </c>
      <c r="E4" t="inlineStr">
        <is>
          <t>Import customs and clearance for frame purchases</t>
        </is>
      </c>
    </row>
    <row r="5" ht="12" customHeight="1">
      <c r="A5" t="inlineStr">
        <is>
          <t>JONDO</t>
        </is>
      </c>
      <c r="B5" t="inlineStr">
        <is>
          <t>JONDO</t>
        </is>
      </c>
      <c r="C5" t="inlineStr">
        <is>
          <t>202602_jondogo</t>
        </is>
      </c>
      <c r="D5" t="inlineStr">
        <is>
          <t>expenses/cogs/manufacturing-logistics</t>
        </is>
      </c>
      <c r="E5" t="inlineStr"/>
    </row>
    <row r="6" ht="12" customHeight="1">
      <c r="A6" t="inlineStr">
        <is>
          <t>PROCO</t>
        </is>
      </c>
      <c r="B6" t="inlineStr">
        <is>
          <t>PROCO</t>
        </is>
      </c>
      <c r="C6" t="inlineStr">
        <is>
          <t>Proco</t>
        </is>
      </c>
      <c r="D6" t="inlineStr">
        <is>
          <t>expenses/cogs/manufacturing-logistics</t>
        </is>
      </c>
      <c r="E6" t="inlineStr">
        <is>
          <t>Trading name PROCO</t>
        </is>
      </c>
    </row>
    <row r="7" ht="12" customHeight="1">
      <c r="A7" t="inlineStr">
        <is>
          <t>YOURACCOUNTSTAXES</t>
        </is>
      </c>
      <c r="B7" t="inlineStr">
        <is>
          <t>YOURACCOUNTSTAXES</t>
        </is>
      </c>
      <c r="C7" t="inlineStr">
        <is>
          <t>Your Accounts and Taxes</t>
        </is>
      </c>
      <c r="D7" t="inlineStr">
        <is>
          <t>expenses/opex/administration</t>
        </is>
      </c>
      <c r="E7" t="inlineStr">
        <is>
          <t>UK accountancy and tax services</t>
        </is>
      </c>
    </row>
    <row r="8" ht="12" customHeight="1">
      <c r="A8" t="inlineStr">
        <is>
          <t>SHAREDSERVICESSL</t>
        </is>
      </c>
      <c r="B8" t="inlineStr">
        <is>
          <t>SHAREDSERVICESSL</t>
        </is>
      </c>
      <c r="C8" t="inlineStr">
        <is>
          <t>Shared Services</t>
        </is>
      </c>
      <c r="D8" t="inlineStr">
        <is>
          <t>expenses/opex/shared-services</t>
        </is>
      </c>
      <c r="E8" t="inlineStr">
        <is>
          <t>Intercompany</t>
        </is>
      </c>
    </row>
    <row r="9" ht="12" customHeight="1">
      <c r="A9" t="inlineStr">
        <is>
          <t>REVER</t>
        </is>
      </c>
      <c r="B9" t="inlineStr">
        <is>
          <t>REVER</t>
        </is>
      </c>
      <c r="C9" t="inlineStr">
        <is>
          <t>REVER</t>
        </is>
      </c>
      <c r="D9" t="inlineStr">
        <is>
          <t>expenses/opex/technology</t>
        </is>
      </c>
      <c r="E9" t="inlineStr"/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0" t="inlineStr">
        <is>
          <t>Nº Facturas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1" t="inlineStr">
        <is>
          <t>Turnover</t>
        </is>
      </c>
      <c r="B4" s="22" t="n"/>
      <c r="C4" s="22" t="n"/>
      <c r="D4" s="22" t="n">
        <v>1</v>
      </c>
      <c r="E4" s="22" t="n">
        <v>1</v>
      </c>
      <c r="F4" s="22" t="n">
        <v>1</v>
      </c>
      <c r="G4" s="22" t="n">
        <v>1</v>
      </c>
      <c r="H4" s="22" t="n">
        <v>0</v>
      </c>
      <c r="I4" s="22" t="n">
        <v>0</v>
      </c>
      <c r="J4" s="22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4</v>
      </c>
      <c r="Q4" s="22" t="n"/>
    </row>
    <row r="5" ht="12" customHeight="1">
      <c r="A5" s="23" t="n"/>
      <c r="B5" s="24" t="inlineStr">
        <is>
          <t>Product sales</t>
        </is>
      </c>
      <c r="C5" s="23" t="n"/>
      <c r="D5" s="23" t="n">
        <v>1</v>
      </c>
      <c r="E5" s="23" t="n">
        <v>1</v>
      </c>
      <c r="F5" s="23" t="n">
        <v>1</v>
      </c>
      <c r="G5" s="23" t="n">
        <v>1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4</v>
      </c>
      <c r="Q5" s="23" t="n"/>
    </row>
    <row r="6" ht="12" customHeight="1">
      <c r="A6" s="25" t="n"/>
      <c r="B6" s="25" t="n"/>
      <c r="C6" s="9" t="inlineStr">
        <is>
          <t>Shopify</t>
        </is>
      </c>
      <c r="D6" s="25" t="n">
        <v>1</v>
      </c>
      <c r="E6" s="25" t="n">
        <v>1</v>
      </c>
      <c r="F6" s="25" t="n">
        <v>1</v>
      </c>
      <c r="G6" s="25" t="n">
        <v>1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4</v>
      </c>
      <c r="Q6" s="25" t="n"/>
    </row>
    <row r="7" ht="12" customHeight="1">
      <c r="C7" t="inlineStr">
        <is>
          <t>GB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3" t="n"/>
      <c r="B8" s="24" t="inlineStr">
        <is>
          <t>Services</t>
        </is>
      </c>
      <c r="C8" s="23" t="n"/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/>
    </row>
    <row r="9" ht="12" customHeight="1">
      <c r="A9" s="25" t="n"/>
      <c r="B9" s="9" t="inlineStr">
        <is>
          <t>Uncategorized income</t>
        </is>
      </c>
      <c r="C9" s="25" t="n"/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/>
    </row>
    <row r="10" ht="12" customHeight="1"/>
    <row r="11" ht="12" customHeight="1">
      <c r="A11" s="21" t="inlineStr">
        <is>
          <t>Expenses</t>
        </is>
      </c>
      <c r="B11" s="22" t="n"/>
      <c r="C11" s="22" t="n"/>
      <c r="D11" s="22" t="n">
        <v>30</v>
      </c>
      <c r="E11" s="22" t="n">
        <v>36</v>
      </c>
      <c r="F11" s="22" t="n">
        <v>53</v>
      </c>
      <c r="G11" s="22" t="n">
        <v>5</v>
      </c>
      <c r="H11" s="22" t="n">
        <v>3</v>
      </c>
      <c r="I11" s="22" t="n">
        <v>3</v>
      </c>
      <c r="J11" s="22" t="n">
        <v>3</v>
      </c>
      <c r="K11" s="22" t="n">
        <v>3</v>
      </c>
      <c r="L11" s="22" t="n">
        <v>3</v>
      </c>
      <c r="M11" s="22" t="n">
        <v>3</v>
      </c>
      <c r="N11" s="22" t="n">
        <v>3</v>
      </c>
      <c r="O11" s="22" t="n">
        <v>3</v>
      </c>
      <c r="P11" s="22" t="n">
        <v>148</v>
      </c>
      <c r="Q11" s="22" t="n"/>
    </row>
    <row r="12" ht="12" customHeight="1">
      <c r="A12" s="23" t="n"/>
      <c r="B12" s="24" t="inlineStr">
        <is>
          <t>COGS</t>
        </is>
      </c>
      <c r="C12" s="23" t="n"/>
      <c r="D12" s="23" t="n">
        <v>27</v>
      </c>
      <c r="E12" s="23" t="n">
        <v>32</v>
      </c>
      <c r="F12" s="23" t="n">
        <v>46</v>
      </c>
      <c r="G12" s="23" t="n">
        <v>1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106</v>
      </c>
      <c r="Q12" s="23" t="n"/>
    </row>
    <row r="13" ht="12" customHeight="1">
      <c r="A13" s="25" t="n"/>
      <c r="B13" s="25" t="n"/>
      <c r="C13" s="9" t="inlineStr">
        <is>
          <t>Manufacturing</t>
        </is>
      </c>
      <c r="D13" s="25" t="n">
        <v>25</v>
      </c>
      <c r="E13" s="25" t="n">
        <v>30</v>
      </c>
      <c r="F13" s="25" t="n">
        <v>43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98</v>
      </c>
      <c r="Q13" s="25" t="n"/>
    </row>
    <row r="14" ht="12" customHeight="1">
      <c r="C14" t="inlineStr">
        <is>
          <t>ARTLINK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 ht="12" customHeight="1">
      <c r="C15" t="inlineStr">
        <is>
          <t>JONDO</t>
        </is>
      </c>
      <c r="D15" t="n">
        <v>24</v>
      </c>
      <c r="E15" t="n">
        <v>29</v>
      </c>
      <c r="F15" t="n">
        <v>42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95</v>
      </c>
    </row>
    <row r="16" ht="12" customHeight="1">
      <c r="C16" t="inlineStr">
        <is>
          <t>PROCO</t>
        </is>
      </c>
      <c r="D16" t="n">
        <v>1</v>
      </c>
      <c r="E16" t="n">
        <v>1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3</v>
      </c>
    </row>
    <row r="17" ht="12" customHeight="1">
      <c r="A17" s="25" t="n"/>
      <c r="B17" s="25" t="n"/>
      <c r="C17" s="9" t="inlineStr">
        <is>
          <t>Logistics</t>
        </is>
      </c>
      <c r="D17" s="25" t="n">
        <v>1</v>
      </c>
      <c r="E17" s="25" t="n">
        <v>1</v>
      </c>
      <c r="F17" s="25" t="n">
        <v>2</v>
      </c>
      <c r="G17" s="25" t="n">
        <v>0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4</v>
      </c>
      <c r="Q17" s="25" t="n"/>
    </row>
    <row r="18" ht="12" customHeight="1">
      <c r="C18" t="inlineStr">
        <is>
          <t>PROCO</t>
        </is>
      </c>
      <c r="D18" t="n">
        <v>1</v>
      </c>
      <c r="E18" t="n">
        <v>1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3</v>
      </c>
    </row>
    <row r="19" ht="12" customHeight="1">
      <c r="C19" t="inlineStr">
        <is>
          <t>PORTCLEARANCE</t>
        </is>
      </c>
      <c r="D19" t="n">
        <v>0</v>
      </c>
      <c r="E19" t="n">
        <v>0</v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A20" s="25" t="n"/>
      <c r="B20" s="25" t="n"/>
      <c r="C20" s="9" t="inlineStr">
        <is>
          <t>Payment fees</t>
        </is>
      </c>
      <c r="D20" s="25" t="n">
        <v>1</v>
      </c>
      <c r="E20" s="25" t="n">
        <v>1</v>
      </c>
      <c r="F20" s="25" t="n">
        <v>1</v>
      </c>
      <c r="G20" s="25" t="n">
        <v>1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4</v>
      </c>
      <c r="Q20" s="25" t="n"/>
    </row>
    <row r="21" ht="12" customHeight="1">
      <c r="C21" t="inlineStr">
        <is>
          <t>SHOPIFY</t>
        </is>
      </c>
      <c r="D21" t="n">
        <v>1</v>
      </c>
      <c r="E21" t="n">
        <v>1</v>
      </c>
      <c r="F21" t="n">
        <v>1</v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4</v>
      </c>
    </row>
    <row r="22" ht="12" customHeight="1"/>
    <row r="23" ht="12" customHeight="1">
      <c r="A23" s="23" t="n"/>
      <c r="B23" s="24" t="inlineStr">
        <is>
          <t>Opex</t>
        </is>
      </c>
      <c r="C23" s="23" t="n"/>
      <c r="D23" s="23" t="n">
        <v>3</v>
      </c>
      <c r="E23" s="23" t="n">
        <v>4</v>
      </c>
      <c r="F23" s="23" t="n">
        <v>7</v>
      </c>
      <c r="G23" s="23" t="n">
        <v>4</v>
      </c>
      <c r="H23" s="23" t="n">
        <v>3</v>
      </c>
      <c r="I23" s="23" t="n">
        <v>3</v>
      </c>
      <c r="J23" s="23" t="n">
        <v>3</v>
      </c>
      <c r="K23" s="23" t="n">
        <v>3</v>
      </c>
      <c r="L23" s="23" t="n">
        <v>3</v>
      </c>
      <c r="M23" s="23" t="n">
        <v>3</v>
      </c>
      <c r="N23" s="23" t="n">
        <v>3</v>
      </c>
      <c r="O23" s="23" t="n">
        <v>3</v>
      </c>
      <c r="P23" s="23" t="n">
        <v>42</v>
      </c>
      <c r="Q23" s="23" t="n"/>
    </row>
    <row r="24" ht="12" customHeight="1">
      <c r="A24" s="25" t="n"/>
      <c r="B24" s="25" t="n"/>
      <c r="C24" s="9" t="inlineStr">
        <is>
          <t>Shared services</t>
        </is>
      </c>
      <c r="D24" s="25" t="n">
        <v>1</v>
      </c>
      <c r="E24" s="25" t="n">
        <v>1</v>
      </c>
      <c r="F24" s="25" t="n">
        <v>1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3</v>
      </c>
      <c r="Q24" s="25" t="n"/>
    </row>
    <row r="25" ht="12" customHeight="1">
      <c r="C25" t="inlineStr">
        <is>
          <t>SHAREDSERVICESSL</t>
        </is>
      </c>
      <c r="D25" t="n">
        <v>1</v>
      </c>
      <c r="E25" t="n">
        <v>1</v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3</v>
      </c>
    </row>
    <row r="26" ht="12" customHeight="1">
      <c r="A26" s="25" t="n"/>
      <c r="B26" s="25" t="n"/>
      <c r="C26" s="9" t="inlineStr">
        <is>
          <t>Administration</t>
        </is>
      </c>
      <c r="D26" s="25" t="n">
        <v>2</v>
      </c>
      <c r="E26" s="25" t="n">
        <v>3</v>
      </c>
      <c r="F26" s="25" t="n">
        <v>4</v>
      </c>
      <c r="G26" s="25" t="n">
        <v>4</v>
      </c>
      <c r="H26" s="25" t="n">
        <v>3</v>
      </c>
      <c r="I26" s="25" t="n">
        <v>3</v>
      </c>
      <c r="J26" s="25" t="n">
        <v>3</v>
      </c>
      <c r="K26" s="25" t="n">
        <v>3</v>
      </c>
      <c r="L26" s="25" t="n">
        <v>3</v>
      </c>
      <c r="M26" s="25" t="n">
        <v>3</v>
      </c>
      <c r="N26" s="25" t="n">
        <v>3</v>
      </c>
      <c r="O26" s="25" t="n">
        <v>3</v>
      </c>
      <c r="P26" s="25" t="n">
        <v>37</v>
      </c>
      <c r="Q26" s="25" t="n"/>
    </row>
    <row r="27" ht="12" customHeight="1">
      <c r="C27" t="inlineStr">
        <is>
          <t>YOURACCOUNTSTAXES</t>
        </is>
      </c>
      <c r="D27" t="n">
        <v>2</v>
      </c>
      <c r="E27" t="n">
        <v>3</v>
      </c>
      <c r="F27" t="n">
        <v>4</v>
      </c>
      <c r="G27" t="n">
        <v>4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3</v>
      </c>
      <c r="O27" t="n">
        <v>3</v>
      </c>
      <c r="P27" t="n">
        <v>37</v>
      </c>
    </row>
    <row r="28" ht="12" customHeight="1">
      <c r="A28" s="25" t="n"/>
      <c r="B28" s="25" t="n"/>
      <c r="C28" s="9" t="inlineStr">
        <is>
          <t>Technology</t>
        </is>
      </c>
      <c r="D28" s="25" t="n">
        <v>0</v>
      </c>
      <c r="E28" s="25" t="n">
        <v>0</v>
      </c>
      <c r="F28" s="25" t="n">
        <v>2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2</v>
      </c>
      <c r="Q28" s="25" t="n"/>
    </row>
    <row r="29" ht="12" customHeight="1">
      <c r="C29" t="inlineStr">
        <is>
          <t>REVER</t>
        </is>
      </c>
      <c r="D29" t="n">
        <v>0</v>
      </c>
      <c r="E29" t="n">
        <v>0</v>
      </c>
      <c r="F29" t="n">
        <v>2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2</v>
      </c>
    </row>
    <row r="30" ht="12" customHeight="1">
      <c r="A30" s="25" t="n"/>
      <c r="B30" s="25" t="n"/>
      <c r="C30" s="9" t="inlineStr">
        <is>
          <t>Uncategorized Expenses</t>
        </is>
      </c>
      <c r="D30" s="25" t="n">
        <v>0</v>
      </c>
      <c r="E30" s="25" t="n">
        <v>0</v>
      </c>
      <c r="F30" s="25" t="n">
        <v>0</v>
      </c>
      <c r="G30" s="25" t="n">
        <v>0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/>
    </row>
    <row r="31" ht="12" customHeight="1">
      <c r="A31" s="25" t="n"/>
      <c r="B31" s="9" t="inlineStr">
        <is>
          <t>Currency Adjustment</t>
        </is>
      </c>
      <c r="C31" s="25" t="n"/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2026-04-10T10:53:47Z</dcterms:created>
  <dcterms:modified xsi:type="dcterms:W3CDTF">2026-04-10T10:53:47Z</dcterms:modified>
</cp:coreProperties>
</file>