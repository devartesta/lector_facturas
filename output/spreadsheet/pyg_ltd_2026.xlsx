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LTD" sheetId="1" state="visible" r:id="rId1"/>
    <sheet name="params" sheetId="2" state="visible" r:id="rId2"/>
    <sheet name="i-shopify-ltd" sheetId="3" state="visible" r:id="rId3"/>
    <sheet name="g-expenses-ltd" sheetId="4" state="visible" r:id="rId4"/>
    <sheet name="g-payment-fees-ltd" sheetId="5" state="visible" r:id="rId5"/>
    <sheet name="fx-rates" sheetId="6" state="visible" r:id="rId6"/>
    <sheet name="catalog-ltd" sheetId="7" state="visible" r:id="rId7"/>
    <sheet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i val="1"/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0" fontId="5" fillId="0" borderId="0" pivotButton="0" quotePrefix="0" xfId="0"/>
    <xf numFmtId="166" fontId="0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 /><Relationship Type="http://schemas.openxmlformats.org/officeDocument/2006/relationships/hyperlink" Target="https://drive.google.com/file/d/1oIxZGoxdpgPeDPb-AglCjV1eQY29eNxQ/view?usp=drivesdk" TargetMode="External" Id="rId2" /><Relationship Type="http://schemas.openxmlformats.org/officeDocument/2006/relationships/hyperlink" Target="https://drive.google.com/file/d/1sld1KDeg28NmlMctYu0WHfY-5pVcNNTk/view?usp=drivesdk" TargetMode="External" Id="rId3" /><Relationship Type="http://schemas.openxmlformats.org/officeDocument/2006/relationships/hyperlink" Target="https://drive.google.com/file/d/1L7ZoeAFj0k4DrjcJkiRFm52nrtXOGnjy/view?usp=drivesdk" TargetMode="External" Id="rId4" /><Relationship Type="http://schemas.openxmlformats.org/officeDocument/2006/relationships/hyperlink" Target="https://drive.google.com/file/d/13ZHbIuhsN15tZ6BY8ILwdOryQBL8Fjpq/view?usp=drivesdk" TargetMode="External" Id="rId5" /><Relationship Type="http://schemas.openxmlformats.org/officeDocument/2006/relationships/hyperlink" Target="https://drive.google.com/file/d/1y_RFAjzt2Mv7iUalA1-JR_xB9KsErUvb/view?usp=drivesdk" TargetMode="External" Id="rId6" /><Relationship Type="http://schemas.openxmlformats.org/officeDocument/2006/relationships/hyperlink" Target="https://drive.google.com/file/d/1OyW5YuspPu6miBlQuirvcBZEjyCHCESv/view?usp=drivesdk" TargetMode="External" Id="rId7" /><Relationship Type="http://schemas.openxmlformats.org/officeDocument/2006/relationships/hyperlink" Target="https://drive.google.com/file/d/1nMW9vfUjHEeOxPMurVPmI2qivgS-jnF9/view?usp=drivesdk" TargetMode="External" Id="rId8" /><Relationship Type="http://schemas.openxmlformats.org/officeDocument/2006/relationships/hyperlink" Target="https://drive.google.com/file/d/1BWJbTsvyK62cL9QfpBCxTvKjyCpXo3ni/view?usp=drivesdk" TargetMode="External" Id="rId9" /><Relationship Type="http://schemas.openxmlformats.org/officeDocument/2006/relationships/hyperlink" Target="https://drive.google.com/file/d/1T41S4LX4_TpjSsqHL5rijp0du_Xjvz44/view?usp=drivesdk" TargetMode="External" Id="rId10" /><Relationship Type="http://schemas.openxmlformats.org/officeDocument/2006/relationships/hyperlink" Target="https://drive.google.com/file/d/1WLRdlpIyyvWA2inP5kzpvap1dktr4RZP/view?usp=drivesdk" TargetMode="External" Id="rId11" /><Relationship Type="http://schemas.openxmlformats.org/officeDocument/2006/relationships/hyperlink" Target="https://drive.google.com/file/d/19Ds70MHlzQPyTQGekHEjO8VNnPwfWSnG/view?usp=drivesdk" TargetMode="External" Id="rId12" /><Relationship Type="http://schemas.openxmlformats.org/officeDocument/2006/relationships/hyperlink" Target="https://drive.google.com/file/d/1zP_ruzDEMP7tcv3xlc2HRJ1_jje-Utwu/view?usp=drivesdk" TargetMode="External" Id="rId13" /><Relationship Type="http://schemas.openxmlformats.org/officeDocument/2006/relationships/hyperlink" Target="https://drive.google.com/file/d/12-OnSt4oL9AJCZeW6Nsk-hZU-jeJ1XNx/view?usp=drivesdk" TargetMode="External" Id="rId14" /><Relationship Type="http://schemas.openxmlformats.org/officeDocument/2006/relationships/hyperlink" Target="https://drive.google.com/file/d/1IqI0DS5TubEqbeiwdZWr2KdJ8A_sB7-7/view?usp=drivesdk" TargetMode="External" Id="rId15" /><Relationship Type="http://schemas.openxmlformats.org/officeDocument/2006/relationships/hyperlink" Target="https://drive.google.com/file/d/1Wzf_0d27_QQKn09fePaqHmt9lH2L5i1x/view?usp=drivesdk" TargetMode="External" Id="rId16" /><Relationship Type="http://schemas.openxmlformats.org/officeDocument/2006/relationships/hyperlink" Target="https://drive.google.com/file/d/1wDNuMLZrYtqaZCEGfLXcbbpdt71O7et-/view?usp=drivesdk" TargetMode="External" Id="rId17" /><Relationship Type="http://schemas.openxmlformats.org/officeDocument/2006/relationships/hyperlink" Target="https://drive.google.com/file/d/1VxTsEAT2Y_7gPT8-KktdLPajUlnpmLVI/view?usp=drivesdk" TargetMode="External" Id="rId18" /><Relationship Type="http://schemas.openxmlformats.org/officeDocument/2006/relationships/hyperlink" Target="https://drive.google.com/file/d/1Qw1sA5nEwhoQbOW8ZCah4hdcjIt18Wea/view?usp=drivesdk" TargetMode="External" Id="rId19" /><Relationship Type="http://schemas.openxmlformats.org/officeDocument/2006/relationships/hyperlink" Target="https://drive.google.com/file/d/14oYKgtEHlw1B4wAMvq3Cy3zHh9FUAcvd/view?usp=drivesdk" TargetMode="External" Id="rId20" /><Relationship Type="http://schemas.openxmlformats.org/officeDocument/2006/relationships/hyperlink" Target="https://drive.google.com/file/d/1tZvG8Qkr285pw0p3UVP_4nrHb55TEnad/view?usp=drivesdk" TargetMode="External" Id="rId21" /><Relationship Type="http://schemas.openxmlformats.org/officeDocument/2006/relationships/hyperlink" Target="https://drive.google.com/file/d/1kSeP0IRoDaS31JgE1VFXPOwX2_JXQjyx/view?usp=drivesdk" TargetMode="External" Id="rId22" /><Relationship Type="http://schemas.openxmlformats.org/officeDocument/2006/relationships/hyperlink" Target="https://drive.google.com/file/d/12daSfdaOVWBdy-yTWlaRpApVlxl1Asqq/view?usp=drivesdk" TargetMode="External" Id="rId23" /><Relationship Type="http://schemas.openxmlformats.org/officeDocument/2006/relationships/hyperlink" Target="https://drive.google.com/file/d/1ipbssICwv_CNawuFNAdNkhIngIPBE-su/view?usp=drivesdk" TargetMode="External" Id="rId24" /><Relationship Type="http://schemas.openxmlformats.org/officeDocument/2006/relationships/hyperlink" Target="https://drive.google.com/file/d/1WO-DW4XapqiPAW8ic_8DMJZOdSrmj1HB/view?usp=drivesdk" TargetMode="External" Id="rId25" /><Relationship Type="http://schemas.openxmlformats.org/officeDocument/2006/relationships/hyperlink" Target="https://drive.google.com/file/d/1WO-DW4XapqiPAW8ic_8DMJZOdSrmj1HB/view?usp=drivesdk" TargetMode="External" Id="rId26" /><Relationship Type="http://schemas.openxmlformats.org/officeDocument/2006/relationships/hyperlink" Target="https://drive.google.com/file/d/1DVbcrKI34TY_XRmPCWYxFfktOzy1Bqmr/view?usp=drivesdk" TargetMode="External" Id="rId27" /><Relationship Type="http://schemas.openxmlformats.org/officeDocument/2006/relationships/hyperlink" Target="https://drive.google.com/file/d/1n3uOf_jbqFYt5zJTiDDfZSbSjOCzEMHL/view?usp=drivesdk" TargetMode="External" Id="rId28" /><Relationship Type="http://schemas.openxmlformats.org/officeDocument/2006/relationships/hyperlink" Target="https://drive.google.com/file/d/1CIuzkH_u1gHARcMpknCAJ9pI5qmqqobY/view?usp=drivesdk" TargetMode="External" Id="rId29" /><Relationship Type="http://schemas.openxmlformats.org/officeDocument/2006/relationships/hyperlink" Target="https://drive.google.com/file/d/1z2ShmClela43bUW-vTcb2pcrB7Qwu6gE/view?usp=drivesdk" TargetMode="External" Id="rId30" /><Relationship Type="http://schemas.openxmlformats.org/officeDocument/2006/relationships/hyperlink" Target="https://drive.google.com/file/d/1-yGn3xRRsCE-8T-jXa2ZANZ3lXnMlnU1/view?usp=drivesdk" TargetMode="External" Id="rId31" /><Relationship Type="http://schemas.openxmlformats.org/officeDocument/2006/relationships/hyperlink" Target="https://drive.google.com/file/d/1-NkdlGvZLusGXUX04m43SkJkiaNTkBXH/view?usp=drivesdk" TargetMode="External" Id="rId32" /><Relationship Type="http://schemas.openxmlformats.org/officeDocument/2006/relationships/hyperlink" Target="https://drive.google.com/file/d/14Kv6de85keqbrh_ImJOpxC57rdB8Nml-/view?usp=drivesdk" TargetMode="External" Id="rId33" /><Relationship Type="http://schemas.openxmlformats.org/officeDocument/2006/relationships/hyperlink" Target="https://drive.google.com/file/d/1mwHXLhoynWBHDPYgvA1Qh5oQ_Pj7aqp4/view?usp=drivesdk" TargetMode="External" Id="rId34" /><Relationship Type="http://schemas.openxmlformats.org/officeDocument/2006/relationships/hyperlink" Target="https://drive.google.com/file/d/1gR9CgliEJupvg6aabwQrw3bszdfJQUA2/view?usp=drivesdk" TargetMode="External" Id="rId35" /><Relationship Type="http://schemas.openxmlformats.org/officeDocument/2006/relationships/hyperlink" Target="https://drive.google.com/file/d/18wgtpL_Ix0DraaeKhnVN5Yc5zMx0gfNt/view?usp=drivesdk" TargetMode="External" Id="rId36" /><Relationship Type="http://schemas.openxmlformats.org/officeDocument/2006/relationships/hyperlink" Target="https://drive.google.com/file/d/16WCK7LMlNJ1SA8hTr9sh0RTKdxYuzOOj/view?usp=drivesdk" TargetMode="External" Id="rId37" /><Relationship Type="http://schemas.openxmlformats.org/officeDocument/2006/relationships/hyperlink" Target="https://drive.google.com/file/d/1m_hZoeF7mnj1sjA7HqOewotwB0qPKy4D/view?usp=drivesdk" TargetMode="External" Id="rId38" /><Relationship Type="http://schemas.openxmlformats.org/officeDocument/2006/relationships/hyperlink" Target="https://drive.google.com/file/d/1lko37nObfSfkjyh3XJSPQ-9HkcajcYM5/view?usp=drivesdk" TargetMode="External" Id="rId39" /><Relationship Type="http://schemas.openxmlformats.org/officeDocument/2006/relationships/hyperlink" Target="https://drive.google.com/file/d/1pQbRirka8GpZOXPr2ddHLAfhOlWi3xvz/view?usp=drivesdk" TargetMode="External" Id="rId40" /><Relationship Type="http://schemas.openxmlformats.org/officeDocument/2006/relationships/hyperlink" Target="https://drive.google.com/file/d/19w6pnXyuBTQjCd8b3o6eKT17hCjMiE-W/view?usp=drivesdk" TargetMode="External" Id="rId41" /><Relationship Type="http://schemas.openxmlformats.org/officeDocument/2006/relationships/hyperlink" Target="https://drive.google.com/file/d/119xbszT9MRCL7obqdTeJCKp5GpdneYVY/view?usp=drivesdk" TargetMode="External" Id="rId42" /><Relationship Type="http://schemas.openxmlformats.org/officeDocument/2006/relationships/hyperlink" Target="https://drive.google.com/file/d/1MFjQFLyJqvx5yAWAc_AAveY2DzsxSbkO/view?usp=drivesdk" TargetMode="External" Id="rId43" /><Relationship Type="http://schemas.openxmlformats.org/officeDocument/2006/relationships/hyperlink" Target="https://drive.google.com/file/d/1EGU0eMrVgdXIV0o0psYd-vesgsKzy8wg/view?usp=drivesdk" TargetMode="External" Id="rId44" /><Relationship Type="http://schemas.openxmlformats.org/officeDocument/2006/relationships/hyperlink" Target="https://drive.google.com/file/d/188JrZ8ux_a9_Ip2aOmADCtPKmy7wBQj0/view?usp=drivesdk" TargetMode="External" Id="rId45" /><Relationship Type="http://schemas.openxmlformats.org/officeDocument/2006/relationships/hyperlink" Target="https://drive.google.com/file/d/1CYVXlsz1cZylIEE_FnK0-bDsegHXy0lC/view?usp=drivesdk" TargetMode="External" Id="rId46" /><Relationship Type="http://schemas.openxmlformats.org/officeDocument/2006/relationships/hyperlink" Target="https://drive.google.com/file/d/1u-NxRqm2pZqxIZ4jxPovnCnRMSBW61bs/view?usp=drivesdk" TargetMode="External" Id="rId47" /><Relationship Type="http://schemas.openxmlformats.org/officeDocument/2006/relationships/hyperlink" Target="https://drive.google.com/file/d/1aZO2DUv7EnGbzTuaqe1zcL_0vcIT-IsR/view?usp=drivesdk" TargetMode="External" Id="rId48" /><Relationship Type="http://schemas.openxmlformats.org/officeDocument/2006/relationships/hyperlink" Target="https://drive.google.com/file/d/1bb4D0frLw6tv0YR0_K_0bz4GyPMaST00/view?usp=drivesdk" TargetMode="External" Id="rId49" /><Relationship Type="http://schemas.openxmlformats.org/officeDocument/2006/relationships/hyperlink" Target="https://drive.google.com/file/d/1A7IKjrdSctavHx5vvWMoTR2X3YvCVcqK/view?usp=drivesdk" TargetMode="External" Id="rId50" /><Relationship Type="http://schemas.openxmlformats.org/officeDocument/2006/relationships/hyperlink" Target="https://drive.google.com/file/d/1Fr7EpLc4_w_y7t7ZSWM8qyk01zEjoINy/view?usp=drivesdk" TargetMode="External" Id="rId51" /><Relationship Type="http://schemas.openxmlformats.org/officeDocument/2006/relationships/hyperlink" Target="https://drive.google.com/file/d/1J665leZvteRH41FHARz4EBF_bjAJjDa0/view?usp=drivesdk" TargetMode="External" Id="rId52" /><Relationship Type="http://schemas.openxmlformats.org/officeDocument/2006/relationships/hyperlink" Target="https://drive.google.com/file/d/1FQOlw_0RiHG8QnYV4OF9UIi82z0ERrol/view?usp=drivesdk" TargetMode="External" Id="rId53" /><Relationship Type="http://schemas.openxmlformats.org/officeDocument/2006/relationships/hyperlink" Target="https://drive.google.com/file/d/1buNB3TxMmADuGJ_Rck7CIzzoNcvTA1jx/view?usp=drivesdk" TargetMode="External" Id="rId54" /><Relationship Type="http://schemas.openxmlformats.org/officeDocument/2006/relationships/hyperlink" Target="https://drive.google.com/file/d/13CovCArR8TTPaWcDahlSrtlE8_ddFvC9/view?usp=drivesdk" TargetMode="External" Id="rId55" /><Relationship Type="http://schemas.openxmlformats.org/officeDocument/2006/relationships/hyperlink" Target="https://drive.google.com/file/d/1dzNdT4yHYiEpXxRJX5SXJetVjDxt8rjH/view?usp=drivesdk" TargetMode="External" Id="rId56" /><Relationship Type="http://schemas.openxmlformats.org/officeDocument/2006/relationships/hyperlink" Target="https://drive.google.com/file/d/177tCIVVwMHTZIZRxNRTPK0fTuc-di7MS/view?usp=drivesdk" TargetMode="External" Id="rId57" /><Relationship Type="http://schemas.openxmlformats.org/officeDocument/2006/relationships/hyperlink" Target="https://drive.google.com/file/d/1vTGjWxyT3P7m_LD9TVvGvT59-h229ubs/view?usp=drivesdk" TargetMode="External" Id="rId58" /><Relationship Type="http://schemas.openxmlformats.org/officeDocument/2006/relationships/hyperlink" Target="https://drive.google.com/file/d/1rpih0MGtiiho53ABBb6RFSia9ocS5ewI/view?usp=drivesdk" TargetMode="External" Id="rId59" /><Relationship Type="http://schemas.openxmlformats.org/officeDocument/2006/relationships/hyperlink" Target="https://drive.google.com/file/d/1rpih0MGtiiho53ABBb6RFSia9ocS5ewI/view?usp=drivesdk" TargetMode="External" Id="rId60" /><Relationship Type="http://schemas.openxmlformats.org/officeDocument/2006/relationships/hyperlink" Target="https://drive.google.com/file/d/1pNRISEZAlDdg2kXsh98mNhDndQFk42mV/view?usp=drivesdk" TargetMode="External" Id="rId61" /><Relationship Type="http://schemas.openxmlformats.org/officeDocument/2006/relationships/hyperlink" Target="https://drive.google.com/file/d/1nzOKra7y7jGR4FYuKDhpUSUhEqubGgof/view?usp=drivesdk" TargetMode="External" Id="rId62" /><Relationship Type="http://schemas.openxmlformats.org/officeDocument/2006/relationships/hyperlink" Target="https://drive.google.com/file/d/15tq2MF_O05gx-y3VBFK4eRPCaHDrEmog/view?usp=drivesdk" TargetMode="External" Id="rId63" /><Relationship Type="http://schemas.openxmlformats.org/officeDocument/2006/relationships/hyperlink" Target="https://drive.google.com/file/d/14rmjOK-9JvSS6fOl1YvTZ2GbZNnpQ6WO/view?usp=drivesdk" TargetMode="External" Id="rId64" /><Relationship Type="http://schemas.openxmlformats.org/officeDocument/2006/relationships/hyperlink" Target="https://drive.google.com/file/d/1BbO_L0AfWA_e4-vcgmAPDKVBywq_z0ek/view?usp=drivesdk" TargetMode="External" Id="rId65" /><Relationship Type="http://schemas.openxmlformats.org/officeDocument/2006/relationships/hyperlink" Target="https://drive.google.com/file/d/165HRmZ2g0WdfskzbrtHzXV6ALXimYaIu/view?usp=drivesdk" TargetMode="External" Id="rId66" /><Relationship Type="http://schemas.openxmlformats.org/officeDocument/2006/relationships/hyperlink" Target="https://drive.google.com/file/d/1Z_5d0QXG3Bn3aTm5JVNpjt8qPQMwGt21/view?usp=drivesdk" TargetMode="External" Id="rId67" /><Relationship Type="http://schemas.openxmlformats.org/officeDocument/2006/relationships/hyperlink" Target="https://drive.google.com/file/d/1CHjm3mQctRUQYqbv6zXs3SonHgln2nD3/view?usp=drivesdk" TargetMode="External" Id="rId68" /><Relationship Type="http://schemas.openxmlformats.org/officeDocument/2006/relationships/hyperlink" Target="https://drive.google.com/file/d/1IhZUZEwe2_BBXikCjpL1GKXdK4xEetaE/view?usp=drivesdk" TargetMode="External" Id="rId69" /><Relationship Type="http://schemas.openxmlformats.org/officeDocument/2006/relationships/hyperlink" Target="https://drive.google.com/file/d/1AsgQ8_PjOJrvqTYcsPYEKolunIYlfV4Q/view?usp=drivesdk" TargetMode="External" Id="rId70" /><Relationship Type="http://schemas.openxmlformats.org/officeDocument/2006/relationships/hyperlink" Target="https://drive.google.com/file/d/1hksJO_fnTPFDMp-4j1XZWpegWgO2Ailq/view?usp=drivesdk" TargetMode="External" Id="rId71" /><Relationship Type="http://schemas.openxmlformats.org/officeDocument/2006/relationships/hyperlink" Target="https://drive.google.com/file/d/1NdybY9fRXHw9j82a5s65MgztyJPOsoin/view?usp=drivesdk" TargetMode="External" Id="rId72" /><Relationship Type="http://schemas.openxmlformats.org/officeDocument/2006/relationships/hyperlink" Target="https://drive.google.com/file/d/1TxyFOoXyfr9p89UtdqAEbWxywM7AezVv/view?usp=drivesdk" TargetMode="External" Id="rId73" /><Relationship Type="http://schemas.openxmlformats.org/officeDocument/2006/relationships/hyperlink" Target="https://drive.google.com/file/d/1tbELKs8Gm6ALpTiDWY6M4Ga_pPzHHQLH/view?usp=drivesdk" TargetMode="External" Id="rId74" /><Relationship Type="http://schemas.openxmlformats.org/officeDocument/2006/relationships/hyperlink" Target="https://drive.google.com/file/d/1m6t-40HqBc7x03IlnYO4vz-lkfI1VO3t/view?usp=drivesdk" TargetMode="External" Id="rId75" /><Relationship Type="http://schemas.openxmlformats.org/officeDocument/2006/relationships/hyperlink" Target="https://drive.google.com/file/d/1velP298axM7FnOlEsW9xXp43RNAtbDk_/view?usp=drivesdk" TargetMode="External" Id="rId76" /><Relationship Type="http://schemas.openxmlformats.org/officeDocument/2006/relationships/hyperlink" Target="https://drive.google.com/file/d/1NkTeSsIU2g7Noh0t4qFauRZ7p4F2FIag/view?usp=drivesdk" TargetMode="External" Id="rId77" /><Relationship Type="http://schemas.openxmlformats.org/officeDocument/2006/relationships/hyperlink" Target="https://drive.google.com/file/d/1cyz-3ccDZAAUV3hMKT7TsExQQ2SYAq82/view?usp=drivesdk" TargetMode="External" Id="rId78" /><Relationship Type="http://schemas.openxmlformats.org/officeDocument/2006/relationships/hyperlink" Target="https://drive.google.com/file/d/1ho42EUM8JZxXS_YGQoS1k4VYDfMnTjL7/view?usp=drivesdk" TargetMode="External" Id="rId79" /><Relationship Type="http://schemas.openxmlformats.org/officeDocument/2006/relationships/hyperlink" Target="https://drive.google.com/file/d/1UK5ImvPI8zfDKueQkYKgn7dgmMdVOoQU/view?usp=drivesdk" TargetMode="External" Id="rId80" /><Relationship Type="http://schemas.openxmlformats.org/officeDocument/2006/relationships/hyperlink" Target="https://drive.google.com/file/d/14Gm4WH1frLdk8P62dC1mVPD_BGIVWZ27/view?usp=drivesdk" TargetMode="External" Id="rId81" /><Relationship Type="http://schemas.openxmlformats.org/officeDocument/2006/relationships/hyperlink" Target="https://drive.google.com/file/d/11IWevgkm4WNzACo87cKk44YcMUSTk_1p/view?usp=drivesdk" TargetMode="External" Id="rId82" /><Relationship Type="http://schemas.openxmlformats.org/officeDocument/2006/relationships/hyperlink" Target="https://drive.google.com/file/d/1m7AFyGhqy5cMVsFA4gpzq-TGjUBTq2gZ/view?usp=drivesdk" TargetMode="External" Id="rId83" /><Relationship Type="http://schemas.openxmlformats.org/officeDocument/2006/relationships/hyperlink" Target="https://drive.google.com/file/d/1Cgc8hchCfgf7rmLBnj_H1qlutGNRdZB7/view?usp=drivesdk" TargetMode="External" Id="rId84" /><Relationship Type="http://schemas.openxmlformats.org/officeDocument/2006/relationships/hyperlink" Target="https://drive.google.com/file/d/1WIDmlF0GDJ0yZUnSoWNMz1v8-Q--q-6h/view?usp=drivesdk" TargetMode="External" Id="rId85" /><Relationship Type="http://schemas.openxmlformats.org/officeDocument/2006/relationships/hyperlink" Target="https://drive.google.com/file/d/1cvO8lXiAyWdQriOkXjiHgWASFj3yUJwM/view?usp=drivesdk" TargetMode="External" Id="rId86" /><Relationship Type="http://schemas.openxmlformats.org/officeDocument/2006/relationships/hyperlink" Target="https://drive.google.com/file/d/1kvZrj32v9oOsnIpfIXWQrBr1_zczw0Mb/view?usp=drivesdk" TargetMode="External" Id="rId87" /><Relationship Type="http://schemas.openxmlformats.org/officeDocument/2006/relationships/hyperlink" Target="https://drive.google.com/file/d/1HCXrEX-E4AdhpJ_Tt-6eEc5urwVoVfe2/view?usp=drivesdk" TargetMode="External" Id="rId88" /><Relationship Type="http://schemas.openxmlformats.org/officeDocument/2006/relationships/hyperlink" Target="https://drive.google.com/file/d/1nPjtPT4uhWtj_Jl1cSMmqzdiPrM1nL4t/view?usp=drivesdk" TargetMode="External" Id="rId89" /><Relationship Type="http://schemas.openxmlformats.org/officeDocument/2006/relationships/hyperlink" Target="https://drive.google.com/file/d/1z5qKzMidf4sb00p7COAUy6esaN8tMgkB/view?usp=drivesdk" TargetMode="External" Id="rId90" /><Relationship Type="http://schemas.openxmlformats.org/officeDocument/2006/relationships/hyperlink" Target="https://drive.google.com/file/d/1rtodFn9rgE_8MBt-0KNt598W1j1iXFhQ/view?usp=drivesdk" TargetMode="External" Id="rId91" /><Relationship Type="http://schemas.openxmlformats.org/officeDocument/2006/relationships/hyperlink" Target="https://drive.google.com/file/d/1n7W1kipwRj0DuCiUnfnuByxq-xnBWLQG/view?usp=drivesdk" TargetMode="External" Id="rId92" /><Relationship Type="http://schemas.openxmlformats.org/officeDocument/2006/relationships/hyperlink" Target="https://drive.google.com/file/d/1SSvy3CRiyERc3B_Ml_KjQ8UkCL9O35kX/view?usp=drivesdk" TargetMode="External" Id="rId93" /><Relationship Type="http://schemas.openxmlformats.org/officeDocument/2006/relationships/hyperlink" Target="https://drive.google.com/file/d/11AdEe5_B3gGDMClc5xlXO-Q4LLgsHc7j/view?usp=drivesdk" TargetMode="External" Id="rId94" /><Relationship Type="http://schemas.openxmlformats.org/officeDocument/2006/relationships/hyperlink" Target="https://drive.google.com/file/d/1SUoxBgOXOFHpe0FgpBOtdodf-tqILSBr/view?usp=drivesdk" TargetMode="External" Id="rId95" /><Relationship Type="http://schemas.openxmlformats.org/officeDocument/2006/relationships/hyperlink" Target="https://drive.google.com/file/d/1lXf3gMz04497nZzdwMIWtJ48G-yrGP0M/view?usp=drivesdk" TargetMode="External" Id="rId96" /><Relationship Type="http://schemas.openxmlformats.org/officeDocument/2006/relationships/hyperlink" Target="https://drive.google.com/file/d/1QyHd3vSTw0ECion_wPSyL_KKOYVB1VcV/view?usp=drivesdk" TargetMode="External" Id="rId97" /><Relationship Type="http://schemas.openxmlformats.org/officeDocument/2006/relationships/hyperlink" Target="https://drive.google.com/file/d/1S3W9uEB4awliO5PmEKO8Q08Mgl6vzlCT/view?usp=drivesdk" TargetMode="External" Id="rId98" /><Relationship Type="http://schemas.openxmlformats.org/officeDocument/2006/relationships/hyperlink" Target="https://drive.google.com/file/d/1lRtBdbWrHQz82FckIim2FjPJ6jwlzBvJ/view?usp=drivesdk" TargetMode="External" Id="rId99" /><Relationship Type="http://schemas.openxmlformats.org/officeDocument/2006/relationships/hyperlink" Target="https://drive.google.com/file/d/19zP1jb5VdyLdru5aGeM4onYiWNr8_hLV/view?usp=drivesdk" TargetMode="External" Id="rId100" /><Relationship Type="http://schemas.openxmlformats.org/officeDocument/2006/relationships/hyperlink" Target="https://drive.google.com/file/d/1qZaFUoy8ye6aPodf87UetEFKHj9d2tzG/view?usp=drivesdk" TargetMode="External" Id="rId101" /><Relationship Type="http://schemas.openxmlformats.org/officeDocument/2006/relationships/hyperlink" Target="https://drive.google.com/file/d/1IGgA4r6m6O4ntYrt2TiNlL-heocKia49/view?usp=drivesdk" TargetMode="External" Id="rId102" /><Relationship Type="http://schemas.openxmlformats.org/officeDocument/2006/relationships/hyperlink" Target="https://drive.google.com/file/d/1ITdGy-6O91D6z0_qImZpKUv0mdgh0AD6/view?usp=drivesdk" TargetMode="External" Id="rId103" /><Relationship Type="http://schemas.openxmlformats.org/officeDocument/2006/relationships/hyperlink" Target="https://drive.google.com/file/d/1eTgClB7SO7ewlahs2CtNRw-_ITgqqOY3/view?usp=drivesdk" TargetMode="External" Id="rId104" /><Relationship Type="http://schemas.openxmlformats.org/officeDocument/2006/relationships/hyperlink" Target="https://drive.google.com/file/d/1F5n3S94IlEQiaG5CxcEnMOmVUEe54Qph/view?usp=drivesdk" TargetMode="External" Id="rId105" /><Relationship Type="http://schemas.openxmlformats.org/officeDocument/2006/relationships/hyperlink" Target="https://drive.google.com/file/d/1HqxIRZp8jdjgtVEEzbk0E2ug9Ukvwr6z/view?usp=drivesdk" TargetMode="External" Id="rId106" /><Relationship Type="http://schemas.openxmlformats.org/officeDocument/2006/relationships/hyperlink" Target="https://drive.google.com/file/d/1iuW9SLUOB-pyUC4WZ2Kr-BZJwj1fyRk2/view?usp=drivesdk" TargetMode="External" Id="rId107" /><Relationship Type="http://schemas.openxmlformats.org/officeDocument/2006/relationships/hyperlink" Target="https://drive.google.com/file/d/1JNfV8XsMUpl0QxOG7Ao1qGRC8bJoJjPf/view?usp=drivesdk" TargetMode="External" Id="rId108" /><Relationship Type="http://schemas.openxmlformats.org/officeDocument/2006/relationships/hyperlink" Target="https://drive.google.com/file/d/1JNfV8XsMUpl0QxOG7Ao1qGRC8bJoJjPf/view?usp=drivesdk" TargetMode="External" Id="rId109" /><Relationship Type="http://schemas.openxmlformats.org/officeDocument/2006/relationships/hyperlink" Target="https://drive.google.com/file/d/1E-ja8xtAToIkewPj62keRSqcrxMPdPhW/view?usp=drivesdk" TargetMode="External" Id="rId110" /><Relationship Type="http://schemas.openxmlformats.org/officeDocument/2006/relationships/hyperlink" Target="https://drive.google.com/file/d/1pj6YfDTJzQyuObWQvmYAAc-P8wEb8HwW/view?usp=drivesdk" TargetMode="External" Id="rId111" /><Relationship Type="http://schemas.openxmlformats.org/officeDocument/2006/relationships/hyperlink" Target="https://drive.google.com/file/d/16A1SDk_rnxsIiyKKtVHTvRr2-aF69zlo/view?usp=drivesdk" TargetMode="External" Id="rId112" /><Relationship Type="http://schemas.openxmlformats.org/officeDocument/2006/relationships/hyperlink" Target="https://drive.google.com/file/d/1SwIai4YdtUV-rQd0AKSUEVkEfdlYRoPA/view?usp=drivesdk" TargetMode="External" Id="rId113" /><Relationship Type="http://schemas.openxmlformats.org/officeDocument/2006/relationships/hyperlink" Target="https://drive.google.com/file/d/1g-Prp72FPRTBMj-buYbz9LiYUROZ_W5z/view?usp=drivesdk" TargetMode="External" Id="rId114" /><Relationship Type="http://schemas.openxmlformats.org/officeDocument/2006/relationships/hyperlink" Target="https://drive.google.com/file/d/1CFf2KHZd750hPLNp1Xj5DzzQwrKmlw9L/view?usp=drivesdk" TargetMode="External" Id="rId115" /><Relationship Type="http://schemas.openxmlformats.org/officeDocument/2006/relationships/hyperlink" Target="https://drive.google.com/file/d/1UOaM_TbloubLFPsLoI7t-sLNfHjmGl_M/view?usp=drivesdk" TargetMode="External" Id="rId116" /><Relationship Type="http://schemas.openxmlformats.org/officeDocument/2006/relationships/hyperlink" Target="https://drive.google.com/file/d/1LlEUQpBPSqkZ5BKsa4CYacg0DVARYbta/view?usp=drivesdk" TargetMode="External" Id="rId117" /><Relationship Type="http://schemas.openxmlformats.org/officeDocument/2006/relationships/hyperlink" Target="https://drive.google.com/file/d/1gDlq6Zum-eIMUjbaI329tWP9UutsRoFn/view?usp=drivesdk" TargetMode="External" Id="rId118" /><Relationship Type="http://schemas.openxmlformats.org/officeDocument/2006/relationships/hyperlink" Target="https://drive.google.com/file/d/1pNcZKxAtFRGUPPAFVD2p8ORXGSCcvxM8/view?usp=drivesdk" TargetMode="External" Id="rId119" /><Relationship Type="http://schemas.openxmlformats.org/officeDocument/2006/relationships/hyperlink" Target="https://drive.google.com/file/d/1fWIKp9xwGFVs0EnOaVMSISVNLAoKF55J/view?usp=drivesdk" TargetMode="External" Id="rId120" /><Relationship Type="http://schemas.openxmlformats.org/officeDocument/2006/relationships/hyperlink" Target="https://drive.google.com/file/d/1bP1XnXo2Vs8zIS0sVNRvq52xJQH7BSfD/view?usp=drivesdk" TargetMode="External" Id="rId121" /><Relationship Type="http://schemas.openxmlformats.org/officeDocument/2006/relationships/hyperlink" Target="https://drive.google.com/file/d/1ddnzOxZZgaXtVcRqNHeEt9LTz5s8C26J/view?usp=drivesdk" TargetMode="External" Id="rId122" /><Relationship Type="http://schemas.openxmlformats.org/officeDocument/2006/relationships/hyperlink" Target="https://drive.google.com/file/d/1Z-NJHduArecH7-687SOBbQfa8Ef1m52p/view?usp=drivesdk" TargetMode="External" Id="rId123" /><Relationship Type="http://schemas.openxmlformats.org/officeDocument/2006/relationships/hyperlink" Target="https://drive.google.com/file/d/1I6H1omawcw5Be01IubiDlz8RDBKB0kcd/view?usp=drivesdk" TargetMode="External" Id="rId124" /><Relationship Type="http://schemas.openxmlformats.org/officeDocument/2006/relationships/hyperlink" Target="https://drive.google.com/file/d/14VMCuf4u87NNWjcx9C3H2yysZN1jqyTf/view?usp=drivesdk" TargetMode="External" Id="rId125" /><Relationship Type="http://schemas.openxmlformats.org/officeDocument/2006/relationships/hyperlink" Target="https://drive.google.com/file/d/1gmWh5ZgXhifus_kfGZ-bL8_sLe8eUug3/view?usp=drivesdk" TargetMode="External" Id="rId126" /><Relationship Type="http://schemas.openxmlformats.org/officeDocument/2006/relationships/hyperlink" Target="https://drive.google.com/file/d/17hLMBW75hT4b6Q8RWmnLCnkK6axE-wzU/view?usp=drivesdk" TargetMode="External" Id="rId127" /><Relationship Type="http://schemas.openxmlformats.org/officeDocument/2006/relationships/hyperlink" Target="https://drive.google.com/file/d/1-4m6d0UYjYO2RBrJjkiKAjW12aRalpOJ/view?usp=drivesdk" TargetMode="External" Id="rId128" /><Relationship Type="http://schemas.openxmlformats.org/officeDocument/2006/relationships/hyperlink" Target="https://drive.google.com/file/d/1c_luteIVUmgrg6i_GlfSo_qh5drW456A/view?usp=drivesdk" TargetMode="External" Id="rId129" /><Relationship Type="http://schemas.openxmlformats.org/officeDocument/2006/relationships/hyperlink" Target="https://drive.google.com/file/d/11RmOMn_ZgHdnziLzDS8hsaK7ZIkvkgTY/view?usp=drivesdk" TargetMode="External" Id="rId130" /><Relationship Type="http://schemas.openxmlformats.org/officeDocument/2006/relationships/hyperlink" Target="https://drive.google.com/file/d/11RGpKkEMdK77095ybWBCzfeU7QXtAazR/view?usp=drivesdk" TargetMode="External" Id="rId131" /><Relationship Type="http://schemas.openxmlformats.org/officeDocument/2006/relationships/hyperlink" Target="https://drive.google.com/file/d/1YItJo27rxIk2KucnIbPWCgV-kg6_TIFw/view?usp=drivesdk" TargetMode="External" Id="rId132" /><Relationship Type="http://schemas.openxmlformats.org/officeDocument/2006/relationships/hyperlink" Target="https://drive.google.com/file/d/1TiRvkJ6K7ctWCKH70UZtwyVtiBFJcZS3/view?usp=drivesdk" TargetMode="External" Id="rId133" /><Relationship Type="http://schemas.openxmlformats.org/officeDocument/2006/relationships/hyperlink" Target="https://drive.google.com/file/d/1TCM1PAyZN1h600czUy8h9Vl6JYkcuBnA/view?usp=drivesdk" TargetMode="External" Id="rId134" /><Relationship Type="http://schemas.openxmlformats.org/officeDocument/2006/relationships/hyperlink" Target="https://drive.google.com/file/d/1j8eIoueeiDvnTZMGmyiF-LMtx0IPr9pM/view?usp=drivesdk" TargetMode="External" Id="rId135" /><Relationship Type="http://schemas.openxmlformats.org/officeDocument/2006/relationships/hyperlink" Target="https://drive.google.com/file/d/1y9fclbPoT1LX8B-Ccm6UQFRfFv51MzCl/view?usp=drivesdk" TargetMode="External" Id="rId136" /><Relationship Type="http://schemas.openxmlformats.org/officeDocument/2006/relationships/hyperlink" Target="https://drive.google.com/file/d/1F_ojYavt0rOVF-WoA4DILVHACGqB_Xhn/view?usp=drivesdk" TargetMode="External" Id="rId137" /><Relationship Type="http://schemas.openxmlformats.org/officeDocument/2006/relationships/hyperlink" Target="https://drive.google.com/file/d/1AB8Xr6NvMGSBv1SkJcKECSxweSG6nBi-/view?usp=drivesdk" TargetMode="External" Id="rId138" /><Relationship Type="http://schemas.openxmlformats.org/officeDocument/2006/relationships/hyperlink" Target="https://drive.google.com/file/d/1L3a_vME8SLzq0VCnSYsQFsMpA3aEhGLE/view?usp=drivesdk" TargetMode="External" Id="rId139" /><Relationship Type="http://schemas.openxmlformats.org/officeDocument/2006/relationships/hyperlink" Target="https://drive.google.com/file/d/1IG_3iLDTE3hoYuVx4M46MqklrzCKpRhc/view?usp=drivesdk" TargetMode="External" Id="rId140" /><Relationship Type="http://schemas.openxmlformats.org/officeDocument/2006/relationships/hyperlink" Target="https://drive.google.com/file/d/11zNwha_ZMtf4Wq3wVF4QzJj4bweWWdGI/view?usp=drivesdk" TargetMode="External" Id="rId141" /><Relationship Type="http://schemas.openxmlformats.org/officeDocument/2006/relationships/hyperlink" Target="https://drive.google.com/file/d/1ynEcwwwFHRw_j4UIzVQllup-ekY2huWO/view?usp=drivesdk" TargetMode="External" Id="rId142" /><Relationship Type="http://schemas.openxmlformats.org/officeDocument/2006/relationships/hyperlink" Target="https://drive.google.com/file/d/1RskEVbYtAKWbS4SEumveN8YHrWbIys-_/view?usp=drivesdk" TargetMode="External" Id="rId143" /><Relationship Type="http://schemas.openxmlformats.org/officeDocument/2006/relationships/hyperlink" Target="https://drive.google.com/file/d/1vPskc5Qm4-Coe1JxTlzp2VdJWX8WiKRm/view?usp=drivesdk" TargetMode="External" Id="rId14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03/04/2026 08:03 h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</f>
        <v/>
      </c>
      <c r="E4" s="6">
        <f>E5+E8</f>
        <v/>
      </c>
      <c r="F4" s="6">
        <f>F5+F8</f>
        <v/>
      </c>
      <c r="G4" s="6">
        <f>G5+G8</f>
        <v/>
      </c>
      <c r="H4" s="6">
        <f>H5+H8</f>
        <v/>
      </c>
      <c r="I4" s="6">
        <f>I5+I8</f>
        <v/>
      </c>
      <c r="J4" s="6">
        <f>J5+J8</f>
        <v/>
      </c>
      <c r="K4" s="6">
        <f>K5+K8</f>
        <v/>
      </c>
      <c r="L4" s="6">
        <f>L5+L8</f>
        <v/>
      </c>
      <c r="M4" s="6">
        <f>M5+M8</f>
        <v/>
      </c>
      <c r="N4" s="6">
        <f>N5+N8</f>
        <v/>
      </c>
      <c r="O4" s="6">
        <f>O5+O8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hidden="1" outlineLevel="2" ht="12" customHeight="1">
      <c r="A8" s="9" t="inlineStr">
        <is>
          <t xml:space="preserve">  Otros ingresos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>
        <f>SUM(D8:O8)</f>
        <v/>
      </c>
      <c r="Q8" s="10" t="n"/>
    </row>
    <row r="9" ht="12" customHeight="1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>
        <f>SUM(D9:O9)</f>
        <v/>
      </c>
      <c r="Q9" s="4" t="n"/>
    </row>
    <row r="10" ht="12" customHeight="1">
      <c r="A10" s="5" t="inlineStr">
        <is>
          <t>Expenses</t>
        </is>
      </c>
      <c r="B10" s="6" t="n"/>
      <c r="C10" s="6" t="n"/>
      <c r="D10" s="6">
        <f>D11+D32</f>
        <v/>
      </c>
      <c r="E10" s="6">
        <f>E11+E32</f>
        <v/>
      </c>
      <c r="F10" s="6">
        <f>F11+F32</f>
        <v/>
      </c>
      <c r="G10" s="6">
        <f>G11+G32</f>
        <v/>
      </c>
      <c r="H10" s="6">
        <f>H11+H32</f>
        <v/>
      </c>
      <c r="I10" s="6">
        <f>I11+I32</f>
        <v/>
      </c>
      <c r="J10" s="6">
        <f>J11+J32</f>
        <v/>
      </c>
      <c r="K10" s="6">
        <f>K11+K32</f>
        <v/>
      </c>
      <c r="L10" s="6">
        <f>L11+L32</f>
        <v/>
      </c>
      <c r="M10" s="6">
        <f>M11+M32</f>
        <v/>
      </c>
      <c r="N10" s="6">
        <f>N11+N32</f>
        <v/>
      </c>
      <c r="O10" s="6">
        <f>O11+O32</f>
        <v/>
      </c>
      <c r="P10" s="6">
        <f>SUM(D10:O10)</f>
        <v/>
      </c>
      <c r="Q10" s="6" t="n"/>
    </row>
    <row r="11" outlineLevel="1" ht="12" customHeight="1">
      <c r="A11" s="7" t="inlineStr">
        <is>
          <t xml:space="preserve">  COGS</t>
        </is>
      </c>
      <c r="B11" s="8" t="n"/>
      <c r="C11" s="8" t="n"/>
      <c r="D11" s="8">
        <f>D12+D18+D22</f>
        <v/>
      </c>
      <c r="E11" s="8">
        <f>E12+E18+E22</f>
        <v/>
      </c>
      <c r="F11" s="8">
        <f>F12+F18+F22</f>
        <v/>
      </c>
      <c r="G11" s="8">
        <f>G12+G18+G22</f>
        <v/>
      </c>
      <c r="H11" s="8">
        <f>H12+H18+H22</f>
        <v/>
      </c>
      <c r="I11" s="8">
        <f>I12+I18+I22</f>
        <v/>
      </c>
      <c r="J11" s="8">
        <f>J12+J18+J22</f>
        <v/>
      </c>
      <c r="K11" s="8">
        <f>K12+K18+K22</f>
        <v/>
      </c>
      <c r="L11" s="8">
        <f>L12+L18+L22</f>
        <v/>
      </c>
      <c r="M11" s="8">
        <f>M12+M18+M22</f>
        <v/>
      </c>
      <c r="N11" s="8">
        <f>N12+N18+N22</f>
        <v/>
      </c>
      <c r="O11" s="8">
        <f>O12+O18+O22</f>
        <v/>
      </c>
      <c r="P11" s="8">
        <f>SUM(D11:O11)</f>
        <v/>
      </c>
      <c r="Q11" s="8" t="n"/>
    </row>
    <row r="12" hidden="1" outlineLevel="2" ht="12" customHeight="1">
      <c r="A12" s="9" t="inlineStr">
        <is>
          <t xml:space="preserve">    Manufacturing</t>
        </is>
      </c>
      <c r="B12" s="10" t="n"/>
      <c r="C12" s="10" t="n"/>
      <c r="D12" s="10">
        <f>SUM(D13:D15)+D16</f>
        <v/>
      </c>
      <c r="E12" s="10">
        <f>SUM(E13:E15)+E16</f>
        <v/>
      </c>
      <c r="F12" s="10">
        <f>SUM(F13:F15)+F16</f>
        <v/>
      </c>
      <c r="G12" s="10">
        <f>SUM(G13:G15)+G16</f>
        <v/>
      </c>
      <c r="H12" s="10">
        <f>SUM(H13:H15)+H16</f>
        <v/>
      </c>
      <c r="I12" s="10">
        <f>SUM(I13:I15)+I16</f>
        <v/>
      </c>
      <c r="J12" s="10">
        <f>SUM(J13:J15)+J16</f>
        <v/>
      </c>
      <c r="K12" s="10">
        <f>SUM(K13:K15)+K16</f>
        <v/>
      </c>
      <c r="L12" s="10">
        <f>SUM(L13:L15)+L16</f>
        <v/>
      </c>
      <c r="M12" s="10">
        <f>SUM(M13:M15)+M16</f>
        <v/>
      </c>
      <c r="N12" s="10">
        <f>SUM(N13:N15)+N16</f>
        <v/>
      </c>
      <c r="O12" s="10">
        <f>SUM(O13:O15)+O16</f>
        <v/>
      </c>
      <c r="P12" s="10">
        <f>SUM(D12:O12)</f>
        <v/>
      </c>
      <c r="Q12" s="10" t="inlineStr">
        <is>
          <t>-&gt;</t>
        </is>
      </c>
    </row>
    <row r="13" hidden="1" outlineLevel="3" ht="12" customHeight="1">
      <c r="A13" t="inlineStr">
        <is>
          <t xml:space="preserve">      ARTLINK</t>
        </is>
      </c>
      <c r="B13" s="4" t="n"/>
      <c r="C13" s="4" t="n"/>
      <c r="D13" s="4">
        <f>SUMIFS('g-expenses-ltd'!$K:$K,'g-expenses-ltd'!$A:$A,D$1,'g-expenses-ltd'!$D:$D,"manufacturing",'g-expenses-ltd'!$E:$E,TRIM($A13))</f>
        <v/>
      </c>
      <c r="E13" s="4">
        <f>SUMIFS('g-expenses-ltd'!$K:$K,'g-expenses-ltd'!$A:$A,E$1,'g-expenses-ltd'!$D:$D,"manufacturing",'g-expenses-ltd'!$E:$E,TRIM($A13))</f>
        <v/>
      </c>
      <c r="F13" s="4">
        <f>SUMIFS('g-expenses-ltd'!$K:$K,'g-expenses-ltd'!$A:$A,F$1,'g-expenses-ltd'!$D:$D,"manufacturing",'g-expenses-ltd'!$E:$E,TRIM($A13))</f>
        <v/>
      </c>
      <c r="G13" s="4">
        <f>SUMIFS('g-expenses-ltd'!$K:$K,'g-expenses-ltd'!$A:$A,G$1,'g-expenses-ltd'!$D:$D,"manufacturing",'g-expenses-ltd'!$E:$E,TRIM($A13))</f>
        <v/>
      </c>
      <c r="H13" s="4">
        <f>SUMIFS('g-expenses-ltd'!$K:$K,'g-expenses-ltd'!$A:$A,H$1,'g-expenses-ltd'!$D:$D,"manufacturing",'g-expenses-ltd'!$E:$E,TRIM($A13))</f>
        <v/>
      </c>
      <c r="I13" s="4">
        <f>SUMIFS('g-expenses-ltd'!$K:$K,'g-expenses-ltd'!$A:$A,I$1,'g-expenses-ltd'!$D:$D,"manufacturing",'g-expenses-ltd'!$E:$E,TRIM($A13))</f>
        <v/>
      </c>
      <c r="J13" s="4">
        <f>SUMIFS('g-expenses-ltd'!$K:$K,'g-expenses-ltd'!$A:$A,J$1,'g-expenses-ltd'!$D:$D,"manufacturing",'g-expenses-ltd'!$E:$E,TRIM($A13))</f>
        <v/>
      </c>
      <c r="K13" s="4">
        <f>SUMIFS('g-expenses-ltd'!$K:$K,'g-expenses-ltd'!$A:$A,K$1,'g-expenses-ltd'!$D:$D,"manufacturing",'g-expenses-ltd'!$E:$E,TRIM($A13))</f>
        <v/>
      </c>
      <c r="L13" s="4">
        <f>SUMIFS('g-expenses-ltd'!$K:$K,'g-expenses-ltd'!$A:$A,L$1,'g-expenses-ltd'!$D:$D,"manufacturing",'g-expenses-ltd'!$E:$E,TRIM($A13))</f>
        <v/>
      </c>
      <c r="M13" s="4">
        <f>SUMIFS('g-expenses-ltd'!$K:$K,'g-expenses-ltd'!$A:$A,M$1,'g-expenses-ltd'!$D:$D,"manufacturing",'g-expenses-ltd'!$E:$E,TRIM($A13))</f>
        <v/>
      </c>
      <c r="N13" s="4">
        <f>SUMIFS('g-expenses-ltd'!$K:$K,'g-expenses-ltd'!$A:$A,N$1,'g-expenses-ltd'!$D:$D,"manufacturing",'g-expenses-ltd'!$E:$E,TRIM($A13))</f>
        <v/>
      </c>
      <c r="O13" s="4">
        <f>SUMIFS('g-expenses-ltd'!$K:$K,'g-expenses-ltd'!$A:$A,O$1,'g-expenses-ltd'!$D:$D,"manufacturing",'g-expenses-ltd'!$E:$E,TRIM($A13))</f>
        <v/>
      </c>
      <c r="P13" s="4">
        <f>SUM(D13:O13)</f>
        <v/>
      </c>
      <c r="Q13" s="4" t="inlineStr">
        <is>
          <t>-&gt;</t>
        </is>
      </c>
    </row>
    <row r="14" hidden="1" outlineLevel="3" ht="12" customHeight="1">
      <c r="A14" t="inlineStr">
        <is>
          <t xml:space="preserve">      JONDO</t>
        </is>
      </c>
      <c r="B14" s="4" t="n"/>
      <c r="C14" s="4" t="n"/>
      <c r="D14" s="4">
        <f>SUMIFS('g-expenses-ltd'!$K:$K,'g-expenses-ltd'!$A:$A,D$1,'g-expenses-ltd'!$D:$D,"manufacturing",'g-expenses-ltd'!$E:$E,TRIM($A14))</f>
        <v/>
      </c>
      <c r="E14" s="4">
        <f>SUMIFS('g-expenses-ltd'!$K:$K,'g-expenses-ltd'!$A:$A,E$1,'g-expenses-ltd'!$D:$D,"manufacturing",'g-expenses-ltd'!$E:$E,TRIM($A14))</f>
        <v/>
      </c>
      <c r="F14" s="4">
        <f>SUMIFS('g-expenses-ltd'!$K:$K,'g-expenses-ltd'!$A:$A,F$1,'g-expenses-ltd'!$D:$D,"manufacturing",'g-expenses-ltd'!$E:$E,TRIM($A14))</f>
        <v/>
      </c>
      <c r="G14" s="4">
        <f>SUMIFS('g-expenses-ltd'!$K:$K,'g-expenses-ltd'!$A:$A,G$1,'g-expenses-ltd'!$D:$D,"manufacturing",'g-expenses-ltd'!$E:$E,TRIM($A14))</f>
        <v/>
      </c>
      <c r="H14" s="4">
        <f>SUMIFS('g-expenses-ltd'!$K:$K,'g-expenses-ltd'!$A:$A,H$1,'g-expenses-ltd'!$D:$D,"manufacturing",'g-expenses-ltd'!$E:$E,TRIM($A14))</f>
        <v/>
      </c>
      <c r="I14" s="4">
        <f>SUMIFS('g-expenses-ltd'!$K:$K,'g-expenses-ltd'!$A:$A,I$1,'g-expenses-ltd'!$D:$D,"manufacturing",'g-expenses-ltd'!$E:$E,TRIM($A14))</f>
        <v/>
      </c>
      <c r="J14" s="4">
        <f>SUMIFS('g-expenses-ltd'!$K:$K,'g-expenses-ltd'!$A:$A,J$1,'g-expenses-ltd'!$D:$D,"manufacturing",'g-expenses-ltd'!$E:$E,TRIM($A14))</f>
        <v/>
      </c>
      <c r="K14" s="4">
        <f>SUMIFS('g-expenses-ltd'!$K:$K,'g-expenses-ltd'!$A:$A,K$1,'g-expenses-ltd'!$D:$D,"manufacturing",'g-expenses-ltd'!$E:$E,TRIM($A14))</f>
        <v/>
      </c>
      <c r="L14" s="4">
        <f>SUMIFS('g-expenses-ltd'!$K:$K,'g-expenses-ltd'!$A:$A,L$1,'g-expenses-ltd'!$D:$D,"manufacturing",'g-expenses-ltd'!$E:$E,TRIM($A14))</f>
        <v/>
      </c>
      <c r="M14" s="4">
        <f>SUMIFS('g-expenses-ltd'!$K:$K,'g-expenses-ltd'!$A:$A,M$1,'g-expenses-ltd'!$D:$D,"manufacturing",'g-expenses-ltd'!$E:$E,TRIM($A14))</f>
        <v/>
      </c>
      <c r="N14" s="4">
        <f>SUMIFS('g-expenses-ltd'!$K:$K,'g-expenses-ltd'!$A:$A,N$1,'g-expenses-ltd'!$D:$D,"manufacturing",'g-expenses-ltd'!$E:$E,TRIM($A14))</f>
        <v/>
      </c>
      <c r="O14" s="4">
        <f>SUMIFS('g-expenses-ltd'!$K:$K,'g-expenses-ltd'!$A:$A,O$1,'g-expenses-ltd'!$D:$D,"manufacturing",'g-expenses-ltd'!$E:$E,TRIM($A14))</f>
        <v/>
      </c>
      <c r="P14" s="4">
        <f>SUM(D14:O14)</f>
        <v/>
      </c>
      <c r="Q14" s="4" t="n"/>
    </row>
    <row r="15" hidden="1" outlineLevel="3" ht="12" customHeight="1">
      <c r="A15" t="inlineStr">
        <is>
          <t xml:space="preserve">      PROCO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n"/>
    </row>
    <row r="16" ht="12" customHeight="1">
      <c r="A16" t="inlineStr">
        <is>
          <t xml:space="preserve">      Consumo marcos</t>
        </is>
      </c>
      <c r="B16" s="4" t="n"/>
      <c r="C16" s="4" t="n"/>
      <c r="D16" s="4" t="n">
        <v>1949.14</v>
      </c>
      <c r="E16" s="4" t="n">
        <v>2398.45</v>
      </c>
      <c r="F16" s="4" t="n">
        <v>2181.65</v>
      </c>
      <c r="G16" s="4" t="n">
        <v>37.35</v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>
        <f>SUM(D16:O16)</f>
        <v/>
      </c>
      <c r="Q16" s="4" t="n"/>
    </row>
    <row r="17" hidden="1" outlineLevel="2" ht="12" customHeight="1">
      <c r="A17" s="11" t="inlineStr">
        <is>
          <t xml:space="preserve">    % Manufacturing / sales</t>
        </is>
      </c>
      <c r="B17" s="12" t="n"/>
      <c r="C17" s="12" t="n"/>
      <c r="D17" s="12">
        <f>IFERROR(D12/D5,0)</f>
        <v/>
      </c>
      <c r="E17" s="12">
        <f>IFERROR(E12/E5,0)</f>
        <v/>
      </c>
      <c r="F17" s="12">
        <f>IFERROR(F12/F5,0)</f>
        <v/>
      </c>
      <c r="G17" s="12">
        <f>IFERROR(G12/G5,0)</f>
        <v/>
      </c>
      <c r="H17" s="12">
        <f>IFERROR(H12/H5,0)</f>
        <v/>
      </c>
      <c r="I17" s="12">
        <f>IFERROR(I12/I5,0)</f>
        <v/>
      </c>
      <c r="J17" s="12">
        <f>IFERROR(J12/J5,0)</f>
        <v/>
      </c>
      <c r="K17" s="12">
        <f>IFERROR(K12/K5,0)</f>
        <v/>
      </c>
      <c r="L17" s="12">
        <f>IFERROR(L12/L5,0)</f>
        <v/>
      </c>
      <c r="M17" s="12">
        <f>IFERROR(M12/M5,0)</f>
        <v/>
      </c>
      <c r="N17" s="12">
        <f>IFERROR(N12/N5,0)</f>
        <v/>
      </c>
      <c r="O17" s="12">
        <f>IFERROR(O12/O5,0)</f>
        <v/>
      </c>
      <c r="P17" s="12">
        <f>IFERROR(P12/P5,0)</f>
        <v/>
      </c>
      <c r="Q17" s="12" t="n"/>
    </row>
    <row r="18" hidden="1" outlineLevel="2" ht="12" customHeight="1">
      <c r="A18" s="9" t="inlineStr">
        <is>
          <t xml:space="preserve">    Logistics</t>
        </is>
      </c>
      <c r="B18" s="10" t="n"/>
      <c r="C18" s="10" t="n"/>
      <c r="D18" s="10">
        <f>SUM(D19:D20)</f>
        <v/>
      </c>
      <c r="E18" s="10">
        <f>SUM(E19:E20)</f>
        <v/>
      </c>
      <c r="F18" s="10">
        <f>SUM(F19:F20)</f>
        <v/>
      </c>
      <c r="G18" s="10">
        <f>SUM(G19:G20)</f>
        <v/>
      </c>
      <c r="H18" s="10">
        <f>SUM(H19:H20)</f>
        <v/>
      </c>
      <c r="I18" s="10">
        <f>SUM(I19:I20)</f>
        <v/>
      </c>
      <c r="J18" s="10">
        <f>SUM(J19:J20)</f>
        <v/>
      </c>
      <c r="K18" s="10">
        <f>SUM(K19:K20)</f>
        <v/>
      </c>
      <c r="L18" s="10">
        <f>SUM(L19:L20)</f>
        <v/>
      </c>
      <c r="M18" s="10">
        <f>SUM(M19:M20)</f>
        <v/>
      </c>
      <c r="N18" s="10">
        <f>SUM(N19:N20)</f>
        <v/>
      </c>
      <c r="O18" s="10">
        <f>SUM(O19:O20)</f>
        <v/>
      </c>
      <c r="P18" s="10">
        <f>SUM(D18:O18)</f>
        <v/>
      </c>
      <c r="Q18" s="10" t="inlineStr">
        <is>
          <t>-&gt;</t>
        </is>
      </c>
    </row>
    <row r="19" hidden="1" outlineLevel="3" ht="12" customHeight="1">
      <c r="A19" t="inlineStr">
        <is>
          <t xml:space="preserve">      PROCO</t>
        </is>
      </c>
      <c r="B19" s="4" t="n"/>
      <c r="C19" s="4" t="n"/>
      <c r="D19" s="4">
        <f>SUMIFS('g-expenses-ltd'!$K:$K,'g-expenses-ltd'!$A:$A,D$1,'g-expenses-ltd'!$D:$D,"logistics",'g-expenses-ltd'!$E:$E,TRIM($A19))</f>
        <v/>
      </c>
      <c r="E19" s="4">
        <f>SUMIFS('g-expenses-ltd'!$K:$K,'g-expenses-ltd'!$A:$A,E$1,'g-expenses-ltd'!$D:$D,"logistics",'g-expenses-ltd'!$E:$E,TRIM($A19))</f>
        <v/>
      </c>
      <c r="F19" s="4">
        <f>SUMIFS('g-expenses-ltd'!$K:$K,'g-expenses-ltd'!$A:$A,F$1,'g-expenses-ltd'!$D:$D,"logistics",'g-expenses-ltd'!$E:$E,TRIM($A19))</f>
        <v/>
      </c>
      <c r="G19" s="4">
        <f>SUMIFS('g-expenses-ltd'!$K:$K,'g-expenses-ltd'!$A:$A,G$1,'g-expenses-ltd'!$D:$D,"logistics",'g-expenses-ltd'!$E:$E,TRIM($A19))</f>
        <v/>
      </c>
      <c r="H19" s="4">
        <f>SUMIFS('g-expenses-ltd'!$K:$K,'g-expenses-ltd'!$A:$A,H$1,'g-expenses-ltd'!$D:$D,"logistics",'g-expenses-ltd'!$E:$E,TRIM($A19))</f>
        <v/>
      </c>
      <c r="I19" s="4">
        <f>SUMIFS('g-expenses-ltd'!$K:$K,'g-expenses-ltd'!$A:$A,I$1,'g-expenses-ltd'!$D:$D,"logistics",'g-expenses-ltd'!$E:$E,TRIM($A19))</f>
        <v/>
      </c>
      <c r="J19" s="4">
        <f>SUMIFS('g-expenses-ltd'!$K:$K,'g-expenses-ltd'!$A:$A,J$1,'g-expenses-ltd'!$D:$D,"logistics",'g-expenses-ltd'!$E:$E,TRIM($A19))</f>
        <v/>
      </c>
      <c r="K19" s="4">
        <f>SUMIFS('g-expenses-ltd'!$K:$K,'g-expenses-ltd'!$A:$A,K$1,'g-expenses-ltd'!$D:$D,"logistics",'g-expenses-ltd'!$E:$E,TRIM($A19))</f>
        <v/>
      </c>
      <c r="L19" s="4">
        <f>SUMIFS('g-expenses-ltd'!$K:$K,'g-expenses-ltd'!$A:$A,L$1,'g-expenses-ltd'!$D:$D,"logistics",'g-expenses-ltd'!$E:$E,TRIM($A19))</f>
        <v/>
      </c>
      <c r="M19" s="4">
        <f>SUMIFS('g-expenses-ltd'!$K:$K,'g-expenses-ltd'!$A:$A,M$1,'g-expenses-ltd'!$D:$D,"logistics",'g-expenses-ltd'!$E:$E,TRIM($A19))</f>
        <v/>
      </c>
      <c r="N19" s="4">
        <f>SUMIFS('g-expenses-ltd'!$K:$K,'g-expenses-ltd'!$A:$A,N$1,'g-expenses-ltd'!$D:$D,"logistics",'g-expenses-ltd'!$E:$E,TRIM($A19))</f>
        <v/>
      </c>
      <c r="O19" s="4">
        <f>SUMIFS('g-expenses-ltd'!$K:$K,'g-expenses-ltd'!$A:$A,O$1,'g-expenses-ltd'!$D:$D,"logistics",'g-expenses-ltd'!$E:$E,TRIM($A19))</f>
        <v/>
      </c>
      <c r="P19" s="4">
        <f>SUM(D19:O19)</f>
        <v/>
      </c>
      <c r="Q19" s="4" t="inlineStr">
        <is>
          <t>-&gt;</t>
        </is>
      </c>
    </row>
    <row r="20" hidden="1" outlineLevel="3" ht="12" customHeight="1">
      <c r="A20" t="inlineStr">
        <is>
          <t xml:space="preserve">      PORTCLEARANCE</t>
        </is>
      </c>
      <c r="B20" s="4" t="n"/>
      <c r="C20" s="4" t="n"/>
      <c r="D20" s="4">
        <f>SUMIFS('g-expenses-ltd'!$K:$K,'g-expenses-ltd'!$A:$A,D$1,'g-expenses-ltd'!$D:$D,"logistics",'g-expenses-ltd'!$E:$E,TRIM($A20))</f>
        <v/>
      </c>
      <c r="E20" s="4">
        <f>SUMIFS('g-expenses-ltd'!$K:$K,'g-expenses-ltd'!$A:$A,E$1,'g-expenses-ltd'!$D:$D,"logistics",'g-expenses-ltd'!$E:$E,TRIM($A20))</f>
        <v/>
      </c>
      <c r="F20" s="4">
        <f>SUMIFS('g-expenses-ltd'!$K:$K,'g-expenses-ltd'!$A:$A,F$1,'g-expenses-ltd'!$D:$D,"logistics",'g-expenses-ltd'!$E:$E,TRIM($A20))</f>
        <v/>
      </c>
      <c r="G20" s="4">
        <f>SUMIFS('g-expenses-ltd'!$K:$K,'g-expenses-ltd'!$A:$A,G$1,'g-expenses-ltd'!$D:$D,"logistics",'g-expenses-ltd'!$E:$E,TRIM($A20))</f>
        <v/>
      </c>
      <c r="H20" s="4">
        <f>SUMIFS('g-expenses-ltd'!$K:$K,'g-expenses-ltd'!$A:$A,H$1,'g-expenses-ltd'!$D:$D,"logistics",'g-expenses-ltd'!$E:$E,TRIM($A20))</f>
        <v/>
      </c>
      <c r="I20" s="4">
        <f>SUMIFS('g-expenses-ltd'!$K:$K,'g-expenses-ltd'!$A:$A,I$1,'g-expenses-ltd'!$D:$D,"logistics",'g-expenses-ltd'!$E:$E,TRIM($A20))</f>
        <v/>
      </c>
      <c r="J20" s="4">
        <f>SUMIFS('g-expenses-ltd'!$K:$K,'g-expenses-ltd'!$A:$A,J$1,'g-expenses-ltd'!$D:$D,"logistics",'g-expenses-ltd'!$E:$E,TRIM($A20))</f>
        <v/>
      </c>
      <c r="K20" s="4">
        <f>SUMIFS('g-expenses-ltd'!$K:$K,'g-expenses-ltd'!$A:$A,K$1,'g-expenses-ltd'!$D:$D,"logistics",'g-expenses-ltd'!$E:$E,TRIM($A20))</f>
        <v/>
      </c>
      <c r="L20" s="4">
        <f>SUMIFS('g-expenses-ltd'!$K:$K,'g-expenses-ltd'!$A:$A,L$1,'g-expenses-ltd'!$D:$D,"logistics",'g-expenses-ltd'!$E:$E,TRIM($A20))</f>
        <v/>
      </c>
      <c r="M20" s="4">
        <f>SUMIFS('g-expenses-ltd'!$K:$K,'g-expenses-ltd'!$A:$A,M$1,'g-expenses-ltd'!$D:$D,"logistics",'g-expenses-ltd'!$E:$E,TRIM($A20))</f>
        <v/>
      </c>
      <c r="N20" s="4">
        <f>SUMIFS('g-expenses-ltd'!$K:$K,'g-expenses-ltd'!$A:$A,N$1,'g-expenses-ltd'!$D:$D,"logistics",'g-expenses-ltd'!$E:$E,TRIM($A20))</f>
        <v/>
      </c>
      <c r="O20" s="4">
        <f>SUMIFS('g-expenses-ltd'!$K:$K,'g-expenses-ltd'!$A:$A,O$1,'g-expenses-ltd'!$D:$D,"logistics",'g-expenses-ltd'!$E:$E,TRIM($A20))</f>
        <v/>
      </c>
      <c r="P20" s="4">
        <f>SUM(D20:O20)</f>
        <v/>
      </c>
      <c r="Q20" s="4" t="n"/>
    </row>
    <row r="21" hidden="1" outlineLevel="2" ht="12" customHeight="1">
      <c r="A21" s="11" t="inlineStr">
        <is>
          <t xml:space="preserve">    % Logistics / sales</t>
        </is>
      </c>
      <c r="B21" s="12" t="n"/>
      <c r="C21" s="12" t="n"/>
      <c r="D21" s="12">
        <f>IFERROR(D18/D5,0)</f>
        <v/>
      </c>
      <c r="E21" s="12">
        <f>IFERROR(E18/E5,0)</f>
        <v/>
      </c>
      <c r="F21" s="12">
        <f>IFERROR(F18/F5,0)</f>
        <v/>
      </c>
      <c r="G21" s="12">
        <f>IFERROR(G18/G5,0)</f>
        <v/>
      </c>
      <c r="H21" s="12">
        <f>IFERROR(H18/H5,0)</f>
        <v/>
      </c>
      <c r="I21" s="12">
        <f>IFERROR(I18/I5,0)</f>
        <v/>
      </c>
      <c r="J21" s="12">
        <f>IFERROR(J18/J5,0)</f>
        <v/>
      </c>
      <c r="K21" s="12">
        <f>IFERROR(K18/K5,0)</f>
        <v/>
      </c>
      <c r="L21" s="12">
        <f>IFERROR(L18/L5,0)</f>
        <v/>
      </c>
      <c r="M21" s="12">
        <f>IFERROR(M18/M5,0)</f>
        <v/>
      </c>
      <c r="N21" s="12">
        <f>IFERROR(N18/N5,0)</f>
        <v/>
      </c>
      <c r="O21" s="12">
        <f>IFERROR(O18/O5,0)</f>
        <v/>
      </c>
      <c r="P21" s="12">
        <f>IFERROR(P18/P5,0)</f>
        <v/>
      </c>
      <c r="Q21" s="12" t="n"/>
    </row>
    <row r="22" hidden="1" outlineLevel="2" ht="12" customHeight="1">
      <c r="A22" s="9" t="inlineStr">
        <is>
          <t xml:space="preserve">    Payment fees</t>
        </is>
      </c>
      <c r="B22" s="10" t="n"/>
      <c r="C22" s="10" t="n"/>
      <c r="D22" s="10">
        <f>SUM(D23:D23)</f>
        <v/>
      </c>
      <c r="E22" s="10">
        <f>SUM(E23:E23)</f>
        <v/>
      </c>
      <c r="F22" s="10">
        <f>SUM(F23:F23)</f>
        <v/>
      </c>
      <c r="G22" s="10">
        <f>SUM(G23:G23)</f>
        <v/>
      </c>
      <c r="H22" s="10">
        <f>SUM(H23:H23)</f>
        <v/>
      </c>
      <c r="I22" s="10">
        <f>SUM(I23:I23)</f>
        <v/>
      </c>
      <c r="J22" s="10">
        <f>SUM(J23:J23)</f>
        <v/>
      </c>
      <c r="K22" s="10">
        <f>SUM(K23:K23)</f>
        <v/>
      </c>
      <c r="L22" s="10">
        <f>SUM(L23:L23)</f>
        <v/>
      </c>
      <c r="M22" s="10">
        <f>SUM(M23:M23)</f>
        <v/>
      </c>
      <c r="N22" s="10">
        <f>SUM(N23:N23)</f>
        <v/>
      </c>
      <c r="O22" s="10">
        <f>SUM(O23:O23)</f>
        <v/>
      </c>
      <c r="P22" s="10">
        <f>SUM(D22:O22)</f>
        <v/>
      </c>
      <c r="Q22" s="10" t="inlineStr">
        <is>
          <t>-&gt;</t>
        </is>
      </c>
    </row>
    <row r="23" hidden="1" outlineLevel="3" ht="12" customHeight="1">
      <c r="A23" t="inlineStr">
        <is>
          <t xml:space="preserve">      SHOPIFY</t>
        </is>
      </c>
      <c r="B23" s="4" t="n"/>
      <c r="C23" s="4" t="n"/>
      <c r="D23" s="4">
        <f>SUMIFS('g-payment-fees-ltd'!$H:$H,'g-payment-fees-ltd'!$A:$A,D$1,'g-payment-fees-ltd'!$C:$C,TRIM($A23))</f>
        <v/>
      </c>
      <c r="E23" s="4">
        <f>SUMIFS('g-payment-fees-ltd'!$H:$H,'g-payment-fees-ltd'!$A:$A,E$1,'g-payment-fees-ltd'!$C:$C,TRIM($A23))</f>
        <v/>
      </c>
      <c r="F23" s="4">
        <f>SUMIFS('g-payment-fees-ltd'!$H:$H,'g-payment-fees-ltd'!$A:$A,F$1,'g-payment-fees-ltd'!$C:$C,TRIM($A23))</f>
        <v/>
      </c>
      <c r="G23" s="4">
        <f>SUMIFS('g-payment-fees-ltd'!$H:$H,'g-payment-fees-ltd'!$A:$A,G$1,'g-payment-fees-ltd'!$C:$C,TRIM($A23))</f>
        <v/>
      </c>
      <c r="H23" s="4">
        <f>SUMIFS('g-payment-fees-ltd'!$H:$H,'g-payment-fees-ltd'!$A:$A,H$1,'g-payment-fees-ltd'!$C:$C,TRIM($A23))</f>
        <v/>
      </c>
      <c r="I23" s="4">
        <f>SUMIFS('g-payment-fees-ltd'!$H:$H,'g-payment-fees-ltd'!$A:$A,I$1,'g-payment-fees-ltd'!$C:$C,TRIM($A23))</f>
        <v/>
      </c>
      <c r="J23" s="4">
        <f>SUMIFS('g-payment-fees-ltd'!$H:$H,'g-payment-fees-ltd'!$A:$A,J$1,'g-payment-fees-ltd'!$C:$C,TRIM($A23))</f>
        <v/>
      </c>
      <c r="K23" s="4">
        <f>SUMIFS('g-payment-fees-ltd'!$H:$H,'g-payment-fees-ltd'!$A:$A,K$1,'g-payment-fees-ltd'!$C:$C,TRIM($A23))</f>
        <v/>
      </c>
      <c r="L23" s="4">
        <f>SUMIFS('g-payment-fees-ltd'!$H:$H,'g-payment-fees-ltd'!$A:$A,L$1,'g-payment-fees-ltd'!$C:$C,TRIM($A23))</f>
        <v/>
      </c>
      <c r="M23" s="4">
        <f>SUMIFS('g-payment-fees-ltd'!$H:$H,'g-payment-fees-ltd'!$A:$A,M$1,'g-payment-fees-ltd'!$C:$C,TRIM($A23))</f>
        <v/>
      </c>
      <c r="N23" s="4">
        <f>SUMIFS('g-payment-fees-ltd'!$H:$H,'g-payment-fees-ltd'!$A:$A,N$1,'g-payment-fees-ltd'!$C:$C,TRIM($A23))</f>
        <v/>
      </c>
      <c r="O23" s="4">
        <f>SUMIFS('g-payment-fees-ltd'!$H:$H,'g-payment-fees-ltd'!$A:$A,O$1,'g-payment-fees-ltd'!$C:$C,TRIM($A23))</f>
        <v/>
      </c>
      <c r="P23" s="4">
        <f>SUM(D23:O23)</f>
        <v/>
      </c>
      <c r="Q23" s="4" t="inlineStr">
        <is>
          <t>-&gt;</t>
        </is>
      </c>
    </row>
    <row r="24" ht="12" customHeight="1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idden="1" outlineLevel="2" ht="12" customHeight="1">
      <c r="A25" s="11" t="inlineStr">
        <is>
          <t xml:space="preserve">    % Payment fees / sales</t>
        </is>
      </c>
      <c r="B25" s="12" t="n"/>
      <c r="C25" s="12" t="n"/>
      <c r="D25" s="12">
        <f>IFERROR(D22/D5,0)</f>
        <v/>
      </c>
      <c r="E25" s="12">
        <f>IFERROR(E22/E5,0)</f>
        <v/>
      </c>
      <c r="F25" s="12">
        <f>IFERROR(F22/F5,0)</f>
        <v/>
      </c>
      <c r="G25" s="12">
        <f>IFERROR(G22/G5,0)</f>
        <v/>
      </c>
      <c r="H25" s="12">
        <f>IFERROR(H22/H5,0)</f>
        <v/>
      </c>
      <c r="I25" s="12">
        <f>IFERROR(I22/I5,0)</f>
        <v/>
      </c>
      <c r="J25" s="12">
        <f>IFERROR(J22/J5,0)</f>
        <v/>
      </c>
      <c r="K25" s="12">
        <f>IFERROR(K22/K5,0)</f>
        <v/>
      </c>
      <c r="L25" s="12">
        <f>IFERROR(L22/L5,0)</f>
        <v/>
      </c>
      <c r="M25" s="12">
        <f>IFERROR(M22/M5,0)</f>
        <v/>
      </c>
      <c r="N25" s="12">
        <f>IFERROR(N22/N5,0)</f>
        <v/>
      </c>
      <c r="O25" s="12">
        <f>IFERROR(O22/O5,0)</f>
        <v/>
      </c>
      <c r="P25" s="12">
        <f>IFERROR(P22/P5,0)</f>
        <v/>
      </c>
      <c r="Q25" s="12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t="12" customHeight="1">
      <c r="A27" s="13" t="inlineStr">
        <is>
          <t>GROSS MARGIN (SALES-MANUFACTURING)</t>
        </is>
      </c>
      <c r="B27" s="14" t="n"/>
      <c r="C27" s="14" t="n"/>
      <c r="D27" s="14">
        <f>D5-D12</f>
        <v/>
      </c>
      <c r="E27" s="14">
        <f>E5-E12</f>
        <v/>
      </c>
      <c r="F27" s="14">
        <f>F5-F12</f>
        <v/>
      </c>
      <c r="G27" s="14">
        <f>G5-G12</f>
        <v/>
      </c>
      <c r="H27" s="14">
        <f>H5-H12</f>
        <v/>
      </c>
      <c r="I27" s="14">
        <f>I5-I12</f>
        <v/>
      </c>
      <c r="J27" s="14">
        <f>J5-J12</f>
        <v/>
      </c>
      <c r="K27" s="14">
        <f>K5-K12</f>
        <v/>
      </c>
      <c r="L27" s="14">
        <f>L5-L12</f>
        <v/>
      </c>
      <c r="M27" s="14">
        <f>M5-M12</f>
        <v/>
      </c>
      <c r="N27" s="14">
        <f>N5-N12</f>
        <v/>
      </c>
      <c r="O27" s="14">
        <f>O5-O12</f>
        <v/>
      </c>
      <c r="P27" s="14">
        <f>SUM(D27:O27)</f>
        <v/>
      </c>
      <c r="Q27" s="14" t="n"/>
    </row>
    <row r="28" hidden="1" outlineLevel="1" ht="12" customHeight="1">
      <c r="A28" s="11" t="inlineStr">
        <is>
          <t>% GROSS MARGIN</t>
        </is>
      </c>
      <c r="B28" s="12" t="n"/>
      <c r="C28" s="12" t="n"/>
      <c r="D28" s="12">
        <f>IFERROR(D27/D5,0)</f>
        <v/>
      </c>
      <c r="E28" s="12">
        <f>IFERROR(E27/E5,0)</f>
        <v/>
      </c>
      <c r="F28" s="12">
        <f>IFERROR(F27/F5,0)</f>
        <v/>
      </c>
      <c r="G28" s="12">
        <f>IFERROR(G27/G5,0)</f>
        <v/>
      </c>
      <c r="H28" s="12">
        <f>IFERROR(H27/H5,0)</f>
        <v/>
      </c>
      <c r="I28" s="12">
        <f>IFERROR(I27/I5,0)</f>
        <v/>
      </c>
      <c r="J28" s="12">
        <f>IFERROR(J27/J5,0)</f>
        <v/>
      </c>
      <c r="K28" s="12">
        <f>IFERROR(K27/K5,0)</f>
        <v/>
      </c>
      <c r="L28" s="12">
        <f>IFERROR(L27/L5,0)</f>
        <v/>
      </c>
      <c r="M28" s="12">
        <f>IFERROR(M27/M5,0)</f>
        <v/>
      </c>
      <c r="N28" s="12">
        <f>IFERROR(N27/N5,0)</f>
        <v/>
      </c>
      <c r="O28" s="12">
        <f>IFERROR(O27/O5,0)</f>
        <v/>
      </c>
      <c r="P28" s="12">
        <f>IFERROR(P27/P5,0)</f>
        <v/>
      </c>
      <c r="Q28" s="12" t="n"/>
    </row>
    <row r="29" ht="12" customHeight="1">
      <c r="A29" s="13" t="inlineStr">
        <is>
          <t>CONTRIBUTIVE MARGIN (TURNOVER-COGS)</t>
        </is>
      </c>
      <c r="B29" s="14" t="n"/>
      <c r="C29" s="14" t="n"/>
      <c r="D29" s="14">
        <f>D4-D11</f>
        <v/>
      </c>
      <c r="E29" s="14">
        <f>E4-E11</f>
        <v/>
      </c>
      <c r="F29" s="14">
        <f>F4-F11</f>
        <v/>
      </c>
      <c r="G29" s="14">
        <f>G4-G11</f>
        <v/>
      </c>
      <c r="H29" s="14">
        <f>H4-H11</f>
        <v/>
      </c>
      <c r="I29" s="14">
        <f>I4-I11</f>
        <v/>
      </c>
      <c r="J29" s="14">
        <f>J4-J11</f>
        <v/>
      </c>
      <c r="K29" s="14">
        <f>K4-K11</f>
        <v/>
      </c>
      <c r="L29" s="14">
        <f>L4-L11</f>
        <v/>
      </c>
      <c r="M29" s="14">
        <f>M4-M11</f>
        <v/>
      </c>
      <c r="N29" s="14">
        <f>N4-N11</f>
        <v/>
      </c>
      <c r="O29" s="14">
        <f>O4-O11</f>
        <v/>
      </c>
      <c r="P29" s="14">
        <f>SUM(D29:O29)</f>
        <v/>
      </c>
      <c r="Q29" s="14" t="n"/>
    </row>
    <row r="30" hidden="1" outlineLevel="1" ht="12" customHeight="1">
      <c r="A30" s="11" t="inlineStr">
        <is>
          <t>% CONTRIBUTIVE MARGIN</t>
        </is>
      </c>
      <c r="B30" s="12" t="n"/>
      <c r="C30" s="12" t="n"/>
      <c r="D30" s="12">
        <f>IFERROR(D29/D5,0)</f>
        <v/>
      </c>
      <c r="E30" s="12">
        <f>IFERROR(E29/E5,0)</f>
        <v/>
      </c>
      <c r="F30" s="12">
        <f>IFERROR(F29/F5,0)</f>
        <v/>
      </c>
      <c r="G30" s="12">
        <f>IFERROR(G29/G5,0)</f>
        <v/>
      </c>
      <c r="H30" s="12">
        <f>IFERROR(H29/H5,0)</f>
        <v/>
      </c>
      <c r="I30" s="12">
        <f>IFERROR(I29/I5,0)</f>
        <v/>
      </c>
      <c r="J30" s="12">
        <f>IFERROR(J29/J5,0)</f>
        <v/>
      </c>
      <c r="K30" s="12">
        <f>IFERROR(K29/K5,0)</f>
        <v/>
      </c>
      <c r="L30" s="12">
        <f>IFERROR(L29/L5,0)</f>
        <v/>
      </c>
      <c r="M30" s="12">
        <f>IFERROR(M29/M5,0)</f>
        <v/>
      </c>
      <c r="N30" s="12">
        <f>IFERROR(N29/N5,0)</f>
        <v/>
      </c>
      <c r="O30" s="12">
        <f>IFERROR(O29/O5,0)</f>
        <v/>
      </c>
      <c r="P30" s="12">
        <f>IFERROR(P29/P5,0)</f>
        <v/>
      </c>
      <c r="Q30" s="12" t="n"/>
    </row>
    <row r="31" ht="12" customHeight="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>
        <f>SUM(D31:O31)</f>
        <v/>
      </c>
      <c r="Q31" s="4" t="n"/>
    </row>
    <row r="32" outlineLevel="1" ht="12" customHeight="1">
      <c r="A32" s="7" t="inlineStr">
        <is>
          <t xml:space="preserve">  Opex</t>
        </is>
      </c>
      <c r="B32" s="8" t="n"/>
      <c r="C32" s="8" t="n"/>
      <c r="D32" s="8">
        <f>D33+D35+D37+D39</f>
        <v/>
      </c>
      <c r="E32" s="8">
        <f>E33+E35+E37+E39</f>
        <v/>
      </c>
      <c r="F32" s="8">
        <f>F33+F35+F37+F39</f>
        <v/>
      </c>
      <c r="G32" s="8">
        <f>G33+G35+G37+G39</f>
        <v/>
      </c>
      <c r="H32" s="8">
        <f>H33+H35+H37+H39</f>
        <v/>
      </c>
      <c r="I32" s="8">
        <f>I33+I35+I37+I39</f>
        <v/>
      </c>
      <c r="J32" s="8">
        <f>J33+J35+J37+J39</f>
        <v/>
      </c>
      <c r="K32" s="8">
        <f>K33+K35+K37+K39</f>
        <v/>
      </c>
      <c r="L32" s="8">
        <f>L33+L35+L37+L39</f>
        <v/>
      </c>
      <c r="M32" s="8">
        <f>M33+M35+M37+M39</f>
        <v/>
      </c>
      <c r="N32" s="8">
        <f>N33+N35+N37+N39</f>
        <v/>
      </c>
      <c r="O32" s="8">
        <f>O33+O35+O37+O39</f>
        <v/>
      </c>
      <c r="P32" s="8">
        <f>SUM(D32:O32)</f>
        <v/>
      </c>
      <c r="Q32" s="8" t="n"/>
    </row>
    <row r="33" hidden="1" outlineLevel="2" ht="12" customHeight="1">
      <c r="A33" s="9" t="inlineStr">
        <is>
          <t xml:space="preserve">    Shared services</t>
        </is>
      </c>
      <c r="B33" s="10" t="n"/>
      <c r="C33" s="10" t="n"/>
      <c r="D33" s="10">
        <f>SUM(D34:D34)</f>
        <v/>
      </c>
      <c r="E33" s="10">
        <f>SUM(E34:E34)</f>
        <v/>
      </c>
      <c r="F33" s="10">
        <f>SUM(F34:F34)</f>
        <v/>
      </c>
      <c r="G33" s="10">
        <f>SUM(G34:G34)</f>
        <v/>
      </c>
      <c r="H33" s="10">
        <f>SUM(H34:H34)</f>
        <v/>
      </c>
      <c r="I33" s="10">
        <f>SUM(I34:I34)</f>
        <v/>
      </c>
      <c r="J33" s="10">
        <f>SUM(J34:J34)</f>
        <v/>
      </c>
      <c r="K33" s="10">
        <f>SUM(K34:K34)</f>
        <v/>
      </c>
      <c r="L33" s="10">
        <f>SUM(L34:L34)</f>
        <v/>
      </c>
      <c r="M33" s="10">
        <f>SUM(M34:M34)</f>
        <v/>
      </c>
      <c r="N33" s="10">
        <f>SUM(N34:N34)</f>
        <v/>
      </c>
      <c r="O33" s="10">
        <f>SUM(O34:O34)</f>
        <v/>
      </c>
      <c r="P33" s="10">
        <f>SUM(D33:O33)</f>
        <v/>
      </c>
      <c r="Q33" s="10" t="inlineStr">
        <is>
          <t>-&gt;</t>
        </is>
      </c>
    </row>
    <row r="34" hidden="1" outlineLevel="3" ht="12" customHeight="1">
      <c r="A34" t="inlineStr">
        <is>
          <t xml:space="preserve">      SHAREDSERVICESSL</t>
        </is>
      </c>
      <c r="B34" s="4" t="n"/>
      <c r="C34" s="4" t="n"/>
      <c r="D34" s="4">
        <f>SUMIFS('g-expenses-ltd'!$K:$K,'g-expenses-ltd'!$A:$A,D$1,'g-expenses-ltd'!$D:$D,"shared_services",'g-expenses-ltd'!$E:$E,TRIM($A34))</f>
        <v/>
      </c>
      <c r="E34" s="4">
        <f>SUMIFS('g-expenses-ltd'!$K:$K,'g-expenses-ltd'!$A:$A,E$1,'g-expenses-ltd'!$D:$D,"shared_services",'g-expenses-ltd'!$E:$E,TRIM($A34))</f>
        <v/>
      </c>
      <c r="F34" s="4">
        <f>SUMIFS('g-expenses-ltd'!$K:$K,'g-expenses-ltd'!$A:$A,F$1,'g-expenses-ltd'!$D:$D,"shared_services",'g-expenses-ltd'!$E:$E,TRIM($A34))</f>
        <v/>
      </c>
      <c r="G34" s="4">
        <f>SUMIFS('g-expenses-ltd'!$K:$K,'g-expenses-ltd'!$A:$A,G$1,'g-expenses-ltd'!$D:$D,"shared_services",'g-expenses-ltd'!$E:$E,TRIM($A34))</f>
        <v/>
      </c>
      <c r="H34" s="4">
        <f>SUMIFS('g-expenses-ltd'!$K:$K,'g-expenses-ltd'!$A:$A,H$1,'g-expenses-ltd'!$D:$D,"shared_services",'g-expenses-ltd'!$E:$E,TRIM($A34))</f>
        <v/>
      </c>
      <c r="I34" s="4">
        <f>SUMIFS('g-expenses-ltd'!$K:$K,'g-expenses-ltd'!$A:$A,I$1,'g-expenses-ltd'!$D:$D,"shared_services",'g-expenses-ltd'!$E:$E,TRIM($A34))</f>
        <v/>
      </c>
      <c r="J34" s="4">
        <f>SUMIFS('g-expenses-ltd'!$K:$K,'g-expenses-ltd'!$A:$A,J$1,'g-expenses-ltd'!$D:$D,"shared_services",'g-expenses-ltd'!$E:$E,TRIM($A34))</f>
        <v/>
      </c>
      <c r="K34" s="4">
        <f>SUMIFS('g-expenses-ltd'!$K:$K,'g-expenses-ltd'!$A:$A,K$1,'g-expenses-ltd'!$D:$D,"shared_services",'g-expenses-ltd'!$E:$E,TRIM($A34))</f>
        <v/>
      </c>
      <c r="L34" s="4">
        <f>SUMIFS('g-expenses-ltd'!$K:$K,'g-expenses-ltd'!$A:$A,L$1,'g-expenses-ltd'!$D:$D,"shared_services",'g-expenses-ltd'!$E:$E,TRIM($A34))</f>
        <v/>
      </c>
      <c r="M34" s="4">
        <f>SUMIFS('g-expenses-ltd'!$K:$K,'g-expenses-ltd'!$A:$A,M$1,'g-expenses-ltd'!$D:$D,"shared_services",'g-expenses-ltd'!$E:$E,TRIM($A34))</f>
        <v/>
      </c>
      <c r="N34" s="4">
        <f>SUMIFS('g-expenses-ltd'!$K:$K,'g-expenses-ltd'!$A:$A,N$1,'g-expenses-ltd'!$D:$D,"shared_services",'g-expenses-ltd'!$E:$E,TRIM($A34))</f>
        <v/>
      </c>
      <c r="O34" s="4">
        <f>SUMIFS('g-expenses-ltd'!$K:$K,'g-expenses-ltd'!$A:$A,O$1,'g-expenses-ltd'!$D:$D,"shared_services",'g-expenses-ltd'!$E:$E,TRIM($A34))</f>
        <v/>
      </c>
      <c r="P34" s="4">
        <f>SUM(D34:O34)</f>
        <v/>
      </c>
      <c r="Q34" s="4" t="inlineStr">
        <is>
          <t>-&gt;</t>
        </is>
      </c>
    </row>
    <row r="35" hidden="1" outlineLevel="2" ht="12" customHeight="1">
      <c r="A35" s="9" t="inlineStr">
        <is>
          <t xml:space="preserve">    Administration</t>
        </is>
      </c>
      <c r="B35" s="10" t="n"/>
      <c r="C35" s="10" t="n"/>
      <c r="D35" s="10">
        <f>SUM(D36:D36)</f>
        <v/>
      </c>
      <c r="E35" s="10">
        <f>SUM(E36:E36)</f>
        <v/>
      </c>
      <c r="F35" s="10">
        <f>SUM(F36:F36)</f>
        <v/>
      </c>
      <c r="G35" s="10">
        <f>SUM(G36:G36)</f>
        <v/>
      </c>
      <c r="H35" s="10">
        <f>SUM(H36:H36)</f>
        <v/>
      </c>
      <c r="I35" s="10">
        <f>SUM(I36:I36)</f>
        <v/>
      </c>
      <c r="J35" s="10">
        <f>SUM(J36:J36)</f>
        <v/>
      </c>
      <c r="K35" s="10">
        <f>SUM(K36:K36)</f>
        <v/>
      </c>
      <c r="L35" s="10">
        <f>SUM(L36:L36)</f>
        <v/>
      </c>
      <c r="M35" s="10">
        <f>SUM(M36:M36)</f>
        <v/>
      </c>
      <c r="N35" s="10">
        <f>SUM(N36:N36)</f>
        <v/>
      </c>
      <c r="O35" s="10">
        <f>SUM(O36:O36)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YOURACCOUNTSTAXES</t>
        </is>
      </c>
      <c r="B36" s="4" t="n"/>
      <c r="C36" s="4" t="n"/>
      <c r="D36" s="4">
        <f>SUMIFS('g-expenses-ltd'!$K:$K,'g-expenses-ltd'!$A:$A,D$1,'g-expenses-ltd'!$D:$D,"administration",'g-expenses-ltd'!$E:$E,TRIM($A36))</f>
        <v/>
      </c>
      <c r="E36" s="4">
        <f>SUMIFS('g-expenses-ltd'!$K:$K,'g-expenses-ltd'!$A:$A,E$1,'g-expenses-ltd'!$D:$D,"administration",'g-expenses-ltd'!$E:$E,TRIM($A36))</f>
        <v/>
      </c>
      <c r="F36" s="4">
        <f>SUMIFS('g-expenses-ltd'!$K:$K,'g-expenses-ltd'!$A:$A,F$1,'g-expenses-ltd'!$D:$D,"administration",'g-expenses-ltd'!$E:$E,TRIM($A36))</f>
        <v/>
      </c>
      <c r="G36" s="4">
        <f>SUMIFS('g-expenses-ltd'!$K:$K,'g-expenses-ltd'!$A:$A,G$1,'g-expenses-ltd'!$D:$D,"administration",'g-expenses-ltd'!$E:$E,TRIM($A36))</f>
        <v/>
      </c>
      <c r="H36" s="4">
        <f>SUMIFS('g-expenses-ltd'!$K:$K,'g-expenses-ltd'!$A:$A,H$1,'g-expenses-ltd'!$D:$D,"administration",'g-expenses-ltd'!$E:$E,TRIM($A36))</f>
        <v/>
      </c>
      <c r="I36" s="4">
        <f>SUMIFS('g-expenses-ltd'!$K:$K,'g-expenses-ltd'!$A:$A,I$1,'g-expenses-ltd'!$D:$D,"administration",'g-expenses-ltd'!$E:$E,TRIM($A36))</f>
        <v/>
      </c>
      <c r="J36" s="4">
        <f>SUMIFS('g-expenses-ltd'!$K:$K,'g-expenses-ltd'!$A:$A,J$1,'g-expenses-ltd'!$D:$D,"administration",'g-expenses-ltd'!$E:$E,TRIM($A36))</f>
        <v/>
      </c>
      <c r="K36" s="4">
        <f>SUMIFS('g-expenses-ltd'!$K:$K,'g-expenses-ltd'!$A:$A,K$1,'g-expenses-ltd'!$D:$D,"administration",'g-expenses-ltd'!$E:$E,TRIM($A36))</f>
        <v/>
      </c>
      <c r="L36" s="4">
        <f>SUMIFS('g-expenses-ltd'!$K:$K,'g-expenses-ltd'!$A:$A,L$1,'g-expenses-ltd'!$D:$D,"administration",'g-expenses-ltd'!$E:$E,TRIM($A36))</f>
        <v/>
      </c>
      <c r="M36" s="4">
        <f>SUMIFS('g-expenses-ltd'!$K:$K,'g-expenses-ltd'!$A:$A,M$1,'g-expenses-ltd'!$D:$D,"administration",'g-expenses-ltd'!$E:$E,TRIM($A36))</f>
        <v/>
      </c>
      <c r="N36" s="4">
        <f>SUMIFS('g-expenses-ltd'!$K:$K,'g-expenses-ltd'!$A:$A,N$1,'g-expenses-ltd'!$D:$D,"administration",'g-expenses-ltd'!$E:$E,TRIM($A36))</f>
        <v/>
      </c>
      <c r="O36" s="4">
        <f>SUMIFS('g-expenses-ltd'!$K:$K,'g-expenses-ltd'!$A:$A,O$1,'g-expenses-ltd'!$D:$D,"administration",'g-expenses-ltd'!$E:$E,TRIM($A36))</f>
        <v/>
      </c>
      <c r="P36" s="4">
        <f>SUM(D36:O36)</f>
        <v/>
      </c>
      <c r="Q36" s="4" t="inlineStr">
        <is>
          <t>-&gt;</t>
        </is>
      </c>
    </row>
    <row r="37" hidden="1" outlineLevel="2" ht="12" customHeight="1">
      <c r="A37" s="9" t="inlineStr">
        <is>
          <t xml:space="preserve">    Technology</t>
        </is>
      </c>
      <c r="B37" s="10" t="n"/>
      <c r="C37" s="10" t="n"/>
      <c r="D37" s="10">
        <f>SUM(D38:D38)</f>
        <v/>
      </c>
      <c r="E37" s="10">
        <f>SUM(E38:E38)</f>
        <v/>
      </c>
      <c r="F37" s="10">
        <f>SUM(F38:F38)</f>
        <v/>
      </c>
      <c r="G37" s="10">
        <f>SUM(G38:G38)</f>
        <v/>
      </c>
      <c r="H37" s="10">
        <f>SUM(H38:H38)</f>
        <v/>
      </c>
      <c r="I37" s="10">
        <f>SUM(I38:I38)</f>
        <v/>
      </c>
      <c r="J37" s="10">
        <f>SUM(J38:J38)</f>
        <v/>
      </c>
      <c r="K37" s="10">
        <f>SUM(K38:K38)</f>
        <v/>
      </c>
      <c r="L37" s="10">
        <f>SUM(L38:L38)</f>
        <v/>
      </c>
      <c r="M37" s="10">
        <f>SUM(M38:M38)</f>
        <v/>
      </c>
      <c r="N37" s="10">
        <f>SUM(N38:N38)</f>
        <v/>
      </c>
      <c r="O37" s="10">
        <f>SUM(O38:O38)</f>
        <v/>
      </c>
      <c r="P37" s="10">
        <f>SUM(D37:O37)</f>
        <v/>
      </c>
      <c r="Q37" s="10" t="inlineStr">
        <is>
          <t>-&gt;</t>
        </is>
      </c>
    </row>
    <row r="38" hidden="1" outlineLevel="3" ht="12" customHeight="1">
      <c r="A38" t="inlineStr">
        <is>
          <t xml:space="preserve">      REVER</t>
        </is>
      </c>
      <c r="B38" s="4" t="n"/>
      <c r="C38" s="4" t="n"/>
      <c r="D38" s="4">
        <f>SUMIFS('g-expenses-ltd'!$K:$K,'g-expenses-ltd'!$A:$A,D$1,'g-expenses-ltd'!$D:$D,"technology",'g-expenses-ltd'!$E:$E,TRIM($A38))</f>
        <v/>
      </c>
      <c r="E38" s="4">
        <f>SUMIFS('g-expenses-ltd'!$K:$K,'g-expenses-ltd'!$A:$A,E$1,'g-expenses-ltd'!$D:$D,"technology",'g-expenses-ltd'!$E:$E,TRIM($A38))</f>
        <v/>
      </c>
      <c r="F38" s="4">
        <f>SUMIFS('g-expenses-ltd'!$K:$K,'g-expenses-ltd'!$A:$A,F$1,'g-expenses-ltd'!$D:$D,"technology",'g-expenses-ltd'!$E:$E,TRIM($A38))</f>
        <v/>
      </c>
      <c r="G38" s="4">
        <f>SUMIFS('g-expenses-ltd'!$K:$K,'g-expenses-ltd'!$A:$A,G$1,'g-expenses-ltd'!$D:$D,"technology",'g-expenses-ltd'!$E:$E,TRIM($A38))</f>
        <v/>
      </c>
      <c r="H38" s="4">
        <f>SUMIFS('g-expenses-ltd'!$K:$K,'g-expenses-ltd'!$A:$A,H$1,'g-expenses-ltd'!$D:$D,"technology",'g-expenses-ltd'!$E:$E,TRIM($A38))</f>
        <v/>
      </c>
      <c r="I38" s="4">
        <f>SUMIFS('g-expenses-ltd'!$K:$K,'g-expenses-ltd'!$A:$A,I$1,'g-expenses-ltd'!$D:$D,"technology",'g-expenses-ltd'!$E:$E,TRIM($A38))</f>
        <v/>
      </c>
      <c r="J38" s="4">
        <f>SUMIFS('g-expenses-ltd'!$K:$K,'g-expenses-ltd'!$A:$A,J$1,'g-expenses-ltd'!$D:$D,"technology",'g-expenses-ltd'!$E:$E,TRIM($A38))</f>
        <v/>
      </c>
      <c r="K38" s="4">
        <f>SUMIFS('g-expenses-ltd'!$K:$K,'g-expenses-ltd'!$A:$A,K$1,'g-expenses-ltd'!$D:$D,"technology",'g-expenses-ltd'!$E:$E,TRIM($A38))</f>
        <v/>
      </c>
      <c r="L38" s="4">
        <f>SUMIFS('g-expenses-ltd'!$K:$K,'g-expenses-ltd'!$A:$A,L$1,'g-expenses-ltd'!$D:$D,"technology",'g-expenses-ltd'!$E:$E,TRIM($A38))</f>
        <v/>
      </c>
      <c r="M38" s="4">
        <f>SUMIFS('g-expenses-ltd'!$K:$K,'g-expenses-ltd'!$A:$A,M$1,'g-expenses-ltd'!$D:$D,"technology",'g-expenses-ltd'!$E:$E,TRIM($A38))</f>
        <v/>
      </c>
      <c r="N38" s="4">
        <f>SUMIFS('g-expenses-ltd'!$K:$K,'g-expenses-ltd'!$A:$A,N$1,'g-expenses-ltd'!$D:$D,"technology",'g-expenses-ltd'!$E:$E,TRIM($A38))</f>
        <v/>
      </c>
      <c r="O38" s="4">
        <f>SUMIFS('g-expenses-ltd'!$K:$K,'g-expenses-ltd'!$A:$A,O$1,'g-expenses-ltd'!$D:$D,"technology",'g-expenses-ltd'!$E:$E,TRIM($A38))</f>
        <v/>
      </c>
      <c r="P38" s="4">
        <f>SUM(D38:O38)</f>
        <v/>
      </c>
      <c r="Q38" s="4" t="inlineStr">
        <is>
          <t>-&gt;</t>
        </is>
      </c>
    </row>
    <row r="39" hidden="1" outlineLevel="2" ht="12" customHeight="1">
      <c r="A39" s="9" t="inlineStr">
        <is>
          <t xml:space="preserve">    Otros gastos</t>
        </is>
      </c>
      <c r="B39" s="10" t="n"/>
      <c r="C39" s="10" t="n"/>
      <c r="D39" s="10">
        <f>SUMIFS('g-expenses-ltd'!$K:$K,'g-expenses-ltd'!$A:$A,D$1,'g-expenses-ltd'!$D:$D,"otros_gastos")</f>
        <v/>
      </c>
      <c r="E39" s="10">
        <f>SUMIFS('g-expenses-ltd'!$K:$K,'g-expenses-ltd'!$A:$A,E$1,'g-expenses-ltd'!$D:$D,"otros_gastos")</f>
        <v/>
      </c>
      <c r="F39" s="10">
        <f>SUMIFS('g-expenses-ltd'!$K:$K,'g-expenses-ltd'!$A:$A,F$1,'g-expenses-ltd'!$D:$D,"otros_gastos")</f>
        <v/>
      </c>
      <c r="G39" s="10">
        <f>SUMIFS('g-expenses-ltd'!$K:$K,'g-expenses-ltd'!$A:$A,G$1,'g-expenses-ltd'!$D:$D,"otros_gastos")</f>
        <v/>
      </c>
      <c r="H39" s="10">
        <f>SUMIFS('g-expenses-ltd'!$K:$K,'g-expenses-ltd'!$A:$A,H$1,'g-expenses-ltd'!$D:$D,"otros_gastos")</f>
        <v/>
      </c>
      <c r="I39" s="10">
        <f>SUMIFS('g-expenses-ltd'!$K:$K,'g-expenses-ltd'!$A:$A,I$1,'g-expenses-ltd'!$D:$D,"otros_gastos")</f>
        <v/>
      </c>
      <c r="J39" s="10">
        <f>SUMIFS('g-expenses-ltd'!$K:$K,'g-expenses-ltd'!$A:$A,J$1,'g-expenses-ltd'!$D:$D,"otros_gastos")</f>
        <v/>
      </c>
      <c r="K39" s="10">
        <f>SUMIFS('g-expenses-ltd'!$K:$K,'g-expenses-ltd'!$A:$A,K$1,'g-expenses-ltd'!$D:$D,"otros_gastos")</f>
        <v/>
      </c>
      <c r="L39" s="10">
        <f>SUMIFS('g-expenses-ltd'!$K:$K,'g-expenses-ltd'!$A:$A,L$1,'g-expenses-ltd'!$D:$D,"otros_gastos")</f>
        <v/>
      </c>
      <c r="M39" s="10">
        <f>SUMIFS('g-expenses-ltd'!$K:$K,'g-expenses-ltd'!$A:$A,M$1,'g-expenses-ltd'!$D:$D,"otros_gastos")</f>
        <v/>
      </c>
      <c r="N39" s="10">
        <f>SUMIFS('g-expenses-ltd'!$K:$K,'g-expenses-ltd'!$A:$A,N$1,'g-expenses-ltd'!$D:$D,"otros_gastos")</f>
        <v/>
      </c>
      <c r="O39" s="10">
        <f>SUMIFS('g-expenses-ltd'!$K:$K,'g-expenses-ltd'!$A:$A,O$1,'g-expenses-ltd'!$D:$D,"otros_gastos")</f>
        <v/>
      </c>
      <c r="P39" s="10">
        <f>SUM(D39:O39)</f>
        <v/>
      </c>
      <c r="Q39" s="10" t="inlineStr">
        <is>
          <t>-&gt;</t>
        </is>
      </c>
    </row>
    <row r="40" hidden="1" outlineLevel="2" ht="12" customHeight="1">
      <c r="A40" s="9" t="inlineStr">
        <is>
          <t xml:space="preserve">  Diferencias divisas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>
        <f>SUM(D40:O40)</f>
        <v/>
      </c>
      <c r="Q40" s="10" t="n"/>
    </row>
    <row r="41" ht="12" customHeight="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>
        <f>SUM(D41:O41)</f>
        <v/>
      </c>
      <c r="Q41" s="4" t="n"/>
    </row>
    <row r="42" ht="12" customHeight="1">
      <c r="A42" s="13" t="inlineStr">
        <is>
          <t>PROFIT</t>
        </is>
      </c>
      <c r="B42" s="14" t="n"/>
      <c r="C42" s="14" t="n"/>
      <c r="D42" s="14">
        <f>D4-D11-D32-D40</f>
        <v/>
      </c>
      <c r="E42" s="14">
        <f>E4-E11-E32-E40</f>
        <v/>
      </c>
      <c r="F42" s="14">
        <f>F4-F11-F32-F40</f>
        <v/>
      </c>
      <c r="G42" s="14">
        <f>G4-G11-G32-G40</f>
        <v/>
      </c>
      <c r="H42" s="14">
        <f>H4-H11-H32-H40</f>
        <v/>
      </c>
      <c r="I42" s="14">
        <f>I4-I11-I32-I40</f>
        <v/>
      </c>
      <c r="J42" s="14">
        <f>J4-J11-J32-J40</f>
        <v/>
      </c>
      <c r="K42" s="14">
        <f>K4-K11-K32-K40</f>
        <v/>
      </c>
      <c r="L42" s="14">
        <f>L4-L11-L32-L40</f>
        <v/>
      </c>
      <c r="M42" s="14">
        <f>M4-M11-M32-M40</f>
        <v/>
      </c>
      <c r="N42" s="14">
        <f>N4-N11-N32-N40</f>
        <v/>
      </c>
      <c r="O42" s="14">
        <f>O4-O11-O32-O40</f>
        <v/>
      </c>
      <c r="P42" s="14">
        <f>SUM(D42:O42)</f>
        <v/>
      </c>
      <c r="Q42" s="14" t="n"/>
    </row>
    <row r="43" hidden="1" outlineLevel="1" ht="12" customHeight="1">
      <c r="A43" s="11" t="inlineStr">
        <is>
          <t>% Profit / product sales</t>
        </is>
      </c>
      <c r="B43" s="12" t="n"/>
      <c r="C43" s="12" t="n"/>
      <c r="D43" s="12">
        <f>IFERROR(D42/D5,0)</f>
        <v/>
      </c>
      <c r="E43" s="12">
        <f>IFERROR(E42/E5,0)</f>
        <v/>
      </c>
      <c r="F43" s="12">
        <f>IFERROR(F42/F5,0)</f>
        <v/>
      </c>
      <c r="G43" s="12">
        <f>IFERROR(G42/G5,0)</f>
        <v/>
      </c>
      <c r="H43" s="12">
        <f>IFERROR(H42/H5,0)</f>
        <v/>
      </c>
      <c r="I43" s="12">
        <f>IFERROR(I42/I5,0)</f>
        <v/>
      </c>
      <c r="J43" s="12">
        <f>IFERROR(J42/J5,0)</f>
        <v/>
      </c>
      <c r="K43" s="12">
        <f>IFERROR(K42/K5,0)</f>
        <v/>
      </c>
      <c r="L43" s="12">
        <f>IFERROR(L42/L5,0)</f>
        <v/>
      </c>
      <c r="M43" s="12">
        <f>IFERROR(M42/M5,0)</f>
        <v/>
      </c>
      <c r="N43" s="12">
        <f>IFERROR(N42/N5,0)</f>
        <v/>
      </c>
      <c r="O43" s="12">
        <f>IFERROR(O42/O5,0)</f>
        <v/>
      </c>
      <c r="P43" s="12">
        <f>IFERROR(P42/P5,0)</f>
        <v/>
      </c>
      <c r="Q43" s="12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15" t="inlineStr">
        <is>
          <t>Stock inicial marcos</t>
        </is>
      </c>
      <c r="B45" s="4" t="n"/>
      <c r="C45" s="4" t="n"/>
      <c r="D45" s="4" t="n">
        <v>7471.59</v>
      </c>
      <c r="E45" s="4" t="n">
        <v>13032.64</v>
      </c>
      <c r="F45" s="4" t="n">
        <v>10643.86</v>
      </c>
      <c r="G45" s="4" t="n">
        <v>19745.79</v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>
        <f>SUM(D45:O45)</f>
        <v/>
      </c>
      <c r="Q45" s="4" t="n"/>
    </row>
    <row r="46">
      <c r="A46" s="15" t="inlineStr">
        <is>
          <t>Stock final marcos</t>
        </is>
      </c>
      <c r="B46" s="4" t="n"/>
      <c r="C46" s="4" t="n"/>
      <c r="D46" s="4" t="n">
        <v>13032.64</v>
      </c>
      <c r="E46" s="4" t="n">
        <v>10643.86</v>
      </c>
      <c r="F46" s="4" t="n">
        <v>19745.79</v>
      </c>
      <c r="G46" s="4" t="n">
        <v>19708.44</v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>
        <f>SUM(D46:O46)</f>
        <v/>
      </c>
      <c r="Q46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2" location="'g-expenses-ltd'!A1" display="-&gt;"/>
    <hyperlink ref="Q13" location="'g-expenses-ltd'!A1" display="-&gt;"/>
    <hyperlink ref="Q18" location="'g-expenses-ltd'!A1" display="-&gt;"/>
    <hyperlink ref="Q19" location="'g-expenses-ltd'!A1" display="-&gt;"/>
    <hyperlink ref="Q22" location="'g-payment-fees-ltd'!A1" display="-&gt;"/>
    <hyperlink ref="Q23" location="'g-payment-fees-ltd'!A1" display="-&gt;"/>
    <hyperlink ref="Q33" location="'g-expenses-ltd'!A1" display="-&gt;"/>
    <hyperlink ref="Q34" location="'g-expenses-ltd'!A1" display="-&gt;"/>
    <hyperlink ref="Q35" location="'g-expens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2026-04-03T06:03:36Z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15702.66</v>
      </c>
      <c r="F3" t="inlineStr">
        <is>
          <t>GBP</t>
        </is>
      </c>
      <c r="G3" t="inlineStr">
        <is>
          <t>GBP</t>
        </is>
      </c>
      <c r="H3" s="18" t="n">
        <v>1</v>
      </c>
      <c r="I3" s="4" t="n">
        <v>15702.66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18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22362.26</v>
      </c>
      <c r="F5" t="inlineStr">
        <is>
          <t>GBP</t>
        </is>
      </c>
      <c r="G5" t="inlineStr">
        <is>
          <t>GBP</t>
        </is>
      </c>
      <c r="H5" s="18" t="n">
        <v>1</v>
      </c>
      <c r="I5" s="4" t="n">
        <v>22362.26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824.59</v>
      </c>
      <c r="F6" t="inlineStr">
        <is>
          <t>GBP</t>
        </is>
      </c>
      <c r="G6" t="inlineStr">
        <is>
          <t>GBP</t>
        </is>
      </c>
      <c r="H6" s="18" t="n">
        <v>1</v>
      </c>
      <c r="I6" s="4" t="n">
        <v>824.59</v>
      </c>
      <c r="J6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18" t="n">
        <v>0.72673882</v>
      </c>
      <c r="K3" s="4" t="n">
        <v>32.02</v>
      </c>
      <c r="L3" t="inlineStr">
        <is>
          <t>documents</t>
        </is>
      </c>
      <c r="M3" s="19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18" t="n">
        <v>0.72673882</v>
      </c>
      <c r="K4" s="4" t="n">
        <v>26.46</v>
      </c>
      <c r="L4" t="inlineStr">
        <is>
          <t>documents</t>
        </is>
      </c>
      <c r="M4" s="19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18" t="n">
        <v>0.72673882</v>
      </c>
      <c r="K5" s="4" t="n">
        <v>36.86</v>
      </c>
      <c r="L5" t="inlineStr">
        <is>
          <t>documents</t>
        </is>
      </c>
      <c r="M5" s="19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18" t="n">
        <v>0.72673882</v>
      </c>
      <c r="K6" s="4" t="n">
        <v>67.62</v>
      </c>
      <c r="L6" t="inlineStr">
        <is>
          <t>documents</t>
        </is>
      </c>
      <c r="M6" s="19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18" t="n">
        <v>0.72673882</v>
      </c>
      <c r="K7" s="4" t="n">
        <v>30.57</v>
      </c>
      <c r="L7" t="inlineStr">
        <is>
          <t>documents</t>
        </is>
      </c>
      <c r="M7" s="19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18" t="n">
        <v>0.72673882</v>
      </c>
      <c r="K8" s="4" t="n">
        <v>104.07</v>
      </c>
      <c r="L8" t="inlineStr">
        <is>
          <t>documents</t>
        </is>
      </c>
      <c r="M8" s="19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18" t="n">
        <v>0.72673882</v>
      </c>
      <c r="K9" s="4" t="n">
        <v>11.37</v>
      </c>
      <c r="L9" t="inlineStr">
        <is>
          <t>documents</t>
        </is>
      </c>
      <c r="M9" s="19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18" t="n">
        <v>0.72673882</v>
      </c>
      <c r="K10" s="4" t="n">
        <v>17.83</v>
      </c>
      <c r="L10" t="inlineStr">
        <is>
          <t>documents</t>
        </is>
      </c>
      <c r="M10" s="19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18" t="n">
        <v>0.72673882</v>
      </c>
      <c r="K11" s="4" t="n">
        <v>67.62</v>
      </c>
      <c r="L11" t="inlineStr">
        <is>
          <t>documents</t>
        </is>
      </c>
      <c r="M11" s="19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18" t="n">
        <v>0.72673882</v>
      </c>
      <c r="K12" s="4" t="n">
        <v>67.62</v>
      </c>
      <c r="L12" t="inlineStr">
        <is>
          <t>documents</t>
        </is>
      </c>
      <c r="M12" s="19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18" t="n">
        <v>0.72673882</v>
      </c>
      <c r="K13" s="4" t="n">
        <v>67.62</v>
      </c>
      <c r="L13" t="inlineStr">
        <is>
          <t>documents</t>
        </is>
      </c>
      <c r="M13" s="19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18" t="n">
        <v>0.72673882</v>
      </c>
      <c r="K14" s="4" t="n">
        <v>26.46</v>
      </c>
      <c r="L14" t="inlineStr">
        <is>
          <t>documents</t>
        </is>
      </c>
      <c r="M14" s="19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18" t="n">
        <v>0.72673882</v>
      </c>
      <c r="K15" s="4" t="n">
        <v>58.78</v>
      </c>
      <c r="L15" t="inlineStr">
        <is>
          <t>documents</t>
        </is>
      </c>
      <c r="M15" s="19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18" t="n">
        <v>0.72673882</v>
      </c>
      <c r="K16" s="4" t="n">
        <v>132.28</v>
      </c>
      <c r="L16" t="inlineStr">
        <is>
          <t>documents</t>
        </is>
      </c>
      <c r="M16" s="19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18" t="n">
        <v>0.72673882</v>
      </c>
      <c r="K17" s="4" t="n">
        <v>14.9</v>
      </c>
      <c r="L17" t="inlineStr">
        <is>
          <t>documents</t>
        </is>
      </c>
      <c r="M17" s="19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18" t="n">
        <v>0.72673882</v>
      </c>
      <c r="K18" s="4" t="n">
        <v>11.37</v>
      </c>
      <c r="L18" t="inlineStr">
        <is>
          <t>documents</t>
        </is>
      </c>
      <c r="M18" s="19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18" t="n">
        <v>0.72673882</v>
      </c>
      <c r="K19" s="4" t="n">
        <v>81.70999999999999</v>
      </c>
      <c r="L19" t="inlineStr">
        <is>
          <t>documents</t>
        </is>
      </c>
      <c r="M19" s="19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18" t="n">
        <v>0.72673882</v>
      </c>
      <c r="K20" s="4" t="n">
        <v>32.02</v>
      </c>
      <c r="L20" t="inlineStr">
        <is>
          <t>documents</t>
        </is>
      </c>
      <c r="M20" s="19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18" t="n">
        <v>0.72673882</v>
      </c>
      <c r="K21" s="4" t="n">
        <v>156.1</v>
      </c>
      <c r="L21" t="inlineStr">
        <is>
          <t>documents</t>
        </is>
      </c>
      <c r="M21" s="19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18" t="n">
        <v>0.72673882</v>
      </c>
      <c r="K22" s="4" t="n">
        <v>32.02</v>
      </c>
      <c r="L22" t="inlineStr">
        <is>
          <t>documents</t>
        </is>
      </c>
      <c r="M22" s="19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18" t="n">
        <v>0.72673882</v>
      </c>
      <c r="K23" s="4" t="n">
        <v>14.9</v>
      </c>
      <c r="L23" t="inlineStr">
        <is>
          <t>documents</t>
        </is>
      </c>
      <c r="M23" s="19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18" t="n">
        <v>0.72673882</v>
      </c>
      <c r="K24" s="4" t="n">
        <v>67.62</v>
      </c>
      <c r="L24" t="inlineStr">
        <is>
          <t>documents</t>
        </is>
      </c>
      <c r="M24" s="19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18" t="n">
        <v>0.72673882</v>
      </c>
      <c r="K25" s="4" t="n">
        <v>61.13</v>
      </c>
      <c r="L25" t="inlineStr">
        <is>
          <t>documents</t>
        </is>
      </c>
      <c r="M25" s="19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18" t="n">
        <v>0.72673882</v>
      </c>
      <c r="K26" s="4" t="n">
        <v>67.62</v>
      </c>
      <c r="L26" t="inlineStr">
        <is>
          <t>documents</t>
        </is>
      </c>
      <c r="M26" s="19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18" t="n">
        <v>1</v>
      </c>
      <c r="K27" s="4" t="n">
        <v>4754.19</v>
      </c>
      <c r="L27" t="inlineStr">
        <is>
          <t>documents</t>
        </is>
      </c>
      <c r="M27" s="19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18" t="n">
        <v>1</v>
      </c>
      <c r="K28" s="4" t="n">
        <v>1255.05</v>
      </c>
      <c r="L28" t="inlineStr">
        <is>
          <t>documents</t>
        </is>
      </c>
      <c r="M28" s="19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18" t="n">
        <v>0.8662</v>
      </c>
      <c r="K29" s="4" t="n">
        <v>9296.809999999999</v>
      </c>
      <c r="L29" t="inlineStr">
        <is>
          <t>documents</t>
        </is>
      </c>
      <c r="M29" s="19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18" t="n">
        <v>1</v>
      </c>
      <c r="K30" s="4" t="n">
        <v>26.5</v>
      </c>
      <c r="L30" t="inlineStr">
        <is>
          <t>documents</t>
        </is>
      </c>
      <c r="M30" s="19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18" t="n">
        <v>1</v>
      </c>
      <c r="K31" s="4" t="n">
        <v>103.67</v>
      </c>
      <c r="L31" t="inlineStr">
        <is>
          <t>documents</t>
        </is>
      </c>
      <c r="M31" s="19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18" t="n">
        <v>0.74231258</v>
      </c>
      <c r="K32" s="4" t="n">
        <v>11.61</v>
      </c>
      <c r="L32" t="inlineStr">
        <is>
          <t>documents</t>
        </is>
      </c>
      <c r="M32" s="19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18" t="n">
        <v>0.74231258</v>
      </c>
      <c r="K33" s="4" t="n">
        <v>21.08</v>
      </c>
      <c r="L33" t="inlineStr">
        <is>
          <t>documents</t>
        </is>
      </c>
      <c r="M33" s="19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18" t="n">
        <v>0.74231258</v>
      </c>
      <c r="K34" s="4" t="n">
        <v>27.33</v>
      </c>
      <c r="L34" t="inlineStr">
        <is>
          <t>documents</t>
        </is>
      </c>
      <c r="M34" s="19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18" t="n">
        <v>0.74231258</v>
      </c>
      <c r="K35" s="4" t="n">
        <v>42.16</v>
      </c>
      <c r="L35" t="inlineStr">
        <is>
          <t>documents</t>
        </is>
      </c>
      <c r="M35" s="19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18" t="n">
        <v>0.74231258</v>
      </c>
      <c r="K36" s="4" t="n">
        <v>27.03</v>
      </c>
      <c r="L36" t="inlineStr">
        <is>
          <t>documents</t>
        </is>
      </c>
      <c r="M36" s="19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18" t="n">
        <v>0.74231258</v>
      </c>
      <c r="K37" s="4" t="n">
        <v>41.73</v>
      </c>
      <c r="L37" t="inlineStr">
        <is>
          <t>documents</t>
        </is>
      </c>
      <c r="M37" s="19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18" t="n">
        <v>0.74231258</v>
      </c>
      <c r="K38" s="4" t="n">
        <v>135.12</v>
      </c>
      <c r="L38" t="inlineStr">
        <is>
          <t>documents</t>
        </is>
      </c>
      <c r="M38" s="19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18" t="n">
        <v>0.74231258</v>
      </c>
      <c r="K39" s="4" t="n">
        <v>31.22</v>
      </c>
      <c r="L39" t="inlineStr">
        <is>
          <t>documents</t>
        </is>
      </c>
      <c r="M39" s="19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18" t="n">
        <v>0.74231258</v>
      </c>
      <c r="K40" s="4" t="n">
        <v>27.03</v>
      </c>
      <c r="L40" t="inlineStr">
        <is>
          <t>documents</t>
        </is>
      </c>
      <c r="M40" s="19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18" t="n">
        <v>0.74231258</v>
      </c>
      <c r="K41" s="4" t="n">
        <v>18.22</v>
      </c>
      <c r="L41" t="inlineStr">
        <is>
          <t>documents</t>
        </is>
      </c>
      <c r="M41" s="19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18" t="n">
        <v>0.74231258</v>
      </c>
      <c r="K42" s="4" t="n">
        <v>53.15</v>
      </c>
      <c r="L42" t="inlineStr">
        <is>
          <t>documents</t>
        </is>
      </c>
      <c r="M42" s="19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18" t="n">
        <v>0.74231258</v>
      </c>
      <c r="K43" s="4" t="n">
        <v>53.15</v>
      </c>
      <c r="L43" t="inlineStr">
        <is>
          <t>documents</t>
        </is>
      </c>
      <c r="M43" s="19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18" t="n">
        <v>0.74231258</v>
      </c>
      <c r="K44" s="4" t="n">
        <v>32.71</v>
      </c>
      <c r="L44" t="inlineStr">
        <is>
          <t>documents</t>
        </is>
      </c>
      <c r="M44" s="19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18" t="n">
        <v>0.74231258</v>
      </c>
      <c r="K45" s="4" t="n">
        <v>21.08</v>
      </c>
      <c r="L45" t="inlineStr">
        <is>
          <t>documents</t>
        </is>
      </c>
      <c r="M45" s="19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18" t="n">
        <v>0.74231258</v>
      </c>
      <c r="K46" s="4" t="n">
        <v>47.44</v>
      </c>
      <c r="L46" t="inlineStr">
        <is>
          <t>documents</t>
        </is>
      </c>
      <c r="M46" s="19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18" t="n">
        <v>0.74231258</v>
      </c>
      <c r="K47" s="4" t="n">
        <v>27.03</v>
      </c>
      <c r="L47" t="inlineStr">
        <is>
          <t>documents</t>
        </is>
      </c>
      <c r="M47" s="19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18" t="n">
        <v>0.74231258</v>
      </c>
      <c r="K48" s="4" t="n">
        <v>32.71</v>
      </c>
      <c r="L48" t="inlineStr">
        <is>
          <t>documents</t>
        </is>
      </c>
      <c r="M48" s="19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18" t="n">
        <v>0.74231258</v>
      </c>
      <c r="K49" s="4" t="n">
        <v>31.22</v>
      </c>
      <c r="L49" t="inlineStr">
        <is>
          <t>documents</t>
        </is>
      </c>
      <c r="M49" s="19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18" t="n">
        <v>0.74231258</v>
      </c>
      <c r="K50" s="4" t="n">
        <v>32.71</v>
      </c>
      <c r="L50" t="inlineStr">
        <is>
          <t>documents</t>
        </is>
      </c>
      <c r="M50" s="19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18" t="n">
        <v>0.74231258</v>
      </c>
      <c r="K51" s="4" t="n">
        <v>27.03</v>
      </c>
      <c r="L51" t="inlineStr">
        <is>
          <t>documents</t>
        </is>
      </c>
      <c r="M51" s="19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18" t="n">
        <v>0.74231258</v>
      </c>
      <c r="K52" s="4" t="n">
        <v>15.22</v>
      </c>
      <c r="L52" t="inlineStr">
        <is>
          <t>documents</t>
        </is>
      </c>
      <c r="M52" s="19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18" t="n">
        <v>0.74231258</v>
      </c>
      <c r="K53" s="4" t="n">
        <v>83.47</v>
      </c>
      <c r="L53" t="inlineStr">
        <is>
          <t>documents</t>
        </is>
      </c>
      <c r="M53" s="19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18" t="n">
        <v>0.74231258</v>
      </c>
      <c r="K54" s="4" t="n">
        <v>53.15</v>
      </c>
      <c r="L54" t="inlineStr">
        <is>
          <t>documents</t>
        </is>
      </c>
      <c r="M54" s="19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18" t="n">
        <v>0.74231258</v>
      </c>
      <c r="K55" s="4" t="n">
        <v>69.06</v>
      </c>
      <c r="L55" t="inlineStr">
        <is>
          <t>documents</t>
        </is>
      </c>
      <c r="M55" s="19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18" t="n">
        <v>0.74231258</v>
      </c>
      <c r="K56" s="4" t="n">
        <v>21.08</v>
      </c>
      <c r="L56" t="inlineStr">
        <is>
          <t>documents</t>
        </is>
      </c>
      <c r="M56" s="19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18" t="n">
        <v>0.74231258</v>
      </c>
      <c r="K57" s="4" t="n">
        <v>69.06</v>
      </c>
      <c r="L57" t="inlineStr">
        <is>
          <t>documents</t>
        </is>
      </c>
      <c r="M57" s="19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18" t="n">
        <v>0.74231258</v>
      </c>
      <c r="K58" s="4" t="n">
        <v>27.03</v>
      </c>
      <c r="L58" t="inlineStr">
        <is>
          <t>documents</t>
        </is>
      </c>
      <c r="M58" s="19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18" t="n">
        <v>0.74231258</v>
      </c>
      <c r="K59" s="4" t="n">
        <v>31.22</v>
      </c>
      <c r="L59" t="inlineStr">
        <is>
          <t>documents</t>
        </is>
      </c>
      <c r="M59" s="19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18" t="n">
        <v>0.74231258</v>
      </c>
      <c r="K60" s="4" t="n">
        <v>53.15</v>
      </c>
      <c r="L60" t="inlineStr">
        <is>
          <t>documents</t>
        </is>
      </c>
      <c r="M60" s="19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logistics</t>
        </is>
      </c>
      <c r="E61" t="inlineStr">
        <is>
          <t>PROCO</t>
        </is>
      </c>
      <c r="F61" t="inlineStr">
        <is>
          <t>logistics</t>
        </is>
      </c>
      <c r="G61" s="4" t="n">
        <v>1670.3</v>
      </c>
      <c r="H61" t="inlineStr">
        <is>
          <t>GBP</t>
        </is>
      </c>
      <c r="I61" t="inlineStr">
        <is>
          <t>GBP</t>
        </is>
      </c>
      <c r="J61" s="18" t="n">
        <v>1</v>
      </c>
      <c r="K61" s="4" t="n">
        <v>1670.3</v>
      </c>
      <c r="L61" t="inlineStr">
        <is>
          <t>documents</t>
        </is>
      </c>
      <c r="M61" s="19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PROCO</t>
        </is>
      </c>
      <c r="F62" t="inlineStr">
        <is>
          <t>manufacturing</t>
        </is>
      </c>
      <c r="G62" s="4" t="n">
        <v>4593.8</v>
      </c>
      <c r="H62" t="inlineStr">
        <is>
          <t>GBP</t>
        </is>
      </c>
      <c r="I62" t="inlineStr">
        <is>
          <t>GBP</t>
        </is>
      </c>
      <c r="J62" s="18" t="n">
        <v>1</v>
      </c>
      <c r="K62" s="4" t="n">
        <v>4593.8</v>
      </c>
      <c r="L62" t="inlineStr">
        <is>
          <t>documents</t>
        </is>
      </c>
      <c r="M62" s="19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18" t="n">
        <v>0.8763</v>
      </c>
      <c r="K63" s="4" t="n">
        <v>11452.35</v>
      </c>
      <c r="L63" t="inlineStr">
        <is>
          <t>documents</t>
        </is>
      </c>
      <c r="M63" s="19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18" t="n">
        <v>1</v>
      </c>
      <c r="K64" s="4" t="n">
        <v>26.5</v>
      </c>
      <c r="L64" t="inlineStr">
        <is>
          <t>documents</t>
        </is>
      </c>
      <c r="M64" s="19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18" t="n">
        <v>1</v>
      </c>
      <c r="K65" s="4" t="n">
        <v>55</v>
      </c>
      <c r="L65" t="inlineStr">
        <is>
          <t>documents</t>
        </is>
      </c>
      <c r="M65" s="19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18" t="n">
        <v>1</v>
      </c>
      <c r="K66" s="4" t="n">
        <v>103.67</v>
      </c>
      <c r="L66" t="inlineStr">
        <is>
          <t>documents</t>
        </is>
      </c>
      <c r="M66" s="19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28.4</v>
      </c>
      <c r="H67" t="inlineStr">
        <is>
          <t>USD</t>
        </is>
      </c>
      <c r="I67" t="inlineStr">
        <is>
          <t>GBP</t>
        </is>
      </c>
      <c r="J67" s="18" t="n">
        <v>0.7552009</v>
      </c>
      <c r="K67" s="4" t="n">
        <v>21.45</v>
      </c>
      <c r="L67" t="inlineStr">
        <is>
          <t>documents</t>
        </is>
      </c>
      <c r="M67" s="19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84.62</v>
      </c>
      <c r="H68" t="inlineStr">
        <is>
          <t>USD</t>
        </is>
      </c>
      <c r="I68" t="inlineStr">
        <is>
          <t>GBP</t>
        </is>
      </c>
      <c r="J68" s="18" t="n">
        <v>0.7552009</v>
      </c>
      <c r="K68" s="4" t="n">
        <v>63.91</v>
      </c>
      <c r="L68" t="inlineStr">
        <is>
          <t>documents</t>
        </is>
      </c>
      <c r="M68" s="19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71.59999999999999</v>
      </c>
      <c r="H69" t="inlineStr">
        <is>
          <t>USD</t>
        </is>
      </c>
      <c r="I69" t="inlineStr">
        <is>
          <t>GBP</t>
        </is>
      </c>
      <c r="J69" s="18" t="n">
        <v>0.7552009</v>
      </c>
      <c r="K69" s="4" t="n">
        <v>54.07</v>
      </c>
      <c r="L69" t="inlineStr">
        <is>
          <t>documents</t>
        </is>
      </c>
      <c r="M69" s="19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36.41</v>
      </c>
      <c r="H70" t="inlineStr">
        <is>
          <t>USD</t>
        </is>
      </c>
      <c r="I70" t="inlineStr">
        <is>
          <t>GBP</t>
        </is>
      </c>
      <c r="J70" s="18" t="n">
        <v>0.7552009</v>
      </c>
      <c r="K70" s="4" t="n">
        <v>27.5</v>
      </c>
      <c r="L70" t="inlineStr">
        <is>
          <t>documents</t>
        </is>
      </c>
      <c r="M70" s="19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24.54</v>
      </c>
      <c r="H71" t="inlineStr">
        <is>
          <t>USD</t>
        </is>
      </c>
      <c r="I71" t="inlineStr">
        <is>
          <t>GBP</t>
        </is>
      </c>
      <c r="J71" s="18" t="n">
        <v>0.7552009</v>
      </c>
      <c r="K71" s="4" t="n">
        <v>18.53</v>
      </c>
      <c r="L71" t="inlineStr">
        <is>
          <t>documents</t>
        </is>
      </c>
      <c r="M71" s="19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36.41</v>
      </c>
      <c r="H72" t="inlineStr">
        <is>
          <t>USD</t>
        </is>
      </c>
      <c r="I72" t="inlineStr">
        <is>
          <t>GBP</t>
        </is>
      </c>
      <c r="J72" s="18" t="n">
        <v>0.7552009</v>
      </c>
      <c r="K72" s="4" t="n">
        <v>27.5</v>
      </c>
      <c r="L72" t="inlineStr">
        <is>
          <t>documents</t>
        </is>
      </c>
      <c r="M72" s="19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20.5</v>
      </c>
      <c r="H73" t="inlineStr">
        <is>
          <t>USD</t>
        </is>
      </c>
      <c r="I73" t="inlineStr">
        <is>
          <t>GBP</t>
        </is>
      </c>
      <c r="J73" s="18" t="n">
        <v>0.7552009</v>
      </c>
      <c r="K73" s="4" t="n">
        <v>15.48</v>
      </c>
      <c r="L73" t="inlineStr">
        <is>
          <t>documents</t>
        </is>
      </c>
      <c r="M73" s="19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31.28</v>
      </c>
      <c r="H74" t="inlineStr">
        <is>
          <t>USD</t>
        </is>
      </c>
      <c r="I74" t="inlineStr">
        <is>
          <t>GBP</t>
        </is>
      </c>
      <c r="J74" s="18" t="n">
        <v>0.7552009</v>
      </c>
      <c r="K74" s="4" t="n">
        <v>23.62</v>
      </c>
      <c r="L74" t="inlineStr">
        <is>
          <t>documents</t>
        </is>
      </c>
      <c r="M74" s="19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182.02</v>
      </c>
      <c r="H75" t="inlineStr">
        <is>
          <t>USD</t>
        </is>
      </c>
      <c r="I75" t="inlineStr">
        <is>
          <t>GBP</t>
        </is>
      </c>
      <c r="J75" s="18" t="n">
        <v>0.7552009</v>
      </c>
      <c r="K75" s="4" t="n">
        <v>137.46</v>
      </c>
      <c r="L75" t="inlineStr">
        <is>
          <t>documents</t>
        </is>
      </c>
      <c r="M75" s="19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186.08</v>
      </c>
      <c r="H76" t="inlineStr">
        <is>
          <t>USD</t>
        </is>
      </c>
      <c r="I76" t="inlineStr">
        <is>
          <t>GBP</t>
        </is>
      </c>
      <c r="J76" s="18" t="n">
        <v>0.7552009</v>
      </c>
      <c r="K76" s="4" t="n">
        <v>140.53</v>
      </c>
      <c r="L76" t="inlineStr">
        <is>
          <t>documents</t>
        </is>
      </c>
      <c r="M76" s="19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15.64</v>
      </c>
      <c r="H77" t="inlineStr">
        <is>
          <t>USD</t>
        </is>
      </c>
      <c r="I77" t="inlineStr">
        <is>
          <t>GBP</t>
        </is>
      </c>
      <c r="J77" s="18" t="n">
        <v>0.7552009</v>
      </c>
      <c r="K77" s="4" t="n">
        <v>11.81</v>
      </c>
      <c r="L77" t="inlineStr">
        <is>
          <t>documents</t>
        </is>
      </c>
      <c r="M77" s="19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56.22</v>
      </c>
      <c r="H78" t="inlineStr">
        <is>
          <t>USD</t>
        </is>
      </c>
      <c r="I78" t="inlineStr">
        <is>
          <t>GBP</t>
        </is>
      </c>
      <c r="J78" s="18" t="n">
        <v>0.7552009</v>
      </c>
      <c r="K78" s="4" t="n">
        <v>42.46</v>
      </c>
      <c r="L78" t="inlineStr">
        <is>
          <t>documents</t>
        </is>
      </c>
      <c r="M78" s="19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168.66</v>
      </c>
      <c r="H79" t="inlineStr">
        <is>
          <t>USD</t>
        </is>
      </c>
      <c r="I79" t="inlineStr">
        <is>
          <t>GBP</t>
        </is>
      </c>
      <c r="J79" s="18" t="n">
        <v>0.7552009</v>
      </c>
      <c r="K79" s="4" t="n">
        <v>127.37</v>
      </c>
      <c r="L79" t="inlineStr">
        <is>
          <t>documents</t>
        </is>
      </c>
      <c r="M79" s="19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62.56</v>
      </c>
      <c r="H80" t="inlineStr">
        <is>
          <t>USD</t>
        </is>
      </c>
      <c r="I80" t="inlineStr">
        <is>
          <t>GBP</t>
        </is>
      </c>
      <c r="J80" s="18" t="n">
        <v>0.7552009</v>
      </c>
      <c r="K80" s="4" t="n">
        <v>47.25</v>
      </c>
      <c r="L80" t="inlineStr">
        <is>
          <t>documents</t>
        </is>
      </c>
      <c r="M80" s="19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93.04000000000001</v>
      </c>
      <c r="H81" t="inlineStr">
        <is>
          <t>USD</t>
        </is>
      </c>
      <c r="I81" t="inlineStr">
        <is>
          <t>GBP</t>
        </is>
      </c>
      <c r="J81" s="18" t="n">
        <v>0.7552009</v>
      </c>
      <c r="K81" s="4" t="n">
        <v>70.26000000000001</v>
      </c>
      <c r="L81" t="inlineStr">
        <is>
          <t>documents</t>
        </is>
      </c>
      <c r="M81" s="19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20.5</v>
      </c>
      <c r="H82" t="inlineStr">
        <is>
          <t>USD</t>
        </is>
      </c>
      <c r="I82" t="inlineStr">
        <is>
          <t>GBP</t>
        </is>
      </c>
      <c r="J82" s="18" t="n">
        <v>0.7552009</v>
      </c>
      <c r="K82" s="4" t="n">
        <v>15.48</v>
      </c>
      <c r="L82" t="inlineStr">
        <is>
          <t>documents</t>
        </is>
      </c>
      <c r="M82" s="19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20.5</v>
      </c>
      <c r="H83" t="inlineStr">
        <is>
          <t>USD</t>
        </is>
      </c>
      <c r="I83" t="inlineStr">
        <is>
          <t>GBP</t>
        </is>
      </c>
      <c r="J83" s="18" t="n">
        <v>0.7552009</v>
      </c>
      <c r="K83" s="4" t="n">
        <v>15.48</v>
      </c>
      <c r="L83" t="inlineStr">
        <is>
          <t>documents</t>
        </is>
      </c>
      <c r="M83" s="19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121.44</v>
      </c>
      <c r="H84" t="inlineStr">
        <is>
          <t>USD</t>
        </is>
      </c>
      <c r="I84" t="inlineStr">
        <is>
          <t>GBP</t>
        </is>
      </c>
      <c r="J84" s="18" t="n">
        <v>0.7552009</v>
      </c>
      <c r="K84" s="4" t="n">
        <v>91.70999999999999</v>
      </c>
      <c r="L84" t="inlineStr">
        <is>
          <t>documents</t>
        </is>
      </c>
      <c r="M84" s="19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20.5</v>
      </c>
      <c r="H85" t="inlineStr">
        <is>
          <t>USD</t>
        </is>
      </c>
      <c r="I85" t="inlineStr">
        <is>
          <t>GBP</t>
        </is>
      </c>
      <c r="J85" s="18" t="n">
        <v>0.7552009</v>
      </c>
      <c r="K85" s="4" t="n">
        <v>15.48</v>
      </c>
      <c r="L85" t="inlineStr">
        <is>
          <t>documents</t>
        </is>
      </c>
      <c r="M85" s="19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84.62</v>
      </c>
      <c r="H86" t="inlineStr">
        <is>
          <t>USD</t>
        </is>
      </c>
      <c r="I86" t="inlineStr">
        <is>
          <t>GBP</t>
        </is>
      </c>
      <c r="J86" s="18" t="n">
        <v>0.7552009</v>
      </c>
      <c r="K86" s="4" t="n">
        <v>63.91</v>
      </c>
      <c r="L86" t="inlineStr">
        <is>
          <t>documents</t>
        </is>
      </c>
      <c r="M86" s="19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44.06</v>
      </c>
      <c r="H87" t="inlineStr">
        <is>
          <t>USD</t>
        </is>
      </c>
      <c r="I87" t="inlineStr">
        <is>
          <t>GBP</t>
        </is>
      </c>
      <c r="J87" s="18" t="n">
        <v>0.7552009</v>
      </c>
      <c r="K87" s="4" t="n">
        <v>33.27</v>
      </c>
      <c r="L87" t="inlineStr">
        <is>
          <t>documents</t>
        </is>
      </c>
      <c r="M87" s="19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20.5</v>
      </c>
      <c r="H88" t="inlineStr">
        <is>
          <t>USD</t>
        </is>
      </c>
      <c r="I88" t="inlineStr">
        <is>
          <t>GBP</t>
        </is>
      </c>
      <c r="J88" s="18" t="n">
        <v>0.7552009</v>
      </c>
      <c r="K88" s="4" t="n">
        <v>15.48</v>
      </c>
      <c r="L88" t="inlineStr">
        <is>
          <t>documents</t>
        </is>
      </c>
      <c r="M88" s="19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186.08</v>
      </c>
      <c r="H89" t="inlineStr">
        <is>
          <t>USD</t>
        </is>
      </c>
      <c r="I89" t="inlineStr">
        <is>
          <t>GBP</t>
        </is>
      </c>
      <c r="J89" s="18" t="n">
        <v>0.7552009</v>
      </c>
      <c r="K89" s="4" t="n">
        <v>140.53</v>
      </c>
      <c r="L89" t="inlineStr">
        <is>
          <t>documents</t>
        </is>
      </c>
      <c r="M89" s="19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24.54</v>
      </c>
      <c r="H90" t="inlineStr">
        <is>
          <t>USD</t>
        </is>
      </c>
      <c r="I90" t="inlineStr">
        <is>
          <t>GBP</t>
        </is>
      </c>
      <c r="J90" s="18" t="n">
        <v>0.7552009</v>
      </c>
      <c r="K90" s="4" t="n">
        <v>18.53</v>
      </c>
      <c r="L90" t="inlineStr">
        <is>
          <t>documents</t>
        </is>
      </c>
      <c r="M90" s="19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63.91</v>
      </c>
      <c r="H91" t="inlineStr">
        <is>
          <t>USD</t>
        </is>
      </c>
      <c r="I91" t="inlineStr">
        <is>
          <t>GBP</t>
        </is>
      </c>
      <c r="J91" s="18" t="n">
        <v>0.7552009</v>
      </c>
      <c r="K91" s="4" t="n">
        <v>48.26</v>
      </c>
      <c r="L91" t="inlineStr">
        <is>
          <t>documents</t>
        </is>
      </c>
      <c r="M91" s="19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44.06</v>
      </c>
      <c r="H92" t="inlineStr">
        <is>
          <t>USD</t>
        </is>
      </c>
      <c r="I92" t="inlineStr">
        <is>
          <t>GBP</t>
        </is>
      </c>
      <c r="J92" s="18" t="n">
        <v>0.7552009</v>
      </c>
      <c r="K92" s="4" t="n">
        <v>33.27</v>
      </c>
      <c r="L92" t="inlineStr">
        <is>
          <t>documents</t>
        </is>
      </c>
      <c r="M92" s="19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289.26</v>
      </c>
      <c r="H93" t="inlineStr">
        <is>
          <t>USD</t>
        </is>
      </c>
      <c r="I93" t="inlineStr">
        <is>
          <t>GBP</t>
        </is>
      </c>
      <c r="J93" s="18" t="n">
        <v>0.7552009</v>
      </c>
      <c r="K93" s="4" t="n">
        <v>218.45</v>
      </c>
      <c r="L93" t="inlineStr">
        <is>
          <t>documents</t>
        </is>
      </c>
      <c r="M93" s="19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93.04000000000001</v>
      </c>
      <c r="H94" t="inlineStr">
        <is>
          <t>USD</t>
        </is>
      </c>
      <c r="I94" t="inlineStr">
        <is>
          <t>GBP</t>
        </is>
      </c>
      <c r="J94" s="18" t="n">
        <v>0.7552009</v>
      </c>
      <c r="K94" s="4" t="n">
        <v>70.26000000000001</v>
      </c>
      <c r="L94" t="inlineStr">
        <is>
          <t>documents</t>
        </is>
      </c>
      <c r="M94" s="19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44.06</v>
      </c>
      <c r="H95" t="inlineStr">
        <is>
          <t>USD</t>
        </is>
      </c>
      <c r="I95" t="inlineStr">
        <is>
          <t>GBP</t>
        </is>
      </c>
      <c r="J95" s="18" t="n">
        <v>0.7552009</v>
      </c>
      <c r="K95" s="4" t="n">
        <v>33.27</v>
      </c>
      <c r="L95" t="inlineStr">
        <is>
          <t>documents</t>
        </is>
      </c>
      <c r="M95" s="19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63.91</v>
      </c>
      <c r="H96" t="inlineStr">
        <is>
          <t>USD</t>
        </is>
      </c>
      <c r="I96" t="inlineStr">
        <is>
          <t>GBP</t>
        </is>
      </c>
      <c r="J96" s="18" t="n">
        <v>0.7552009</v>
      </c>
      <c r="K96" s="4" t="n">
        <v>48.26</v>
      </c>
      <c r="L96" t="inlineStr">
        <is>
          <t>documents</t>
        </is>
      </c>
      <c r="M96" s="19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36.41</v>
      </c>
      <c r="H97" t="inlineStr">
        <is>
          <t>USD</t>
        </is>
      </c>
      <c r="I97" t="inlineStr">
        <is>
          <t>GBP</t>
        </is>
      </c>
      <c r="J97" s="18" t="n">
        <v>0.7552009</v>
      </c>
      <c r="K97" s="4" t="n">
        <v>27.5</v>
      </c>
      <c r="L97" t="inlineStr">
        <is>
          <t>documents</t>
        </is>
      </c>
      <c r="M97" s="19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36.82</v>
      </c>
      <c r="H98" t="inlineStr">
        <is>
          <t>USD</t>
        </is>
      </c>
      <c r="I98" t="inlineStr">
        <is>
          <t>GBP</t>
        </is>
      </c>
      <c r="J98" s="18" t="n">
        <v>0.7552009</v>
      </c>
      <c r="K98" s="4" t="n">
        <v>27.81</v>
      </c>
      <c r="L98" t="inlineStr">
        <is>
          <t>documents</t>
        </is>
      </c>
      <c r="M98" s="19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45.04</v>
      </c>
      <c r="H99" t="inlineStr">
        <is>
          <t>USD</t>
        </is>
      </c>
      <c r="I99" t="inlineStr">
        <is>
          <t>GBP</t>
        </is>
      </c>
      <c r="J99" s="18" t="n">
        <v>0.7552009</v>
      </c>
      <c r="K99" s="4" t="n">
        <v>34.01</v>
      </c>
      <c r="L99" t="inlineStr">
        <is>
          <t>documents</t>
        </is>
      </c>
      <c r="M99" s="19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92.63</v>
      </c>
      <c r="H100" t="inlineStr">
        <is>
          <t>USD</t>
        </is>
      </c>
      <c r="I100" t="inlineStr">
        <is>
          <t>GBP</t>
        </is>
      </c>
      <c r="J100" s="18" t="n">
        <v>0.7552009</v>
      </c>
      <c r="K100" s="4" t="n">
        <v>69.95</v>
      </c>
      <c r="L100" t="inlineStr">
        <is>
          <t>documents</t>
        </is>
      </c>
      <c r="M100" s="19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36.41</v>
      </c>
      <c r="H101" t="inlineStr">
        <is>
          <t>USD</t>
        </is>
      </c>
      <c r="I101" t="inlineStr">
        <is>
          <t>GBP</t>
        </is>
      </c>
      <c r="J101" s="18" t="n">
        <v>0.7552009</v>
      </c>
      <c r="K101" s="4" t="n">
        <v>27.5</v>
      </c>
      <c r="L101" t="inlineStr">
        <is>
          <t>documents</t>
        </is>
      </c>
      <c r="M101" s="19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56.22</v>
      </c>
      <c r="H102" t="inlineStr">
        <is>
          <t>USD</t>
        </is>
      </c>
      <c r="I102" t="inlineStr">
        <is>
          <t>GBP</t>
        </is>
      </c>
      <c r="J102" s="18" t="n">
        <v>0.7552009</v>
      </c>
      <c r="K102" s="4" t="n">
        <v>42.46</v>
      </c>
      <c r="L102" t="inlineStr">
        <is>
          <t>documents</t>
        </is>
      </c>
      <c r="M102" s="19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93.04000000000001</v>
      </c>
      <c r="H103" t="inlineStr">
        <is>
          <t>USD</t>
        </is>
      </c>
      <c r="I103" t="inlineStr">
        <is>
          <t>GBP</t>
        </is>
      </c>
      <c r="J103" s="18" t="n">
        <v>0.7552009</v>
      </c>
      <c r="K103" s="4" t="n">
        <v>70.26000000000001</v>
      </c>
      <c r="L103" t="inlineStr">
        <is>
          <t>documents</t>
        </is>
      </c>
      <c r="M103" s="19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36.41</v>
      </c>
      <c r="H104" t="inlineStr">
        <is>
          <t>USD</t>
        </is>
      </c>
      <c r="I104" t="inlineStr">
        <is>
          <t>GBP</t>
        </is>
      </c>
      <c r="J104" s="18" t="n">
        <v>0.7552009</v>
      </c>
      <c r="K104" s="4" t="n">
        <v>27.5</v>
      </c>
      <c r="L104" t="inlineStr">
        <is>
          <t>documents</t>
        </is>
      </c>
      <c r="M104" s="19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36.82</v>
      </c>
      <c r="H105" t="inlineStr">
        <is>
          <t>USD</t>
        </is>
      </c>
      <c r="I105" t="inlineStr">
        <is>
          <t>GBP</t>
        </is>
      </c>
      <c r="J105" s="18" t="n">
        <v>0.7552009</v>
      </c>
      <c r="K105" s="4" t="n">
        <v>27.81</v>
      </c>
      <c r="L105" t="inlineStr">
        <is>
          <t>documents</t>
        </is>
      </c>
      <c r="M105" s="19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93.04000000000001</v>
      </c>
      <c r="H106" t="inlineStr">
        <is>
          <t>USD</t>
        </is>
      </c>
      <c r="I106" t="inlineStr">
        <is>
          <t>GBP</t>
        </is>
      </c>
      <c r="J106" s="18" t="n">
        <v>0.7552009</v>
      </c>
      <c r="K106" s="4" t="n">
        <v>70.26000000000001</v>
      </c>
      <c r="L106" t="inlineStr">
        <is>
          <t>documents</t>
        </is>
      </c>
      <c r="M106" s="19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168.66</v>
      </c>
      <c r="H107" t="inlineStr">
        <is>
          <t>USD</t>
        </is>
      </c>
      <c r="I107" t="inlineStr">
        <is>
          <t>GBP</t>
        </is>
      </c>
      <c r="J107" s="18" t="n">
        <v>0.7552009</v>
      </c>
      <c r="K107" s="4" t="n">
        <v>127.37</v>
      </c>
      <c r="L107" t="inlineStr">
        <is>
          <t>documents</t>
        </is>
      </c>
      <c r="M107" s="19" t="inlineStr">
        <is>
          <t>AS-99937</t>
        </is>
      </c>
      <c r="N107" t="inlineStr">
        <is>
          <t>https://drive.google.com/file/d/1F5n3S94IlEQiaG5CxcEnMOmVUEe54Qph/view?usp=drivesdk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45.04</v>
      </c>
      <c r="H108" t="inlineStr">
        <is>
          <t>USD</t>
        </is>
      </c>
      <c r="I108" t="inlineStr">
        <is>
          <t>GBP</t>
        </is>
      </c>
      <c r="J108" s="18" t="n">
        <v>0.7552009</v>
      </c>
      <c r="K108" s="4" t="n">
        <v>34.01</v>
      </c>
      <c r="L108" t="inlineStr">
        <is>
          <t>documents</t>
        </is>
      </c>
      <c r="M108" s="19" t="inlineStr">
        <is>
          <t>AS-99977</t>
        </is>
      </c>
      <c r="N108" t="inlineStr">
        <is>
          <t>https://drive.google.com/file/d/1HqxIRZp8jdjgtVEEzbk0E2ug9Ukvwr6z/view?usp=drivesdk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PORTCLEARANCE</t>
        </is>
      </c>
      <c r="F109" t="inlineStr">
        <is>
          <t>manufacturing</t>
        </is>
      </c>
      <c r="G109" s="4" t="n">
        <v>52</v>
      </c>
      <c r="H109" t="inlineStr">
        <is>
          <t>GBP</t>
        </is>
      </c>
      <c r="I109" t="inlineStr">
        <is>
          <t>GBP</t>
        </is>
      </c>
      <c r="J109" s="18" t="n">
        <v>1</v>
      </c>
      <c r="K109" s="4" t="n">
        <v>52</v>
      </c>
      <c r="L109" t="inlineStr">
        <is>
          <t>documents</t>
        </is>
      </c>
      <c r="M109" s="19" t="inlineStr">
        <is>
          <t>PCSI2601529</t>
        </is>
      </c>
      <c r="N109" t="inlineStr">
        <is>
          <t>https://drive.google.com/file/d/1iuW9SLUOB-pyUC4WZ2Kr-BZJwj1fyRk2/view?usp=drivesdk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PROCO</t>
        </is>
      </c>
      <c r="F110" t="inlineStr">
        <is>
          <t>logistics</t>
        </is>
      </c>
      <c r="G110" s="4" t="n">
        <v>2355.35</v>
      </c>
      <c r="H110" t="inlineStr">
        <is>
          <t>GBP</t>
        </is>
      </c>
      <c r="I110" t="inlineStr">
        <is>
          <t>GBP</t>
        </is>
      </c>
      <c r="J110" s="18" t="n">
        <v>1</v>
      </c>
      <c r="K110" s="4" t="n">
        <v>2355.35</v>
      </c>
      <c r="L110" t="inlineStr">
        <is>
          <t>documents</t>
        </is>
      </c>
      <c r="M110" s="19" t="inlineStr">
        <is>
          <t>6033972</t>
        </is>
      </c>
      <c r="N110" t="inlineStr">
        <is>
          <t>https://drive.google.com/file/d/1JNfV8XsMUpl0QxOG7Ao1qGRC8bJoJjPf/view?usp=drivesdk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PROCO</t>
        </is>
      </c>
      <c r="F111" t="inlineStr">
        <is>
          <t>manufacturing</t>
        </is>
      </c>
      <c r="G111" s="4" t="n">
        <v>5142.2</v>
      </c>
      <c r="H111" t="inlineStr">
        <is>
          <t>GBP</t>
        </is>
      </c>
      <c r="I111" t="inlineStr">
        <is>
          <t>GBP</t>
        </is>
      </c>
      <c r="J111" s="18" t="n">
        <v>1</v>
      </c>
      <c r="K111" s="4" t="n">
        <v>5142.2</v>
      </c>
      <c r="L111" t="inlineStr">
        <is>
          <t>documents</t>
        </is>
      </c>
      <c r="M111" s="19" t="inlineStr">
        <is>
          <t>6033972</t>
        </is>
      </c>
      <c r="N111" t="inlineStr">
        <is>
          <t>https://drive.google.com/file/d/1JNfV8XsMUpl0QxOG7Ao1qGRC8bJoJjPf/view?usp=drivesdk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REVER</t>
        </is>
      </c>
      <c r="F112" t="inlineStr">
        <is>
          <t>invoice</t>
        </is>
      </c>
      <c r="G112" s="4" t="n">
        <v>81.37</v>
      </c>
      <c r="H112" t="inlineStr">
        <is>
          <t>EUR</t>
        </is>
      </c>
      <c r="I112" t="inlineStr">
        <is>
          <t>GBP</t>
        </is>
      </c>
      <c r="J112" s="18" t="n">
        <v>0.86833</v>
      </c>
      <c r="K112" s="4" t="n">
        <v>70.66</v>
      </c>
      <c r="L112" t="inlineStr">
        <is>
          <t>documents</t>
        </is>
      </c>
      <c r="M112" s="19" t="inlineStr">
        <is>
          <t>RVR-17773</t>
        </is>
      </c>
      <c r="N112" t="inlineStr">
        <is>
          <t>https://drive.google.com/file/d/1E-ja8xtAToIkewPj62keRSqcrxMPdPhW/view?usp=drivesdk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REVER</t>
        </is>
      </c>
      <c r="F113" t="inlineStr">
        <is>
          <t>invoice</t>
        </is>
      </c>
      <c r="G113" s="4" t="n">
        <v>81.37</v>
      </c>
      <c r="H113" t="inlineStr">
        <is>
          <t>EUR</t>
        </is>
      </c>
      <c r="I113" t="inlineStr">
        <is>
          <t>GBP</t>
        </is>
      </c>
      <c r="J113" s="18" t="n">
        <v>0.86833</v>
      </c>
      <c r="K113" s="4" t="n">
        <v>70.66</v>
      </c>
      <c r="L113" t="inlineStr">
        <is>
          <t>documents</t>
        </is>
      </c>
      <c r="M113" s="19" t="inlineStr">
        <is>
          <t>RVR-18638</t>
        </is>
      </c>
      <c r="N113" t="inlineStr">
        <is>
          <t>https://drive.google.com/file/d/1pj6YfDTJzQyuObWQvmYAAc-P8wEb8HwW/view?usp=drivesdk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opex</t>
        </is>
      </c>
      <c r="D114" t="inlineStr">
        <is>
          <t>administration</t>
        </is>
      </c>
      <c r="E114" t="inlineStr">
        <is>
          <t>YOURACCOUNTSTAXES</t>
        </is>
      </c>
      <c r="F114" t="inlineStr">
        <is>
          <t>invoice</t>
        </is>
      </c>
      <c r="G114" s="4" t="n">
        <v>318</v>
      </c>
      <c r="H114" t="inlineStr">
        <is>
          <t>GBP</t>
        </is>
      </c>
      <c r="I114" t="inlineStr">
        <is>
          <t>GBP</t>
        </is>
      </c>
      <c r="J114" s="18" t="n">
        <v>1</v>
      </c>
      <c r="K114" s="4" t="n">
        <v>318</v>
      </c>
      <c r="L114" t="inlineStr">
        <is>
          <t>documents</t>
        </is>
      </c>
      <c r="M114" s="19" t="inlineStr">
        <is>
          <t>INV-0679</t>
        </is>
      </c>
      <c r="N114" t="inlineStr">
        <is>
          <t>https://drive.google.com/file/d/16A1SDk_rnxsIiyKKtVHTvRr2-aF69zlo/view?usp=drivesdk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administration</t>
        </is>
      </c>
      <c r="E115" t="inlineStr">
        <is>
          <t>YOURACCOUNTSTAXES</t>
        </is>
      </c>
      <c r="F115" t="inlineStr">
        <is>
          <t>invoice</t>
        </is>
      </c>
      <c r="G115" s="4" t="n">
        <v>26.5</v>
      </c>
      <c r="H115" t="inlineStr">
        <is>
          <t>GBP</t>
        </is>
      </c>
      <c r="I115" t="inlineStr">
        <is>
          <t>GBP</t>
        </is>
      </c>
      <c r="J115" s="18" t="n">
        <v>1</v>
      </c>
      <c r="K115" s="4" t="n">
        <v>26.5</v>
      </c>
      <c r="L115" t="inlineStr">
        <is>
          <t>documents</t>
        </is>
      </c>
      <c r="M115" s="19" t="inlineStr">
        <is>
          <t>INV-0679_PERIODIFICADA_3_12</t>
        </is>
      </c>
      <c r="N115" t="inlineStr">
        <is>
          <t>https://drive.google.com/file/d/1SwIai4YdtUV-rQd0AKSUEVkEfdlYRoPA/view?usp=drivesdk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administration</t>
        </is>
      </c>
      <c r="E116" t="inlineStr">
        <is>
          <t>YOURACCOUNTSTAXES</t>
        </is>
      </c>
      <c r="F116" t="inlineStr">
        <is>
          <t>invoice</t>
        </is>
      </c>
      <c r="G116" s="4" t="n">
        <v>660</v>
      </c>
      <c r="H116" t="inlineStr">
        <is>
          <t>GBP</t>
        </is>
      </c>
      <c r="I116" t="inlineStr">
        <is>
          <t>GBP</t>
        </is>
      </c>
      <c r="J116" s="18" t="n">
        <v>1</v>
      </c>
      <c r="K116" s="4" t="n">
        <v>660</v>
      </c>
      <c r="L116" t="inlineStr">
        <is>
          <t>documents</t>
        </is>
      </c>
      <c r="M116" s="19" t="inlineStr">
        <is>
          <t>INV-0681</t>
        </is>
      </c>
      <c r="N116" t="inlineStr">
        <is>
          <t>https://drive.google.com/file/d/1g-Prp72FPRTBMj-buYbz9LiYUROZ_W5z/view?usp=drivesdk</t>
        </is>
      </c>
    </row>
    <row r="117" ht="12" customHeight="1">
      <c r="A117" t="inlineStr">
        <is>
          <t>202603</t>
        </is>
      </c>
      <c r="B117" t="inlineStr">
        <is>
          <t>LTD</t>
        </is>
      </c>
      <c r="C117" t="inlineStr">
        <is>
          <t>opex</t>
        </is>
      </c>
      <c r="D117" t="inlineStr">
        <is>
          <t>administration</t>
        </is>
      </c>
      <c r="E117" t="inlineStr">
        <is>
          <t>YOURACCOUNTSTAXES</t>
        </is>
      </c>
      <c r="F117" t="inlineStr">
        <is>
          <t>invoice</t>
        </is>
      </c>
      <c r="G117" s="4" t="n">
        <v>55</v>
      </c>
      <c r="H117" t="inlineStr">
        <is>
          <t>GBP</t>
        </is>
      </c>
      <c r="I117" t="inlineStr">
        <is>
          <t>GBP</t>
        </is>
      </c>
      <c r="J117" s="18" t="n">
        <v>1</v>
      </c>
      <c r="K117" s="4" t="n">
        <v>55</v>
      </c>
      <c r="L117" t="inlineStr">
        <is>
          <t>documents</t>
        </is>
      </c>
      <c r="M117" s="19" t="inlineStr">
        <is>
          <t>INV-0681_PERIODIFICADA_2_12</t>
        </is>
      </c>
      <c r="N117" t="inlineStr">
        <is>
          <t>https://drive.google.com/file/d/1CFf2KHZd750hPLNp1Xj5DzzQwrKmlw9L/view?usp=drivesdk</t>
        </is>
      </c>
    </row>
    <row r="118" ht="12" customHeight="1">
      <c r="A118" t="inlineStr">
        <is>
          <t>202603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1244.04</v>
      </c>
      <c r="H118" t="inlineStr">
        <is>
          <t>GBP</t>
        </is>
      </c>
      <c r="I118" t="inlineStr">
        <is>
          <t>GBP</t>
        </is>
      </c>
      <c r="J118" s="18" t="n">
        <v>1</v>
      </c>
      <c r="K118" s="4" t="n">
        <v>1244.04</v>
      </c>
      <c r="L118" t="inlineStr">
        <is>
          <t>documents</t>
        </is>
      </c>
      <c r="M118" s="19" t="inlineStr">
        <is>
          <t>INV-0682</t>
        </is>
      </c>
      <c r="N118" t="inlineStr">
        <is>
          <t>https://drive.google.com/file/d/1UOaM_TbloubLFPsLoI7t-sLNfHjmGl_M/view?usp=drivesdk</t>
        </is>
      </c>
    </row>
    <row r="119" ht="12" customHeight="1">
      <c r="A119" t="inlineStr">
        <is>
          <t>202603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103.67</v>
      </c>
      <c r="H119" t="inlineStr">
        <is>
          <t>GBP</t>
        </is>
      </c>
      <c r="I119" t="inlineStr">
        <is>
          <t>GBP</t>
        </is>
      </c>
      <c r="J119" s="18" t="n">
        <v>1</v>
      </c>
      <c r="K119" s="4" t="n">
        <v>103.67</v>
      </c>
      <c r="L119" t="inlineStr">
        <is>
          <t>documents</t>
        </is>
      </c>
      <c r="M119" s="19" t="inlineStr">
        <is>
          <t>INV-0682_PERIODIFICADA_3_12</t>
        </is>
      </c>
      <c r="N119" t="inlineStr">
        <is>
          <t>https://drive.google.com/file/d/1LlEUQpBPSqkZ5BKsa4CYacg0DVARYbta/view?usp=drivesdk</t>
        </is>
      </c>
    </row>
    <row r="120" ht="12" customHeight="1">
      <c r="A120" t="inlineStr">
        <is>
          <t>202604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26.5</v>
      </c>
      <c r="H120" t="inlineStr">
        <is>
          <t>GBP</t>
        </is>
      </c>
      <c r="I120" t="inlineStr">
        <is>
          <t>GBP</t>
        </is>
      </c>
      <c r="J120" s="18" t="n">
        <v>1</v>
      </c>
      <c r="K120" s="4" t="n">
        <v>26.5</v>
      </c>
      <c r="L120" t="inlineStr">
        <is>
          <t>documents</t>
        </is>
      </c>
      <c r="M120" s="19" t="inlineStr">
        <is>
          <t>INV-0679_PERIODIFICADA_4_12</t>
        </is>
      </c>
      <c r="N120" t="inlineStr">
        <is>
          <t>https://drive.google.com/file/d/1gDlq6Zum-eIMUjbaI329tWP9UutsRoFn/view?usp=drivesdk</t>
        </is>
      </c>
    </row>
    <row r="121" ht="12" customHeight="1">
      <c r="A121" t="inlineStr">
        <is>
          <t>202604</t>
        </is>
      </c>
      <c r="B121" t="inlineStr">
        <is>
          <t>LTD</t>
        </is>
      </c>
      <c r="C121" t="inlineStr">
        <is>
          <t>opex</t>
        </is>
      </c>
      <c r="D121" t="inlineStr">
        <is>
          <t>administration</t>
        </is>
      </c>
      <c r="E121" t="inlineStr">
        <is>
          <t>YOURACCOUNTSTAXES</t>
        </is>
      </c>
      <c r="F121" t="inlineStr">
        <is>
          <t>invoice</t>
        </is>
      </c>
      <c r="G121" s="4" t="n">
        <v>55</v>
      </c>
      <c r="H121" t="inlineStr">
        <is>
          <t>GBP</t>
        </is>
      </c>
      <c r="I121" t="inlineStr">
        <is>
          <t>GBP</t>
        </is>
      </c>
      <c r="J121" s="18" t="n">
        <v>1</v>
      </c>
      <c r="K121" s="4" t="n">
        <v>55</v>
      </c>
      <c r="L121" t="inlineStr">
        <is>
          <t>documents</t>
        </is>
      </c>
      <c r="M121" s="19" t="inlineStr">
        <is>
          <t>INV-0681_PERIODIFICADA_3_12</t>
        </is>
      </c>
      <c r="N121" t="inlineStr">
        <is>
          <t>https://drive.google.com/file/d/1pNcZKxAtFRGUPPAFVD2p8ORXGSCcvxM8/view?usp=drivesdk</t>
        </is>
      </c>
    </row>
    <row r="122" ht="12" customHeight="1">
      <c r="A122" t="inlineStr">
        <is>
          <t>202604</t>
        </is>
      </c>
      <c r="B122" t="inlineStr">
        <is>
          <t>LTD</t>
        </is>
      </c>
      <c r="C122" t="inlineStr">
        <is>
          <t>opex</t>
        </is>
      </c>
      <c r="D122" t="inlineStr">
        <is>
          <t>administration</t>
        </is>
      </c>
      <c r="E122" t="inlineStr">
        <is>
          <t>YOURACCOUNTSTAXES</t>
        </is>
      </c>
      <c r="F122" t="inlineStr">
        <is>
          <t>invoice</t>
        </is>
      </c>
      <c r="G122" s="4" t="n">
        <v>103.67</v>
      </c>
      <c r="H122" t="inlineStr">
        <is>
          <t>GBP</t>
        </is>
      </c>
      <c r="I122" t="inlineStr">
        <is>
          <t>GBP</t>
        </is>
      </c>
      <c r="J122" s="18" t="n">
        <v>1</v>
      </c>
      <c r="K122" s="4" t="n">
        <v>103.67</v>
      </c>
      <c r="L122" t="inlineStr">
        <is>
          <t>documents</t>
        </is>
      </c>
      <c r="M122" s="19" t="inlineStr">
        <is>
          <t>INV-0682_PERIODIFICADA_4_12</t>
        </is>
      </c>
      <c r="N122" t="inlineStr">
        <is>
          <t>https://drive.google.com/file/d/1fWIKp9xwGFVs0EnOaVMSISVNLAoKF55J/view?usp=drivesdk</t>
        </is>
      </c>
    </row>
    <row r="123" ht="12" customHeight="1">
      <c r="A123" t="inlineStr">
        <is>
          <t>202605</t>
        </is>
      </c>
      <c r="B123" t="inlineStr">
        <is>
          <t>LTD</t>
        </is>
      </c>
      <c r="C123" t="inlineStr">
        <is>
          <t>opex</t>
        </is>
      </c>
      <c r="D123" t="inlineStr">
        <is>
          <t>administration</t>
        </is>
      </c>
      <c r="E123" t="inlineStr">
        <is>
          <t>YOURACCOUNTSTAXES</t>
        </is>
      </c>
      <c r="F123" t="inlineStr">
        <is>
          <t>invoice</t>
        </is>
      </c>
      <c r="G123" s="4" t="n">
        <v>26.5</v>
      </c>
      <c r="H123" t="inlineStr">
        <is>
          <t>GBP</t>
        </is>
      </c>
      <c r="I123" t="inlineStr">
        <is>
          <t>GBP</t>
        </is>
      </c>
      <c r="J123" s="18" t="n">
        <v>1</v>
      </c>
      <c r="K123" s="4" t="n">
        <v>26.5</v>
      </c>
      <c r="L123" t="inlineStr">
        <is>
          <t>documents</t>
        </is>
      </c>
      <c r="M123" s="19" t="inlineStr">
        <is>
          <t>INV-0679_PERIODIFICADA_5_12</t>
        </is>
      </c>
      <c r="N123" t="inlineStr">
        <is>
          <t>https://drive.google.com/file/d/1bP1XnXo2Vs8zIS0sVNRvq52xJQH7BSfD/view?usp=drivesdk</t>
        </is>
      </c>
    </row>
    <row r="124" ht="12" customHeight="1">
      <c r="A124" t="inlineStr">
        <is>
          <t>202605</t>
        </is>
      </c>
      <c r="B124" t="inlineStr">
        <is>
          <t>LTD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YOURACCOUNTSTAXES</t>
        </is>
      </c>
      <c r="F124" t="inlineStr">
        <is>
          <t>invoice</t>
        </is>
      </c>
      <c r="G124" s="4" t="n">
        <v>55</v>
      </c>
      <c r="H124" t="inlineStr">
        <is>
          <t>GBP</t>
        </is>
      </c>
      <c r="I124" t="inlineStr">
        <is>
          <t>GBP</t>
        </is>
      </c>
      <c r="J124" s="18" t="n">
        <v>1</v>
      </c>
      <c r="K124" s="4" t="n">
        <v>55</v>
      </c>
      <c r="L124" t="inlineStr">
        <is>
          <t>documents</t>
        </is>
      </c>
      <c r="M124" s="19" t="inlineStr">
        <is>
          <t>INV-0681_PERIODIFICADA_4_12</t>
        </is>
      </c>
      <c r="N124" t="inlineStr">
        <is>
          <t>https://drive.google.com/file/d/1ddnzOxZZgaXtVcRqNHeEt9LTz5s8C26J/view?usp=drivesdk</t>
        </is>
      </c>
    </row>
    <row r="125" ht="12" customHeight="1">
      <c r="A125" t="inlineStr">
        <is>
          <t>202605</t>
        </is>
      </c>
      <c r="B125" t="inlineStr">
        <is>
          <t>LTD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YOURACCOUNTSTAXES</t>
        </is>
      </c>
      <c r="F125" t="inlineStr">
        <is>
          <t>invoice</t>
        </is>
      </c>
      <c r="G125" s="4" t="n">
        <v>103.67</v>
      </c>
      <c r="H125" t="inlineStr">
        <is>
          <t>GBP</t>
        </is>
      </c>
      <c r="I125" t="inlineStr">
        <is>
          <t>GBP</t>
        </is>
      </c>
      <c r="J125" s="18" t="n">
        <v>1</v>
      </c>
      <c r="K125" s="4" t="n">
        <v>103.67</v>
      </c>
      <c r="L125" t="inlineStr">
        <is>
          <t>documents</t>
        </is>
      </c>
      <c r="M125" s="19" t="inlineStr">
        <is>
          <t>INV-0682_PERIODIFICADA_5_12</t>
        </is>
      </c>
      <c r="N125" t="inlineStr">
        <is>
          <t>https://drive.google.com/file/d/1Z-NJHduArecH7-687SOBbQfa8Ef1m52p/view?usp=drivesdk</t>
        </is>
      </c>
    </row>
    <row r="126" ht="12" customHeight="1">
      <c r="A126" t="inlineStr">
        <is>
          <t>202606</t>
        </is>
      </c>
      <c r="B126" t="inlineStr">
        <is>
          <t>LTD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YOURACCOUNTSTAXES</t>
        </is>
      </c>
      <c r="F126" t="inlineStr">
        <is>
          <t>invoice</t>
        </is>
      </c>
      <c r="G126" s="4" t="n">
        <v>26.5</v>
      </c>
      <c r="H126" t="inlineStr">
        <is>
          <t>GBP</t>
        </is>
      </c>
      <c r="I126" t="inlineStr">
        <is>
          <t>GBP</t>
        </is>
      </c>
      <c r="J126" s="18" t="n">
        <v>1</v>
      </c>
      <c r="K126" s="4" t="n">
        <v>26.5</v>
      </c>
      <c r="L126" t="inlineStr">
        <is>
          <t>documents</t>
        </is>
      </c>
      <c r="M126" s="19" t="inlineStr">
        <is>
          <t>INV-0679_PERIODIFICADA_6_12</t>
        </is>
      </c>
      <c r="N126" t="inlineStr">
        <is>
          <t>https://drive.google.com/file/d/1I6H1omawcw5Be01IubiDlz8RDBKB0kcd/view?usp=drivesdk</t>
        </is>
      </c>
    </row>
    <row r="127" ht="12" customHeight="1">
      <c r="A127" t="inlineStr">
        <is>
          <t>202606</t>
        </is>
      </c>
      <c r="B127" t="inlineStr">
        <is>
          <t>LTD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YOURACCOUNTSTAXES</t>
        </is>
      </c>
      <c r="F127" t="inlineStr">
        <is>
          <t>invoice</t>
        </is>
      </c>
      <c r="G127" s="4" t="n">
        <v>55</v>
      </c>
      <c r="H127" t="inlineStr">
        <is>
          <t>GBP</t>
        </is>
      </c>
      <c r="I127" t="inlineStr">
        <is>
          <t>GBP</t>
        </is>
      </c>
      <c r="J127" s="18" t="n">
        <v>1</v>
      </c>
      <c r="K127" s="4" t="n">
        <v>55</v>
      </c>
      <c r="L127" t="inlineStr">
        <is>
          <t>documents</t>
        </is>
      </c>
      <c r="M127" s="19" t="inlineStr">
        <is>
          <t>INV-0681_PERIODIFICADA_5_12</t>
        </is>
      </c>
      <c r="N127" t="inlineStr">
        <is>
          <t>https://drive.google.com/file/d/14VMCuf4u87NNWjcx9C3H2yysZN1jqyTf/view?usp=drivesdk</t>
        </is>
      </c>
    </row>
    <row r="128" ht="12" customHeight="1">
      <c r="A128" t="inlineStr">
        <is>
          <t>202606</t>
        </is>
      </c>
      <c r="B128" t="inlineStr">
        <is>
          <t>LTD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YOURACCOUNTSTAXES</t>
        </is>
      </c>
      <c r="F128" t="inlineStr">
        <is>
          <t>invoice</t>
        </is>
      </c>
      <c r="G128" s="4" t="n">
        <v>103.67</v>
      </c>
      <c r="H128" t="inlineStr">
        <is>
          <t>GBP</t>
        </is>
      </c>
      <c r="I128" t="inlineStr">
        <is>
          <t>GBP</t>
        </is>
      </c>
      <c r="J128" s="18" t="n">
        <v>1</v>
      </c>
      <c r="K128" s="4" t="n">
        <v>103.67</v>
      </c>
      <c r="L128" t="inlineStr">
        <is>
          <t>documents</t>
        </is>
      </c>
      <c r="M128" s="19" t="inlineStr">
        <is>
          <t>INV-0682_PERIODIFICADA_6_12</t>
        </is>
      </c>
      <c r="N128" t="inlineStr">
        <is>
          <t>https://drive.google.com/file/d/1gmWh5ZgXhifus_kfGZ-bL8_sLe8eUug3/view?usp=drivesdk</t>
        </is>
      </c>
    </row>
    <row r="129" ht="12" customHeight="1">
      <c r="A129" t="inlineStr">
        <is>
          <t>202607</t>
        </is>
      </c>
      <c r="B129" t="inlineStr">
        <is>
          <t>LTD</t>
        </is>
      </c>
      <c r="C129" t="inlineStr">
        <is>
          <t>opex</t>
        </is>
      </c>
      <c r="D129" t="inlineStr">
        <is>
          <t>administration</t>
        </is>
      </c>
      <c r="E129" t="inlineStr">
        <is>
          <t>YOURACCOUNTSTAXES</t>
        </is>
      </c>
      <c r="F129" t="inlineStr">
        <is>
          <t>invoice</t>
        </is>
      </c>
      <c r="G129" s="4" t="n">
        <v>26.5</v>
      </c>
      <c r="H129" t="inlineStr">
        <is>
          <t>GBP</t>
        </is>
      </c>
      <c r="I129" t="inlineStr">
        <is>
          <t>GBP</t>
        </is>
      </c>
      <c r="J129" s="18" t="n">
        <v>1</v>
      </c>
      <c r="K129" s="4" t="n">
        <v>26.5</v>
      </c>
      <c r="L129" t="inlineStr">
        <is>
          <t>documents</t>
        </is>
      </c>
      <c r="M129" s="19" t="inlineStr">
        <is>
          <t>INV-0679_PERIODIFICADA_7_12</t>
        </is>
      </c>
      <c r="N129" t="inlineStr">
        <is>
          <t>https://drive.google.com/file/d/17hLMBW75hT4b6Q8RWmnLCnkK6axE-wzU/view?usp=drivesdk</t>
        </is>
      </c>
    </row>
    <row r="130" ht="12" customHeight="1">
      <c r="A130" t="inlineStr">
        <is>
          <t>202607</t>
        </is>
      </c>
      <c r="B130" t="inlineStr">
        <is>
          <t>LTD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YOURACCOUNTSTAXES</t>
        </is>
      </c>
      <c r="F130" t="inlineStr">
        <is>
          <t>invoice</t>
        </is>
      </c>
      <c r="G130" s="4" t="n">
        <v>55</v>
      </c>
      <c r="H130" t="inlineStr">
        <is>
          <t>GBP</t>
        </is>
      </c>
      <c r="I130" t="inlineStr">
        <is>
          <t>GBP</t>
        </is>
      </c>
      <c r="J130" s="18" t="n">
        <v>1</v>
      </c>
      <c r="K130" s="4" t="n">
        <v>55</v>
      </c>
      <c r="L130" t="inlineStr">
        <is>
          <t>documents</t>
        </is>
      </c>
      <c r="M130" s="19" t="inlineStr">
        <is>
          <t>INV-0681_PERIODIFICADA_6_12</t>
        </is>
      </c>
      <c r="N130" t="inlineStr">
        <is>
          <t>https://drive.google.com/file/d/1-4m6d0UYjYO2RBrJjkiKAjW12aRalpOJ/view?usp=drivesdk</t>
        </is>
      </c>
    </row>
    <row r="131" ht="12" customHeight="1">
      <c r="A131" t="inlineStr">
        <is>
          <t>202607</t>
        </is>
      </c>
      <c r="B131" t="inlineStr">
        <is>
          <t>LTD</t>
        </is>
      </c>
      <c r="C131" t="inlineStr">
        <is>
          <t>opex</t>
        </is>
      </c>
      <c r="D131" t="inlineStr">
        <is>
          <t>administration</t>
        </is>
      </c>
      <c r="E131" t="inlineStr">
        <is>
          <t>YOURACCOUNTSTAXES</t>
        </is>
      </c>
      <c r="F131" t="inlineStr">
        <is>
          <t>invoice</t>
        </is>
      </c>
      <c r="G131" s="4" t="n">
        <v>103.67</v>
      </c>
      <c r="H131" t="inlineStr">
        <is>
          <t>GBP</t>
        </is>
      </c>
      <c r="I131" t="inlineStr">
        <is>
          <t>GBP</t>
        </is>
      </c>
      <c r="J131" s="18" t="n">
        <v>1</v>
      </c>
      <c r="K131" s="4" t="n">
        <v>103.67</v>
      </c>
      <c r="L131" t="inlineStr">
        <is>
          <t>documents</t>
        </is>
      </c>
      <c r="M131" s="19" t="inlineStr">
        <is>
          <t>INV-0682_PERIODIFICADA_7_12</t>
        </is>
      </c>
      <c r="N131" t="inlineStr">
        <is>
          <t>https://drive.google.com/file/d/1c_luteIVUmgrg6i_GlfSo_qh5drW456A/view?usp=drivesdk</t>
        </is>
      </c>
    </row>
    <row r="132" ht="12" customHeight="1">
      <c r="A132" t="inlineStr">
        <is>
          <t>202608</t>
        </is>
      </c>
      <c r="B132" t="inlineStr">
        <is>
          <t>LTD</t>
        </is>
      </c>
      <c r="C132" t="inlineStr">
        <is>
          <t>opex</t>
        </is>
      </c>
      <c r="D132" t="inlineStr">
        <is>
          <t>administration</t>
        </is>
      </c>
      <c r="E132" t="inlineStr">
        <is>
          <t>YOURACCOUNTSTAXES</t>
        </is>
      </c>
      <c r="F132" t="inlineStr">
        <is>
          <t>invoice</t>
        </is>
      </c>
      <c r="G132" s="4" t="n">
        <v>26.5</v>
      </c>
      <c r="H132" t="inlineStr">
        <is>
          <t>GBP</t>
        </is>
      </c>
      <c r="I132" t="inlineStr">
        <is>
          <t>GBP</t>
        </is>
      </c>
      <c r="J132" s="18" t="n">
        <v>1</v>
      </c>
      <c r="K132" s="4" t="n">
        <v>26.5</v>
      </c>
      <c r="L132" t="inlineStr">
        <is>
          <t>documents</t>
        </is>
      </c>
      <c r="M132" s="19" t="inlineStr">
        <is>
          <t>INV-0679_PERIODIFICADA_8_12</t>
        </is>
      </c>
      <c r="N132" t="inlineStr">
        <is>
          <t>https://drive.google.com/file/d/11RmOMn_ZgHdnziLzDS8hsaK7ZIkvkgTY/view?usp=drivesdk</t>
        </is>
      </c>
    </row>
    <row r="133" ht="12" customHeight="1">
      <c r="A133" t="inlineStr">
        <is>
          <t>202608</t>
        </is>
      </c>
      <c r="B133" t="inlineStr">
        <is>
          <t>LTD</t>
        </is>
      </c>
      <c r="C133" t="inlineStr">
        <is>
          <t>opex</t>
        </is>
      </c>
      <c r="D133" t="inlineStr">
        <is>
          <t>administration</t>
        </is>
      </c>
      <c r="E133" t="inlineStr">
        <is>
          <t>YOURACCOUNTSTAXES</t>
        </is>
      </c>
      <c r="F133" t="inlineStr">
        <is>
          <t>invoice</t>
        </is>
      </c>
      <c r="G133" s="4" t="n">
        <v>55</v>
      </c>
      <c r="H133" t="inlineStr">
        <is>
          <t>GBP</t>
        </is>
      </c>
      <c r="I133" t="inlineStr">
        <is>
          <t>GBP</t>
        </is>
      </c>
      <c r="J133" s="18" t="n">
        <v>1</v>
      </c>
      <c r="K133" s="4" t="n">
        <v>55</v>
      </c>
      <c r="L133" t="inlineStr">
        <is>
          <t>documents</t>
        </is>
      </c>
      <c r="M133" s="19" t="inlineStr">
        <is>
          <t>INV-0681_PERIODIFICADA_7_12</t>
        </is>
      </c>
      <c r="N133" t="inlineStr">
        <is>
          <t>https://drive.google.com/file/d/11RGpKkEMdK77095ybWBCzfeU7QXtAazR/view?usp=drivesdk</t>
        </is>
      </c>
    </row>
    <row r="134" ht="12" customHeight="1">
      <c r="A134" t="inlineStr">
        <is>
          <t>202608</t>
        </is>
      </c>
      <c r="B134" t="inlineStr">
        <is>
          <t>LTD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YOURACCOUNTSTAXES</t>
        </is>
      </c>
      <c r="F134" t="inlineStr">
        <is>
          <t>invoice</t>
        </is>
      </c>
      <c r="G134" s="4" t="n">
        <v>103.67</v>
      </c>
      <c r="H134" t="inlineStr">
        <is>
          <t>GBP</t>
        </is>
      </c>
      <c r="I134" t="inlineStr">
        <is>
          <t>GBP</t>
        </is>
      </c>
      <c r="J134" s="18" t="n">
        <v>1</v>
      </c>
      <c r="K134" s="4" t="n">
        <v>103.67</v>
      </c>
      <c r="L134" t="inlineStr">
        <is>
          <t>documents</t>
        </is>
      </c>
      <c r="M134" s="19" t="inlineStr">
        <is>
          <t>INV-0682_PERIODIFICADA_8_12</t>
        </is>
      </c>
      <c r="N134" t="inlineStr">
        <is>
          <t>https://drive.google.com/file/d/1YItJo27rxIk2KucnIbPWCgV-kg6_TIFw/view?usp=drivesdk</t>
        </is>
      </c>
    </row>
    <row r="135" ht="12" customHeight="1">
      <c r="A135" t="inlineStr">
        <is>
          <t>202609</t>
        </is>
      </c>
      <c r="B135" t="inlineStr">
        <is>
          <t>LTD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YOURACCOUNTSTAXES</t>
        </is>
      </c>
      <c r="F135" t="inlineStr">
        <is>
          <t>invoice</t>
        </is>
      </c>
      <c r="G135" s="4" t="n">
        <v>26.5</v>
      </c>
      <c r="H135" t="inlineStr">
        <is>
          <t>GBP</t>
        </is>
      </c>
      <c r="I135" t="inlineStr">
        <is>
          <t>GBP</t>
        </is>
      </c>
      <c r="J135" s="18" t="n">
        <v>1</v>
      </c>
      <c r="K135" s="4" t="n">
        <v>26.5</v>
      </c>
      <c r="L135" t="inlineStr">
        <is>
          <t>documents</t>
        </is>
      </c>
      <c r="M135" s="19" t="inlineStr">
        <is>
          <t>INV-0679_PERIODIFICADA_9_12</t>
        </is>
      </c>
      <c r="N135" t="inlineStr">
        <is>
          <t>https://drive.google.com/file/d/1TiRvkJ6K7ctWCKH70UZtwyVtiBFJcZS3/view?usp=drivesdk</t>
        </is>
      </c>
    </row>
    <row r="136" ht="12" customHeight="1">
      <c r="A136" t="inlineStr">
        <is>
          <t>202609</t>
        </is>
      </c>
      <c r="B136" t="inlineStr">
        <is>
          <t>LTD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YOURACCOUNTSTAXES</t>
        </is>
      </c>
      <c r="F136" t="inlineStr">
        <is>
          <t>invoice</t>
        </is>
      </c>
      <c r="G136" s="4" t="n">
        <v>55</v>
      </c>
      <c r="H136" t="inlineStr">
        <is>
          <t>GBP</t>
        </is>
      </c>
      <c r="I136" t="inlineStr">
        <is>
          <t>GBP</t>
        </is>
      </c>
      <c r="J136" s="18" t="n">
        <v>1</v>
      </c>
      <c r="K136" s="4" t="n">
        <v>55</v>
      </c>
      <c r="L136" t="inlineStr">
        <is>
          <t>documents</t>
        </is>
      </c>
      <c r="M136" s="19" t="inlineStr">
        <is>
          <t>INV-0681_PERIODIFICADA_8_12</t>
        </is>
      </c>
      <c r="N136" t="inlineStr">
        <is>
          <t>https://drive.google.com/file/d/1TCM1PAyZN1h600czUy8h9Vl6JYkcuBnA/view?usp=drivesdk</t>
        </is>
      </c>
    </row>
    <row r="137" ht="12" customHeight="1">
      <c r="A137" t="inlineStr">
        <is>
          <t>202609</t>
        </is>
      </c>
      <c r="B137" t="inlineStr">
        <is>
          <t>LTD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YOURACCOUNTSTAXES</t>
        </is>
      </c>
      <c r="F137" t="inlineStr">
        <is>
          <t>invoice</t>
        </is>
      </c>
      <c r="G137" s="4" t="n">
        <v>103.67</v>
      </c>
      <c r="H137" t="inlineStr">
        <is>
          <t>GBP</t>
        </is>
      </c>
      <c r="I137" t="inlineStr">
        <is>
          <t>GBP</t>
        </is>
      </c>
      <c r="J137" s="18" t="n">
        <v>1</v>
      </c>
      <c r="K137" s="4" t="n">
        <v>103.67</v>
      </c>
      <c r="L137" t="inlineStr">
        <is>
          <t>documents</t>
        </is>
      </c>
      <c r="M137" s="19" t="inlineStr">
        <is>
          <t>INV-0682_PERIODIFICADA_9_12</t>
        </is>
      </c>
      <c r="N137" t="inlineStr">
        <is>
          <t>https://drive.google.com/file/d/1j8eIoueeiDvnTZMGmyiF-LMtx0IPr9pM/view?usp=drivesdk</t>
        </is>
      </c>
    </row>
    <row r="138" ht="12" customHeight="1">
      <c r="A138" t="inlineStr">
        <is>
          <t>202610</t>
        </is>
      </c>
      <c r="B138" t="inlineStr">
        <is>
          <t>LTD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YOURACCOUNTSTAXES</t>
        </is>
      </c>
      <c r="F138" t="inlineStr">
        <is>
          <t>invoice</t>
        </is>
      </c>
      <c r="G138" s="4" t="n">
        <v>26.5</v>
      </c>
      <c r="H138" t="inlineStr">
        <is>
          <t>GBP</t>
        </is>
      </c>
      <c r="I138" t="inlineStr">
        <is>
          <t>GBP</t>
        </is>
      </c>
      <c r="J138" s="18" t="n">
        <v>1</v>
      </c>
      <c r="K138" s="4" t="n">
        <v>26.5</v>
      </c>
      <c r="L138" t="inlineStr">
        <is>
          <t>documents</t>
        </is>
      </c>
      <c r="M138" s="19" t="inlineStr">
        <is>
          <t>INV-0679_PERIODIFICADA_10_12</t>
        </is>
      </c>
      <c r="N138" t="inlineStr">
        <is>
          <t>https://drive.google.com/file/d/1y9fclbPoT1LX8B-Ccm6UQFRfFv51MzCl/view?usp=drivesdk</t>
        </is>
      </c>
    </row>
    <row r="139" ht="12" customHeight="1">
      <c r="A139" t="inlineStr">
        <is>
          <t>202610</t>
        </is>
      </c>
      <c r="B139" t="inlineStr">
        <is>
          <t>LTD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YOURACCOUNTSTAXES</t>
        </is>
      </c>
      <c r="F139" t="inlineStr">
        <is>
          <t>invoice</t>
        </is>
      </c>
      <c r="G139" s="4" t="n">
        <v>55</v>
      </c>
      <c r="H139" t="inlineStr">
        <is>
          <t>GBP</t>
        </is>
      </c>
      <c r="I139" t="inlineStr">
        <is>
          <t>GBP</t>
        </is>
      </c>
      <c r="J139" s="18" t="n">
        <v>1</v>
      </c>
      <c r="K139" s="4" t="n">
        <v>55</v>
      </c>
      <c r="L139" t="inlineStr">
        <is>
          <t>documents</t>
        </is>
      </c>
      <c r="M139" s="19" t="inlineStr">
        <is>
          <t>INV-0681_PERIODIFICADA_9_12</t>
        </is>
      </c>
      <c r="N139" t="inlineStr">
        <is>
          <t>https://drive.google.com/file/d/1F_ojYavt0rOVF-WoA4DILVHACGqB_Xhn/view?usp=drivesdk</t>
        </is>
      </c>
    </row>
    <row r="140" ht="12" customHeight="1">
      <c r="A140" t="inlineStr">
        <is>
          <t>202610</t>
        </is>
      </c>
      <c r="B140" t="inlineStr">
        <is>
          <t>LTD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YOURACCOUNTSTAXES</t>
        </is>
      </c>
      <c r="F140" t="inlineStr">
        <is>
          <t>invoice</t>
        </is>
      </c>
      <c r="G140" s="4" t="n">
        <v>103.67</v>
      </c>
      <c r="H140" t="inlineStr">
        <is>
          <t>GBP</t>
        </is>
      </c>
      <c r="I140" t="inlineStr">
        <is>
          <t>GBP</t>
        </is>
      </c>
      <c r="J140" s="18" t="n">
        <v>1</v>
      </c>
      <c r="K140" s="4" t="n">
        <v>103.67</v>
      </c>
      <c r="L140" t="inlineStr">
        <is>
          <t>documents</t>
        </is>
      </c>
      <c r="M140" s="19" t="inlineStr">
        <is>
          <t>INV-0682_PERIODIFICADA_10_12</t>
        </is>
      </c>
      <c r="N140" t="inlineStr">
        <is>
          <t>https://drive.google.com/file/d/1AB8Xr6NvMGSBv1SkJcKECSxweSG6nBi-/view?usp=drivesdk</t>
        </is>
      </c>
    </row>
    <row r="141" ht="12" customHeight="1">
      <c r="A141" t="inlineStr">
        <is>
          <t>202611</t>
        </is>
      </c>
      <c r="B141" t="inlineStr">
        <is>
          <t>LTD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YOURACCOUNTSTAXES</t>
        </is>
      </c>
      <c r="F141" t="inlineStr">
        <is>
          <t>invoice</t>
        </is>
      </c>
      <c r="G141" s="4" t="n">
        <v>26.5</v>
      </c>
      <c r="H141" t="inlineStr">
        <is>
          <t>GBP</t>
        </is>
      </c>
      <c r="I141" t="inlineStr">
        <is>
          <t>GBP</t>
        </is>
      </c>
      <c r="J141" s="18" t="n">
        <v>1</v>
      </c>
      <c r="K141" s="4" t="n">
        <v>26.5</v>
      </c>
      <c r="L141" t="inlineStr">
        <is>
          <t>documents</t>
        </is>
      </c>
      <c r="M141" s="19" t="inlineStr">
        <is>
          <t>INV-0679_PERIODIFICADA_11_12</t>
        </is>
      </c>
      <c r="N141" t="inlineStr">
        <is>
          <t>https://drive.google.com/file/d/1L3a_vME8SLzq0VCnSYsQFsMpA3aEhGLE/view?usp=drivesdk</t>
        </is>
      </c>
    </row>
    <row r="142" ht="12" customHeight="1">
      <c r="A142" t="inlineStr">
        <is>
          <t>202611</t>
        </is>
      </c>
      <c r="B142" t="inlineStr">
        <is>
          <t>LTD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YOURACCOUNTSTAXES</t>
        </is>
      </c>
      <c r="F142" t="inlineStr">
        <is>
          <t>invoice</t>
        </is>
      </c>
      <c r="G142" s="4" t="n">
        <v>55</v>
      </c>
      <c r="H142" t="inlineStr">
        <is>
          <t>GBP</t>
        </is>
      </c>
      <c r="I142" t="inlineStr">
        <is>
          <t>GBP</t>
        </is>
      </c>
      <c r="J142" s="18" t="n">
        <v>1</v>
      </c>
      <c r="K142" s="4" t="n">
        <v>55</v>
      </c>
      <c r="L142" t="inlineStr">
        <is>
          <t>documents</t>
        </is>
      </c>
      <c r="M142" s="19" t="inlineStr">
        <is>
          <t>INV-0681_PERIODIFICADA_10_12</t>
        </is>
      </c>
      <c r="N142" t="inlineStr">
        <is>
          <t>https://drive.google.com/file/d/1IG_3iLDTE3hoYuVx4M46MqklrzCKpRhc/view?usp=drivesdk</t>
        </is>
      </c>
    </row>
    <row r="143" ht="12" customHeight="1">
      <c r="A143" t="inlineStr">
        <is>
          <t>202611</t>
        </is>
      </c>
      <c r="B143" t="inlineStr">
        <is>
          <t>LTD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YOURACCOUNTSTAXES</t>
        </is>
      </c>
      <c r="F143" t="inlineStr">
        <is>
          <t>invoice</t>
        </is>
      </c>
      <c r="G143" s="4" t="n">
        <v>103.67</v>
      </c>
      <c r="H143" t="inlineStr">
        <is>
          <t>GBP</t>
        </is>
      </c>
      <c r="I143" t="inlineStr">
        <is>
          <t>GBP</t>
        </is>
      </c>
      <c r="J143" s="18" t="n">
        <v>1</v>
      </c>
      <c r="K143" s="4" t="n">
        <v>103.67</v>
      </c>
      <c r="L143" t="inlineStr">
        <is>
          <t>documents</t>
        </is>
      </c>
      <c r="M143" s="19" t="inlineStr">
        <is>
          <t>INV-0682_PERIODIFICADA_11_12</t>
        </is>
      </c>
      <c r="N143" t="inlineStr">
        <is>
          <t>https://drive.google.com/file/d/11zNwha_ZMtf4Wq3wVF4QzJj4bweWWdGI/view?usp=drivesdk</t>
        </is>
      </c>
    </row>
    <row r="144" ht="12" customHeight="1">
      <c r="A144" t="inlineStr">
        <is>
          <t>202612</t>
        </is>
      </c>
      <c r="B144" t="inlineStr">
        <is>
          <t>LTD</t>
        </is>
      </c>
      <c r="C144" t="inlineStr">
        <is>
          <t>opex</t>
        </is>
      </c>
      <c r="D144" t="inlineStr">
        <is>
          <t>administration</t>
        </is>
      </c>
      <c r="E144" t="inlineStr">
        <is>
          <t>YOURACCOUNTSTAXES</t>
        </is>
      </c>
      <c r="F144" t="inlineStr">
        <is>
          <t>invoice</t>
        </is>
      </c>
      <c r="G144" s="4" t="n">
        <v>26.5</v>
      </c>
      <c r="H144" t="inlineStr">
        <is>
          <t>GBP</t>
        </is>
      </c>
      <c r="I144" t="inlineStr">
        <is>
          <t>GBP</t>
        </is>
      </c>
      <c r="J144" s="18" t="n">
        <v>1</v>
      </c>
      <c r="K144" s="4" t="n">
        <v>26.5</v>
      </c>
      <c r="L144" t="inlineStr">
        <is>
          <t>documents</t>
        </is>
      </c>
      <c r="M144" s="19" t="inlineStr">
        <is>
          <t>INV-0679_PERIODIFICADA_12_12</t>
        </is>
      </c>
      <c r="N144" t="inlineStr">
        <is>
          <t>https://drive.google.com/file/d/1ynEcwwwFHRw_j4UIzVQllup-ekY2huWO/view?usp=drivesdk</t>
        </is>
      </c>
    </row>
    <row r="145" ht="12" customHeight="1">
      <c r="A145" t="inlineStr">
        <is>
          <t>202612</t>
        </is>
      </c>
      <c r="B145" t="inlineStr">
        <is>
          <t>LTD</t>
        </is>
      </c>
      <c r="C145" t="inlineStr">
        <is>
          <t>opex</t>
        </is>
      </c>
      <c r="D145" t="inlineStr">
        <is>
          <t>administration</t>
        </is>
      </c>
      <c r="E145" t="inlineStr">
        <is>
          <t>YOURACCOUNTSTAXES</t>
        </is>
      </c>
      <c r="F145" t="inlineStr">
        <is>
          <t>invoice</t>
        </is>
      </c>
      <c r="G145" s="4" t="n">
        <v>55</v>
      </c>
      <c r="H145" t="inlineStr">
        <is>
          <t>GBP</t>
        </is>
      </c>
      <c r="I145" t="inlineStr">
        <is>
          <t>GBP</t>
        </is>
      </c>
      <c r="J145" s="18" t="n">
        <v>1</v>
      </c>
      <c r="K145" s="4" t="n">
        <v>55</v>
      </c>
      <c r="L145" t="inlineStr">
        <is>
          <t>documents</t>
        </is>
      </c>
      <c r="M145" s="19" t="inlineStr">
        <is>
          <t>INV-0681_PERIODIFICADA_11_12</t>
        </is>
      </c>
      <c r="N145" t="inlineStr">
        <is>
          <t>https://drive.google.com/file/d/1RskEVbYtAKWbS4SEumveN8YHrWbIys-_/view?usp=drivesdk</t>
        </is>
      </c>
    </row>
    <row r="146" ht="12" customHeight="1">
      <c r="A146" t="inlineStr">
        <is>
          <t>202612</t>
        </is>
      </c>
      <c r="B146" t="inlineStr">
        <is>
          <t>LTD</t>
        </is>
      </c>
      <c r="C146" t="inlineStr">
        <is>
          <t>opex</t>
        </is>
      </c>
      <c r="D146" t="inlineStr">
        <is>
          <t>administration</t>
        </is>
      </c>
      <c r="E146" t="inlineStr">
        <is>
          <t>YOURACCOUNTSTAXES</t>
        </is>
      </c>
      <c r="F146" t="inlineStr">
        <is>
          <t>invoice</t>
        </is>
      </c>
      <c r="G146" s="4" t="n">
        <v>103.67</v>
      </c>
      <c r="H146" t="inlineStr">
        <is>
          <t>GBP</t>
        </is>
      </c>
      <c r="I146" t="inlineStr">
        <is>
          <t>GBP</t>
        </is>
      </c>
      <c r="J146" s="18" t="n">
        <v>1</v>
      </c>
      <c r="K146" s="4" t="n">
        <v>103.67</v>
      </c>
      <c r="L146" t="inlineStr">
        <is>
          <t>documents</t>
        </is>
      </c>
      <c r="M146" s="19" t="inlineStr">
        <is>
          <t>INV-0682_PERIODIFICADA_12_12</t>
        </is>
      </c>
      <c r="N146" t="inlineStr">
        <is>
          <t>https://drive.google.com/file/d/1vPskc5Qm4-Coe1JxTlzp2VdJWX8WiKRm/view?usp=drivesdk</t>
        </is>
      </c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18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18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18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20.55</v>
      </c>
      <c r="E6" t="inlineStr">
        <is>
          <t>GBP</t>
        </is>
      </c>
      <c r="F6" t="inlineStr">
        <is>
          <t>GBP</t>
        </is>
      </c>
      <c r="G6" s="18" t="n">
        <v>1</v>
      </c>
      <c r="H6" s="4" t="n">
        <v>20.55</v>
      </c>
      <c r="I6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18" t="n">
        <v>1</v>
      </c>
      <c r="F3" s="18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18" t="n">
        <v>1.1919</v>
      </c>
      <c r="F5" s="18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18" t="n">
        <v>1</v>
      </c>
      <c r="F6" s="18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18" t="n">
        <v>1</v>
      </c>
      <c r="F7" s="18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18" t="n">
        <v>1.1805</v>
      </c>
      <c r="F8" s="18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18" t="n">
        <v>1</v>
      </c>
      <c r="F9" s="18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18" t="n">
        <v>1</v>
      </c>
      <c r="F10" s="18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18" t="n">
        <v>1.1498</v>
      </c>
      <c r="F11" s="18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GBP</t>
        </is>
      </c>
      <c r="D12" t="inlineStr">
        <is>
          <t>GBP</t>
        </is>
      </c>
      <c r="E12" s="18" t="n">
        <v>1</v>
      </c>
      <c r="F12" s="18" t="n">
        <v>1</v>
      </c>
      <c r="G12" t="inlineStr">
        <is>
          <t>identity</t>
        </is>
      </c>
    </row>
    <row r="13" ht="12" customHeight="1">
      <c r="A13" t="inlineStr">
        <is>
          <t>202605</t>
        </is>
      </c>
      <c r="B13" t="inlineStr">
        <is>
          <t>2026-05-01</t>
        </is>
      </c>
      <c r="C13" t="inlineStr">
        <is>
          <t>GBP</t>
        </is>
      </c>
      <c r="D13" t="inlineStr">
        <is>
          <t>GBP</t>
        </is>
      </c>
      <c r="E13" s="18" t="n">
        <v>1</v>
      </c>
      <c r="F13" s="18" t="n">
        <v>1</v>
      </c>
      <c r="G13" t="inlineStr">
        <is>
          <t>identity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GBP</t>
        </is>
      </c>
      <c r="D14" t="inlineStr">
        <is>
          <t>GBP</t>
        </is>
      </c>
      <c r="E14" s="18" t="n">
        <v>1</v>
      </c>
      <c r="F14" s="18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GBP</t>
        </is>
      </c>
      <c r="D15" t="inlineStr">
        <is>
          <t>GBP</t>
        </is>
      </c>
      <c r="E15" s="18" t="n">
        <v>1</v>
      </c>
      <c r="F15" s="18" t="n">
        <v>1</v>
      </c>
      <c r="G15" t="inlineStr">
        <is>
          <t>identity</t>
        </is>
      </c>
    </row>
    <row r="16" ht="12" customHeight="1">
      <c r="A16" t="inlineStr">
        <is>
          <t>202608</t>
        </is>
      </c>
      <c r="B16" t="inlineStr">
        <is>
          <t>2026-08-01</t>
        </is>
      </c>
      <c r="C16" t="inlineStr">
        <is>
          <t>GBP</t>
        </is>
      </c>
      <c r="D16" t="inlineStr">
        <is>
          <t>GBP</t>
        </is>
      </c>
      <c r="E16" s="18" t="n">
        <v>1</v>
      </c>
      <c r="F16" s="18" t="n">
        <v>1</v>
      </c>
      <c r="G16" t="inlineStr">
        <is>
          <t>identity</t>
        </is>
      </c>
    </row>
    <row r="17" ht="12" customHeight="1">
      <c r="A17" t="inlineStr">
        <is>
          <t>202609</t>
        </is>
      </c>
      <c r="B17" t="inlineStr">
        <is>
          <t>2026-09-01</t>
        </is>
      </c>
      <c r="C17" t="inlineStr">
        <is>
          <t>GBP</t>
        </is>
      </c>
      <c r="D17" t="inlineStr">
        <is>
          <t>GBP</t>
        </is>
      </c>
      <c r="E17" s="18" t="n">
        <v>1</v>
      </c>
      <c r="F17" s="18" t="n">
        <v>1</v>
      </c>
      <c r="G17" t="inlineStr">
        <is>
          <t>identity</t>
        </is>
      </c>
    </row>
    <row r="18" ht="12" customHeight="1">
      <c r="A18" t="inlineStr">
        <is>
          <t>202610</t>
        </is>
      </c>
      <c r="B18" t="inlineStr">
        <is>
          <t>2026-10-01</t>
        </is>
      </c>
      <c r="C18" t="inlineStr">
        <is>
          <t>GBP</t>
        </is>
      </c>
      <c r="D18" t="inlineStr">
        <is>
          <t>GBP</t>
        </is>
      </c>
      <c r="E18" s="18" t="n">
        <v>1</v>
      </c>
      <c r="F18" s="18" t="n">
        <v>1</v>
      </c>
      <c r="G18" t="inlineStr">
        <is>
          <t>identity</t>
        </is>
      </c>
    </row>
    <row r="19" ht="12" customHeight="1">
      <c r="A19" t="inlineStr">
        <is>
          <t>202611</t>
        </is>
      </c>
      <c r="B19" t="inlineStr">
        <is>
          <t>2026-11-01</t>
        </is>
      </c>
      <c r="C19" t="inlineStr">
        <is>
          <t>GBP</t>
        </is>
      </c>
      <c r="D19" t="inlineStr">
        <is>
          <t>GBP</t>
        </is>
      </c>
      <c r="E19" s="18" t="n">
        <v>1</v>
      </c>
      <c r="F19" s="18" t="n">
        <v>1</v>
      </c>
      <c r="G19" t="inlineStr">
        <is>
          <t>identity</t>
        </is>
      </c>
    </row>
    <row r="20" ht="12" customHeight="1">
      <c r="A20" t="inlineStr">
        <is>
          <t>202612</t>
        </is>
      </c>
      <c r="B20" t="inlineStr">
        <is>
          <t>2026-12-01</t>
        </is>
      </c>
      <c r="C20" t="inlineStr">
        <is>
          <t>GBP</t>
        </is>
      </c>
      <c r="D20" t="inlineStr">
        <is>
          <t>GBP</t>
        </is>
      </c>
      <c r="E20" s="18" t="n">
        <v>1</v>
      </c>
      <c r="F20" s="18" t="n">
        <v>1</v>
      </c>
      <c r="G20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5" t="n"/>
      <c r="B8" s="9" t="inlineStr">
        <is>
          <t>Otros ingresos</t>
        </is>
      </c>
      <c r="C8" s="25" t="n"/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/>
    </row>
    <row r="9" ht="12" customHeight="1"/>
    <row r="10" ht="12" customHeight="1">
      <c r="A10" s="21" t="inlineStr">
        <is>
          <t>Expenses</t>
        </is>
      </c>
      <c r="B10" s="22" t="n"/>
      <c r="C10" s="22" t="n"/>
      <c r="D10" s="22" t="n">
        <v>30</v>
      </c>
      <c r="E10" s="22" t="n">
        <v>36</v>
      </c>
      <c r="F10" s="22" t="n">
        <v>54</v>
      </c>
      <c r="G10" s="22" t="n">
        <v>4</v>
      </c>
      <c r="H10" s="22" t="n">
        <v>3</v>
      </c>
      <c r="I10" s="22" t="n">
        <v>3</v>
      </c>
      <c r="J10" s="22" t="n">
        <v>3</v>
      </c>
      <c r="K10" s="22" t="n">
        <v>3</v>
      </c>
      <c r="L10" s="22" t="n">
        <v>3</v>
      </c>
      <c r="M10" s="22" t="n">
        <v>3</v>
      </c>
      <c r="N10" s="22" t="n">
        <v>3</v>
      </c>
      <c r="O10" s="22" t="n">
        <v>3</v>
      </c>
      <c r="P10" s="22" t="n">
        <v>148</v>
      </c>
      <c r="Q10" s="22" t="n"/>
    </row>
    <row r="11" ht="12" customHeight="1">
      <c r="A11" s="23" t="n"/>
      <c r="B11" s="24" t="inlineStr">
        <is>
          <t>COGS</t>
        </is>
      </c>
      <c r="C11" s="23" t="n"/>
      <c r="D11" s="23" t="n">
        <v>27</v>
      </c>
      <c r="E11" s="23" t="n">
        <v>32</v>
      </c>
      <c r="F11" s="23" t="n">
        <v>46</v>
      </c>
      <c r="G11" s="23" t="n">
        <v>1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106</v>
      </c>
      <c r="Q11" s="23" t="n"/>
    </row>
    <row r="12" ht="12" customHeight="1">
      <c r="A12" s="25" t="n"/>
      <c r="B12" s="25" t="n"/>
      <c r="C12" s="9" t="inlineStr">
        <is>
          <t>Manufacturing</t>
        </is>
      </c>
      <c r="D12" s="25" t="n">
        <v>25</v>
      </c>
      <c r="E12" s="25" t="n">
        <v>30</v>
      </c>
      <c r="F12" s="25" t="n">
        <v>43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98</v>
      </c>
      <c r="Q12" s="25" t="n"/>
    </row>
    <row r="13" ht="12" customHeight="1">
      <c r="C13" t="inlineStr">
        <is>
          <t>ARTLINK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 ht="12" customHeight="1">
      <c r="C14" t="inlineStr">
        <is>
          <t>JONDO</t>
        </is>
      </c>
      <c r="D14" t="n">
        <v>24</v>
      </c>
      <c r="E14" t="n">
        <v>29</v>
      </c>
      <c r="F14" t="n">
        <v>42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95</v>
      </c>
    </row>
    <row r="15" ht="12" customHeight="1">
      <c r="C15" t="inlineStr">
        <is>
          <t>PROCO</t>
        </is>
      </c>
      <c r="D15" t="n">
        <v>1</v>
      </c>
      <c r="E15" t="n">
        <v>1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</row>
    <row r="16" ht="12" customHeight="1">
      <c r="A16" s="25" t="n"/>
      <c r="B16" s="25" t="n"/>
      <c r="C16" s="9" t="inlineStr">
        <is>
          <t>Logistics</t>
        </is>
      </c>
      <c r="D16" s="25" t="n">
        <v>1</v>
      </c>
      <c r="E16" s="25" t="n">
        <v>1</v>
      </c>
      <c r="F16" s="25" t="n">
        <v>2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4</v>
      </c>
      <c r="Q16" s="25" t="n"/>
    </row>
    <row r="17" ht="12" customHeight="1">
      <c r="C17" t="inlineStr">
        <is>
          <t>PROCO</t>
        </is>
      </c>
      <c r="D17" t="n">
        <v>1</v>
      </c>
      <c r="E17" t="n">
        <v>1</v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</row>
    <row r="18" ht="12" customHeight="1">
      <c r="C18" t="inlineStr">
        <is>
          <t>PORTCLEARANCE</t>
        </is>
      </c>
      <c r="D18" t="n">
        <v>0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</v>
      </c>
    </row>
    <row r="19" ht="12" customHeight="1">
      <c r="A19" s="25" t="n"/>
      <c r="B19" s="25" t="n"/>
      <c r="C19" s="9" t="inlineStr">
        <is>
          <t>Payment fees</t>
        </is>
      </c>
      <c r="D19" s="25" t="n">
        <v>1</v>
      </c>
      <c r="E19" s="25" t="n">
        <v>1</v>
      </c>
      <c r="F19" s="25" t="n">
        <v>1</v>
      </c>
      <c r="G19" s="25" t="n">
        <v>1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4</v>
      </c>
      <c r="Q19" s="25" t="n"/>
    </row>
    <row r="20" ht="12" customHeight="1">
      <c r="C20" t="inlineStr">
        <is>
          <t>SHOPIFY</t>
        </is>
      </c>
      <c r="D20" t="n">
        <v>1</v>
      </c>
      <c r="E20" t="n">
        <v>1</v>
      </c>
      <c r="F20" t="n">
        <v>1</v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4</v>
      </c>
    </row>
    <row r="21" ht="12" customHeight="1"/>
    <row r="22" ht="12" customHeight="1">
      <c r="A22" s="23" t="n"/>
      <c r="B22" s="24" t="inlineStr">
        <is>
          <t>Opex</t>
        </is>
      </c>
      <c r="C22" s="23" t="n"/>
      <c r="D22" s="23" t="n">
        <v>3</v>
      </c>
      <c r="E22" s="23" t="n">
        <v>4</v>
      </c>
      <c r="F22" s="23" t="n">
        <v>8</v>
      </c>
      <c r="G22" s="23" t="n">
        <v>3</v>
      </c>
      <c r="H22" s="23" t="n">
        <v>3</v>
      </c>
      <c r="I22" s="23" t="n">
        <v>3</v>
      </c>
      <c r="J22" s="23" t="n">
        <v>3</v>
      </c>
      <c r="K22" s="23" t="n">
        <v>3</v>
      </c>
      <c r="L22" s="23" t="n">
        <v>3</v>
      </c>
      <c r="M22" s="23" t="n">
        <v>3</v>
      </c>
      <c r="N22" s="23" t="n">
        <v>3</v>
      </c>
      <c r="O22" s="23" t="n">
        <v>3</v>
      </c>
      <c r="P22" s="23" t="n">
        <v>42</v>
      </c>
      <c r="Q22" s="23" t="n"/>
    </row>
    <row r="23" ht="12" customHeight="1">
      <c r="A23" s="25" t="n"/>
      <c r="B23" s="25" t="n"/>
      <c r="C23" s="9" t="inlineStr">
        <is>
          <t>Shared services</t>
        </is>
      </c>
      <c r="D23" s="25" t="n">
        <v>1</v>
      </c>
      <c r="E23" s="25" t="n">
        <v>1</v>
      </c>
      <c r="F23" s="25" t="n">
        <v>0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2</v>
      </c>
      <c r="Q23" s="25" t="n"/>
    </row>
    <row r="24" ht="12" customHeight="1">
      <c r="C24" t="inlineStr">
        <is>
          <t>SHAREDSERVICESSL</t>
        </is>
      </c>
      <c r="D24" t="n">
        <v>1</v>
      </c>
      <c r="E24" t="n">
        <v>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A25" s="25" t="n"/>
      <c r="B25" s="25" t="n"/>
      <c r="C25" s="9" t="inlineStr">
        <is>
          <t>Administration</t>
        </is>
      </c>
      <c r="D25" s="25" t="n">
        <v>2</v>
      </c>
      <c r="E25" s="25" t="n">
        <v>3</v>
      </c>
      <c r="F25" s="25" t="n">
        <v>6</v>
      </c>
      <c r="G25" s="25" t="n">
        <v>3</v>
      </c>
      <c r="H25" s="25" t="n">
        <v>3</v>
      </c>
      <c r="I25" s="25" t="n">
        <v>3</v>
      </c>
      <c r="J25" s="25" t="n">
        <v>3</v>
      </c>
      <c r="K25" s="25" t="n">
        <v>3</v>
      </c>
      <c r="L25" s="25" t="n">
        <v>3</v>
      </c>
      <c r="M25" s="25" t="n">
        <v>3</v>
      </c>
      <c r="N25" s="25" t="n">
        <v>3</v>
      </c>
      <c r="O25" s="25" t="n">
        <v>3</v>
      </c>
      <c r="P25" s="25" t="n">
        <v>38</v>
      </c>
      <c r="Q25" s="25" t="n"/>
    </row>
    <row r="26" ht="12" customHeight="1">
      <c r="C26" t="inlineStr">
        <is>
          <t>YOURACCOUNTSTAXES</t>
        </is>
      </c>
      <c r="D26" t="n">
        <v>2</v>
      </c>
      <c r="E26" t="n">
        <v>3</v>
      </c>
      <c r="F26" t="n">
        <v>6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3</v>
      </c>
      <c r="O26" t="n">
        <v>3</v>
      </c>
      <c r="P26" t="n">
        <v>38</v>
      </c>
    </row>
    <row r="27" ht="12" customHeight="1">
      <c r="A27" s="25" t="n"/>
      <c r="B27" s="25" t="n"/>
      <c r="C27" s="9" t="inlineStr">
        <is>
          <t>Technology</t>
        </is>
      </c>
      <c r="D27" s="25" t="n">
        <v>0</v>
      </c>
      <c r="E27" s="25" t="n">
        <v>0</v>
      </c>
      <c r="F27" s="25" t="n">
        <v>2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2</v>
      </c>
      <c r="Q27" s="25" t="n"/>
    </row>
    <row r="28" ht="12" customHeight="1">
      <c r="C28" t="inlineStr">
        <is>
          <t>REVER</t>
        </is>
      </c>
      <c r="D28" t="n">
        <v>0</v>
      </c>
      <c r="E28" t="n">
        <v>0</v>
      </c>
      <c r="F28" t="n">
        <v>2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</v>
      </c>
    </row>
    <row r="29" ht="12" customHeight="1">
      <c r="A29" s="25" t="n"/>
      <c r="B29" s="25" t="n"/>
      <c r="C29" s="9" t="inlineStr">
        <is>
          <t>Otros gastos</t>
        </is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0</v>
      </c>
      <c r="I29" s="25" t="n">
        <v>0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0</v>
      </c>
      <c r="O29" s="25" t="n">
        <v>0</v>
      </c>
      <c r="P29" s="25" t="n">
        <v>0</v>
      </c>
      <c r="Q29" s="25" t="n"/>
    </row>
    <row r="30" ht="12" customHeight="1">
      <c r="A30" s="25" t="n"/>
      <c r="B30" s="9" t="inlineStr">
        <is>
          <t>Diferencias divisas</t>
        </is>
      </c>
      <c r="C30" s="25" t="n"/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2026-04-03T06:03:36Z</dcterms:created>
  <dcterms:modified xsi:type="dcterms:W3CDTF">2026-04-03T06:03:36Z</dcterms:modified>
</cp:coreProperties>
</file>