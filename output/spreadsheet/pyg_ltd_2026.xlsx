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G-LTD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i-shopify-ltd" sheetId="3" state="visible" r:id="rId3"/>
    <sheet xmlns:r="http://schemas.openxmlformats.org/officeDocument/2006/relationships" name="g-expenses-ltd" sheetId="4" state="visible" r:id="rId4"/>
    <sheet xmlns:r="http://schemas.openxmlformats.org/officeDocument/2006/relationships" name="g-payment-fees-ltd" sheetId="5" state="visible" r:id="rId5"/>
    <sheet xmlns:r="http://schemas.openxmlformats.org/officeDocument/2006/relationships" name="fx-rates" sheetId="6" state="visible" r:id="rId6"/>
    <sheet xmlns:r="http://schemas.openxmlformats.org/officeDocument/2006/relationships" name="catalog-ltd" sheetId="7" state="visible" r:id="rId7"/>
    <sheet xmlns:r="http://schemas.openxmlformats.org/officeDocument/2006/relationships" name="Nº Facturas-LTD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000000"/>
    <numFmt numFmtId="166" formatCode="0.0%;[Red](0.0%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color rgb="00666666"/>
    </font>
    <font>
      <i val="1"/>
      <color rgb="00666666"/>
      <sz val="8"/>
    </font>
    <font>
      <b val="1"/>
      <color rgb="001F1F1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F3F6F8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8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0" fontId="4" fillId="3" borderId="1" pivotButton="0" quotePrefix="0" xfId="0"/>
    <xf numFmtId="164" fontId="0" fillId="3" borderId="1" pivotButton="0" quotePrefix="0" xfId="0"/>
    <xf numFmtId="0" fontId="4" fillId="4" borderId="2" pivotButton="0" quotePrefix="0" xfId="0"/>
    <xf numFmtId="164" fontId="0" fillId="4" borderId="2" pivotButton="0" quotePrefix="0" xfId="0"/>
    <xf numFmtId="0" fontId="4" fillId="4" borderId="0" pivotButton="0" quotePrefix="0" xfId="0"/>
    <xf numFmtId="164" fontId="0" fillId="4" borderId="0" pivotButton="0" quotePrefix="0" xfId="0"/>
    <xf numFmtId="0" fontId="6" fillId="0" borderId="0" pivotButton="0" quotePrefix="0" xfId="0"/>
    <xf numFmtId="164" fontId="6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4" fillId="5" borderId="1" pivotButton="0" quotePrefix="0" xfId="0"/>
    <xf numFmtId="164" fontId="0" fillId="5" borderId="1" pivotButton="0" quotePrefix="0" xfId="0"/>
    <xf numFmtId="0" fontId="4" fillId="0" borderId="0" pivotButton="0" quotePrefix="0" xfId="0"/>
    <xf numFmtId="0" fontId="7" fillId="6" borderId="0" applyAlignment="1" pivotButton="0" quotePrefix="0" xfId="0">
      <alignment horizontal="left" vertical="center"/>
    </xf>
    <xf numFmtId="0" fontId="1" fillId="2" borderId="0" pivotButton="0" quotePrefix="0" xfId="0"/>
    <xf numFmtId="165" fontId="0" fillId="0" borderId="0" pivotButton="0" quotePrefix="0" xfId="0"/>
    <xf numFmtId="0" fontId="8" fillId="0" borderId="0" pivotButton="0" quotePrefix="0" xfId="1"/>
    <xf numFmtId="0" fontId="2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cTgaMj9sTIzsq-u1jiYa5Er28IMK1dZU/view?usp=drivesdk" TargetMode="External" Id="rId1"/><Relationship Type="http://schemas.openxmlformats.org/officeDocument/2006/relationships/hyperlink" Target="https://drive.google.com/file/d/1oIxZGoxdpgPeDPb-AglCjV1eQY29eNxQ/view?usp=drivesdk" TargetMode="External" Id="rId2"/><Relationship Type="http://schemas.openxmlformats.org/officeDocument/2006/relationships/hyperlink" Target="https://drive.google.com/file/d/1sld1KDeg28NmlMctYu0WHfY-5pVcNNTk/view?usp=drivesdk" TargetMode="External" Id="rId3"/><Relationship Type="http://schemas.openxmlformats.org/officeDocument/2006/relationships/hyperlink" Target="https://drive.google.com/file/d/1L7ZoeAFj0k4DrjcJkiRFm52nrtXOGnjy/view?usp=drivesdk" TargetMode="External" Id="rId4"/><Relationship Type="http://schemas.openxmlformats.org/officeDocument/2006/relationships/hyperlink" Target="https://drive.google.com/file/d/13ZHbIuhsN15tZ6BY8ILwdOryQBL8Fjpq/view?usp=drivesdk" TargetMode="External" Id="rId5"/><Relationship Type="http://schemas.openxmlformats.org/officeDocument/2006/relationships/hyperlink" Target="https://drive.google.com/file/d/1y_RFAjzt2Mv7iUalA1-JR_xB9KsErUvb/view?usp=drivesdk" TargetMode="External" Id="rId6"/><Relationship Type="http://schemas.openxmlformats.org/officeDocument/2006/relationships/hyperlink" Target="https://drive.google.com/file/d/1OyW5YuspPu6miBlQuirvcBZEjyCHCESv/view?usp=drivesdk" TargetMode="External" Id="rId7"/><Relationship Type="http://schemas.openxmlformats.org/officeDocument/2006/relationships/hyperlink" Target="https://drive.google.com/file/d/1nMW9vfUjHEeOxPMurVPmI2qivgS-jnF9/view?usp=drivesdk" TargetMode="External" Id="rId8"/><Relationship Type="http://schemas.openxmlformats.org/officeDocument/2006/relationships/hyperlink" Target="https://drive.google.com/file/d/1BWJbTsvyK62cL9QfpBCxTvKjyCpXo3ni/view?usp=drivesdk" TargetMode="External" Id="rId9"/><Relationship Type="http://schemas.openxmlformats.org/officeDocument/2006/relationships/hyperlink" Target="https://drive.google.com/file/d/1T41S4LX4_TpjSsqHL5rijp0du_Xjvz44/view?usp=drivesdk" TargetMode="External" Id="rId10"/><Relationship Type="http://schemas.openxmlformats.org/officeDocument/2006/relationships/hyperlink" Target="https://drive.google.com/file/d/1WLRdlpIyyvWA2inP5kzpvap1dktr4RZP/view?usp=drivesdk" TargetMode="External" Id="rId11"/><Relationship Type="http://schemas.openxmlformats.org/officeDocument/2006/relationships/hyperlink" Target="https://drive.google.com/file/d/19Ds70MHlzQPyTQGekHEjO8VNnPwfWSnG/view?usp=drivesdk" TargetMode="External" Id="rId12"/><Relationship Type="http://schemas.openxmlformats.org/officeDocument/2006/relationships/hyperlink" Target="https://drive.google.com/file/d/1zP_ruzDEMP7tcv3xlc2HRJ1_jje-Utwu/view?usp=drivesdk" TargetMode="External" Id="rId13"/><Relationship Type="http://schemas.openxmlformats.org/officeDocument/2006/relationships/hyperlink" Target="https://drive.google.com/file/d/12-OnSt4oL9AJCZeW6Nsk-hZU-jeJ1XNx/view?usp=drivesdk" TargetMode="External" Id="rId14"/><Relationship Type="http://schemas.openxmlformats.org/officeDocument/2006/relationships/hyperlink" Target="https://drive.google.com/file/d/1IqI0DS5TubEqbeiwdZWr2KdJ8A_sB7-7/view?usp=drivesdk" TargetMode="External" Id="rId15"/><Relationship Type="http://schemas.openxmlformats.org/officeDocument/2006/relationships/hyperlink" Target="https://drive.google.com/file/d/1Wzf_0d27_QQKn09fePaqHmt9lH2L5i1x/view?usp=drivesdk" TargetMode="External" Id="rId16"/><Relationship Type="http://schemas.openxmlformats.org/officeDocument/2006/relationships/hyperlink" Target="https://drive.google.com/file/d/1wDNuMLZrYtqaZCEGfLXcbbpdt71O7et-/view?usp=drivesdk" TargetMode="External" Id="rId17"/><Relationship Type="http://schemas.openxmlformats.org/officeDocument/2006/relationships/hyperlink" Target="https://drive.google.com/file/d/1VxTsEAT2Y_7gPT8-KktdLPajUlnpmLVI/view?usp=drivesdk" TargetMode="External" Id="rId18"/><Relationship Type="http://schemas.openxmlformats.org/officeDocument/2006/relationships/hyperlink" Target="https://drive.google.com/file/d/1Qw1sA5nEwhoQbOW8ZCah4hdcjIt18Wea/view?usp=drivesdk" TargetMode="External" Id="rId19"/><Relationship Type="http://schemas.openxmlformats.org/officeDocument/2006/relationships/hyperlink" Target="https://drive.google.com/file/d/14oYKgtEHlw1B4wAMvq3Cy3zHh9FUAcvd/view?usp=drivesdk" TargetMode="External" Id="rId20"/><Relationship Type="http://schemas.openxmlformats.org/officeDocument/2006/relationships/hyperlink" Target="https://drive.google.com/file/d/1tZvG8Qkr285pw0p3UVP_4nrHb55TEnad/view?usp=drivesdk" TargetMode="External" Id="rId21"/><Relationship Type="http://schemas.openxmlformats.org/officeDocument/2006/relationships/hyperlink" Target="https://drive.google.com/file/d/1kSeP0IRoDaS31JgE1VFXPOwX2_JXQjyx/view?usp=drivesdk" TargetMode="External" Id="rId22"/><Relationship Type="http://schemas.openxmlformats.org/officeDocument/2006/relationships/hyperlink" Target="https://drive.google.com/file/d/12daSfdaOVWBdy-yTWlaRpApVlxl1Asqq/view?usp=drivesdk" TargetMode="External" Id="rId23"/><Relationship Type="http://schemas.openxmlformats.org/officeDocument/2006/relationships/hyperlink" Target="https://drive.google.com/file/d/1ipbssICwv_CNawuFNAdNkhIngIPBE-su/view?usp=drivesdk" TargetMode="External" Id="rId24"/><Relationship Type="http://schemas.openxmlformats.org/officeDocument/2006/relationships/hyperlink" Target="https://drive.google.com/file/d/1WO-DW4XapqiPAW8ic_8DMJZOdSrmj1HB/view?usp=drivesdk" TargetMode="External" Id="rId25"/><Relationship Type="http://schemas.openxmlformats.org/officeDocument/2006/relationships/hyperlink" Target="https://drive.google.com/file/d/1WO-DW4XapqiPAW8ic_8DMJZOdSrmj1HB/view?usp=drivesdk" TargetMode="External" Id="rId26"/><Relationship Type="http://schemas.openxmlformats.org/officeDocument/2006/relationships/hyperlink" Target="https://drive.google.com/file/d/1DVbcrKI34TY_XRmPCWYxFfktOzy1Bqmr/view?usp=drivesdk" TargetMode="External" Id="rId27"/><Relationship Type="http://schemas.openxmlformats.org/officeDocument/2006/relationships/hyperlink" Target="https://drive.google.com/file/d/1n3uOf_jbqFYt5zJTiDDfZSbSjOCzEMHL/view?usp=drivesdk" TargetMode="External" Id="rId28"/><Relationship Type="http://schemas.openxmlformats.org/officeDocument/2006/relationships/hyperlink" Target="https://drive.google.com/file/d/1CIuzkH_u1gHARcMpknCAJ9pI5qmqqobY/view?usp=drivesdk" TargetMode="External" Id="rId29"/><Relationship Type="http://schemas.openxmlformats.org/officeDocument/2006/relationships/hyperlink" Target="https://drive.google.com/file/d/1z2ShmClela43bUW-vTcb2pcrB7Qwu6gE/view?usp=drivesdk" TargetMode="External" Id="rId30"/><Relationship Type="http://schemas.openxmlformats.org/officeDocument/2006/relationships/hyperlink" Target="https://drive.google.com/file/d/1-yGn3xRRsCE-8T-jXa2ZANZ3lXnMlnU1/view?usp=drivesdk" TargetMode="External" Id="rId31"/><Relationship Type="http://schemas.openxmlformats.org/officeDocument/2006/relationships/hyperlink" Target="https://drive.google.com/file/d/1-NkdlGvZLusGXUX04m43SkJkiaNTkBXH/view?usp=drivesdk" TargetMode="External" Id="rId32"/><Relationship Type="http://schemas.openxmlformats.org/officeDocument/2006/relationships/hyperlink" Target="https://drive.google.com/file/d/14Kv6de85keqbrh_ImJOpxC57rdB8Nml-/view?usp=drivesdk" TargetMode="External" Id="rId33"/><Relationship Type="http://schemas.openxmlformats.org/officeDocument/2006/relationships/hyperlink" Target="https://drive.google.com/file/d/1mwHXLhoynWBHDPYgvA1Qh5oQ_Pj7aqp4/view?usp=drivesdk" TargetMode="External" Id="rId34"/><Relationship Type="http://schemas.openxmlformats.org/officeDocument/2006/relationships/hyperlink" Target="https://drive.google.com/file/d/1gR9CgliEJupvg6aabwQrw3bszdfJQUA2/view?usp=drivesdk" TargetMode="External" Id="rId35"/><Relationship Type="http://schemas.openxmlformats.org/officeDocument/2006/relationships/hyperlink" Target="https://drive.google.com/file/d/18wgtpL_Ix0DraaeKhnVN5Yc5zMx0gfNt/view?usp=drivesdk" TargetMode="External" Id="rId36"/><Relationship Type="http://schemas.openxmlformats.org/officeDocument/2006/relationships/hyperlink" Target="https://drive.google.com/file/d/16WCK7LMlNJ1SA8hTr9sh0RTKdxYuzOOj/view?usp=drivesdk" TargetMode="External" Id="rId37"/><Relationship Type="http://schemas.openxmlformats.org/officeDocument/2006/relationships/hyperlink" Target="https://drive.google.com/file/d/1m_hZoeF7mnj1sjA7HqOewotwB0qPKy4D/view?usp=drivesdk" TargetMode="External" Id="rId38"/><Relationship Type="http://schemas.openxmlformats.org/officeDocument/2006/relationships/hyperlink" Target="https://drive.google.com/file/d/1lko37nObfSfkjyh3XJSPQ-9HkcajcYM5/view?usp=drivesdk" TargetMode="External" Id="rId39"/><Relationship Type="http://schemas.openxmlformats.org/officeDocument/2006/relationships/hyperlink" Target="https://drive.google.com/file/d/1pQbRirka8GpZOXPr2ddHLAfhOlWi3xvz/view?usp=drivesdk" TargetMode="External" Id="rId40"/><Relationship Type="http://schemas.openxmlformats.org/officeDocument/2006/relationships/hyperlink" Target="https://drive.google.com/file/d/19w6pnXyuBTQjCd8b3o6eKT17hCjMiE-W/view?usp=drivesdk" TargetMode="External" Id="rId41"/><Relationship Type="http://schemas.openxmlformats.org/officeDocument/2006/relationships/hyperlink" Target="https://drive.google.com/file/d/119xbszT9MRCL7obqdTeJCKp5GpdneYVY/view?usp=drivesdk" TargetMode="External" Id="rId42"/><Relationship Type="http://schemas.openxmlformats.org/officeDocument/2006/relationships/hyperlink" Target="https://drive.google.com/file/d/1MFjQFLyJqvx5yAWAc_AAveY2DzsxSbkO/view?usp=drivesdk" TargetMode="External" Id="rId43"/><Relationship Type="http://schemas.openxmlformats.org/officeDocument/2006/relationships/hyperlink" Target="https://drive.google.com/file/d/1EGU0eMrVgdXIV0o0psYd-vesgsKzy8wg/view?usp=drivesdk" TargetMode="External" Id="rId44"/><Relationship Type="http://schemas.openxmlformats.org/officeDocument/2006/relationships/hyperlink" Target="https://drive.google.com/file/d/188JrZ8ux_a9_Ip2aOmADCtPKmy7wBQj0/view?usp=drivesdk" TargetMode="External" Id="rId45"/><Relationship Type="http://schemas.openxmlformats.org/officeDocument/2006/relationships/hyperlink" Target="https://drive.google.com/file/d/1CYVXlsz1cZylIEE_FnK0-bDsegHXy0lC/view?usp=drivesdk" TargetMode="External" Id="rId46"/><Relationship Type="http://schemas.openxmlformats.org/officeDocument/2006/relationships/hyperlink" Target="https://drive.google.com/file/d/1u-NxRqm2pZqxIZ4jxPovnCnRMSBW61bs/view?usp=drivesdk" TargetMode="External" Id="rId47"/><Relationship Type="http://schemas.openxmlformats.org/officeDocument/2006/relationships/hyperlink" Target="https://drive.google.com/file/d/1aZO2DUv7EnGbzTuaqe1zcL_0vcIT-IsR/view?usp=drivesdk" TargetMode="External" Id="rId48"/><Relationship Type="http://schemas.openxmlformats.org/officeDocument/2006/relationships/hyperlink" Target="https://drive.google.com/file/d/1bb4D0frLw6tv0YR0_K_0bz4GyPMaST00/view?usp=drivesdk" TargetMode="External" Id="rId49"/><Relationship Type="http://schemas.openxmlformats.org/officeDocument/2006/relationships/hyperlink" Target="https://drive.google.com/file/d/1A7IKjrdSctavHx5vvWMoTR2X3YvCVcqK/view?usp=drivesdk" TargetMode="External" Id="rId50"/><Relationship Type="http://schemas.openxmlformats.org/officeDocument/2006/relationships/hyperlink" Target="https://drive.google.com/file/d/1Fr7EpLc4_w_y7t7ZSWM8qyk01zEjoINy/view?usp=drivesdk" TargetMode="External" Id="rId51"/><Relationship Type="http://schemas.openxmlformats.org/officeDocument/2006/relationships/hyperlink" Target="https://drive.google.com/file/d/1J665leZvteRH41FHARz4EBF_bjAJjDa0/view?usp=drivesdk" TargetMode="External" Id="rId52"/><Relationship Type="http://schemas.openxmlformats.org/officeDocument/2006/relationships/hyperlink" Target="https://drive.google.com/file/d/1FQOlw_0RiHG8QnYV4OF9UIi82z0ERrol/view?usp=drivesdk" TargetMode="External" Id="rId53"/><Relationship Type="http://schemas.openxmlformats.org/officeDocument/2006/relationships/hyperlink" Target="https://drive.google.com/file/d/1buNB3TxMmADuGJ_Rck7CIzzoNcvTA1jx/view?usp=drivesdk" TargetMode="External" Id="rId54"/><Relationship Type="http://schemas.openxmlformats.org/officeDocument/2006/relationships/hyperlink" Target="https://drive.google.com/file/d/13CovCArR8TTPaWcDahlSrtlE8_ddFvC9/view?usp=drivesdk" TargetMode="External" Id="rId55"/><Relationship Type="http://schemas.openxmlformats.org/officeDocument/2006/relationships/hyperlink" Target="https://drive.google.com/file/d/1dzNdT4yHYiEpXxRJX5SXJetVjDxt8rjH/view?usp=drivesdk" TargetMode="External" Id="rId56"/><Relationship Type="http://schemas.openxmlformats.org/officeDocument/2006/relationships/hyperlink" Target="https://drive.google.com/file/d/177tCIVVwMHTZIZRxNRTPK0fTuc-di7MS/view?usp=drivesdk" TargetMode="External" Id="rId57"/><Relationship Type="http://schemas.openxmlformats.org/officeDocument/2006/relationships/hyperlink" Target="https://drive.google.com/file/d/1vTGjWxyT3P7m_LD9TVvGvT59-h229ubs/view?usp=drivesdk" TargetMode="External" Id="rId58"/><Relationship Type="http://schemas.openxmlformats.org/officeDocument/2006/relationships/hyperlink" Target="https://drive.google.com/file/d/1rpih0MGtiiho53ABBb6RFSia9ocS5ewI/view?usp=drivesdk" TargetMode="External" Id="rId59"/><Relationship Type="http://schemas.openxmlformats.org/officeDocument/2006/relationships/hyperlink" Target="https://drive.google.com/file/d/1rpih0MGtiiho53ABBb6RFSia9ocS5ewI/view?usp=drivesdk" TargetMode="External" Id="rId60"/><Relationship Type="http://schemas.openxmlformats.org/officeDocument/2006/relationships/hyperlink" Target="https://drive.google.com/file/d/1pNRISEZAlDdg2kXsh98mNhDndQFk42mV/view?usp=drivesdk" TargetMode="External" Id="rId61"/><Relationship Type="http://schemas.openxmlformats.org/officeDocument/2006/relationships/hyperlink" Target="https://drive.google.com/file/d/1nzOKra7y7jGR4FYuKDhpUSUhEqubGgof/view?usp=drivesdk" TargetMode="External" Id="rId62"/><Relationship Type="http://schemas.openxmlformats.org/officeDocument/2006/relationships/hyperlink" Target="https://drive.google.com/file/d/15tq2MF_O05gx-y3VBFK4eRPCaHDrEmog/view?usp=drivesdk" TargetMode="External" Id="rId63"/><Relationship Type="http://schemas.openxmlformats.org/officeDocument/2006/relationships/hyperlink" Target="https://drive.google.com/file/d/14rmjOK-9JvSS6fOl1YvTZ2GbZNnpQ6WO/view?usp=drivesdk" TargetMode="External" Id="rId64"/><Relationship Type="http://schemas.openxmlformats.org/officeDocument/2006/relationships/hyperlink" Target="https://drive.google.com/file/d/1BbO_L0AfWA_e4-vcgmAPDKVBywq_z0ek/view?usp=drivesdk" TargetMode="External" Id="rId65"/><Relationship Type="http://schemas.openxmlformats.org/officeDocument/2006/relationships/hyperlink" Target="https://drive.google.com/file/d/165HRmZ2g0WdfskzbrtHzXV6ALXimYaIu/view?usp=drivesdk" TargetMode="External" Id="rId66"/><Relationship Type="http://schemas.openxmlformats.org/officeDocument/2006/relationships/hyperlink" Target="https://drive.google.com/file/d/1Z_5d0QXG3Bn3aTm5JVNpjt8qPQMwGt21/view?usp=drivesdk" TargetMode="External" Id="rId67"/><Relationship Type="http://schemas.openxmlformats.org/officeDocument/2006/relationships/hyperlink" Target="https://drive.google.com/file/d/1CHjm3mQctRUQYqbv6zXs3SonHgln2nD3/view?usp=drivesdk" TargetMode="External" Id="rId68"/><Relationship Type="http://schemas.openxmlformats.org/officeDocument/2006/relationships/hyperlink" Target="https://drive.google.com/file/d/1IhZUZEwe2_BBXikCjpL1GKXdK4xEetaE/view?usp=drivesdk" TargetMode="External" Id="rId69"/><Relationship Type="http://schemas.openxmlformats.org/officeDocument/2006/relationships/hyperlink" Target="https://drive.google.com/file/d/1AsgQ8_PjOJrvqTYcsPYEKolunIYlfV4Q/view?usp=drivesdk" TargetMode="External" Id="rId70"/><Relationship Type="http://schemas.openxmlformats.org/officeDocument/2006/relationships/hyperlink" Target="https://drive.google.com/file/d/1hksJO_fnTPFDMp-4j1XZWpegWgO2Ailq/view?usp=drivesdk" TargetMode="External" Id="rId71"/><Relationship Type="http://schemas.openxmlformats.org/officeDocument/2006/relationships/hyperlink" Target="https://drive.google.com/file/d/1NdybY9fRXHw9j82a5s65MgztyJPOsoin/view?usp=drivesdk" TargetMode="External" Id="rId72"/><Relationship Type="http://schemas.openxmlformats.org/officeDocument/2006/relationships/hyperlink" Target="https://drive.google.com/file/d/1TxyFOoXyfr9p89UtdqAEbWxywM7AezVv/view?usp=drivesdk" TargetMode="External" Id="rId73"/><Relationship Type="http://schemas.openxmlformats.org/officeDocument/2006/relationships/hyperlink" Target="https://drive.google.com/file/d/1tbELKs8Gm6ALpTiDWY6M4Ga_pPzHHQLH/view?usp=drivesdk" TargetMode="External" Id="rId74"/><Relationship Type="http://schemas.openxmlformats.org/officeDocument/2006/relationships/hyperlink" Target="https://drive.google.com/file/d/1m6t-40HqBc7x03IlnYO4vz-lkfI1VO3t/view?usp=drivesdk" TargetMode="External" Id="rId75"/><Relationship Type="http://schemas.openxmlformats.org/officeDocument/2006/relationships/hyperlink" Target="https://drive.google.com/file/d/1velP298axM7FnOlEsW9xXp43RNAtbDk_/view?usp=drivesdk" TargetMode="External" Id="rId76"/><Relationship Type="http://schemas.openxmlformats.org/officeDocument/2006/relationships/hyperlink" Target="https://drive.google.com/file/d/1NkTeSsIU2g7Noh0t4qFauRZ7p4F2FIag/view?usp=drivesdk" TargetMode="External" Id="rId77"/><Relationship Type="http://schemas.openxmlformats.org/officeDocument/2006/relationships/hyperlink" Target="https://drive.google.com/file/d/1cyz-3ccDZAAUV3hMKT7TsExQQ2SYAq82/view?usp=drivesdk" TargetMode="External" Id="rId78"/><Relationship Type="http://schemas.openxmlformats.org/officeDocument/2006/relationships/hyperlink" Target="https://drive.google.com/file/d/1ho42EUM8JZxXS_YGQoS1k4VYDfMnTjL7/view?usp=drivesdk" TargetMode="External" Id="rId79"/><Relationship Type="http://schemas.openxmlformats.org/officeDocument/2006/relationships/hyperlink" Target="https://drive.google.com/file/d/1UK5ImvPI8zfDKueQkYKgn7dgmMdVOoQU/view?usp=drivesdk" TargetMode="External" Id="rId80"/><Relationship Type="http://schemas.openxmlformats.org/officeDocument/2006/relationships/hyperlink" Target="https://drive.google.com/file/d/14Gm4WH1frLdk8P62dC1mVPD_BGIVWZ27/view?usp=drivesdk" TargetMode="External" Id="rId81"/><Relationship Type="http://schemas.openxmlformats.org/officeDocument/2006/relationships/hyperlink" Target="https://drive.google.com/file/d/11IWevgkm4WNzACo87cKk44YcMUSTk_1p/view?usp=drivesdk" TargetMode="External" Id="rId82"/><Relationship Type="http://schemas.openxmlformats.org/officeDocument/2006/relationships/hyperlink" Target="https://drive.google.com/file/d/1m7AFyGhqy5cMVsFA4gpzq-TGjUBTq2gZ/view?usp=drivesdk" TargetMode="External" Id="rId83"/><Relationship Type="http://schemas.openxmlformats.org/officeDocument/2006/relationships/hyperlink" Target="https://drive.google.com/file/d/1Cgc8hchCfgf7rmLBnj_H1qlutGNRdZB7/view?usp=drivesdk" TargetMode="External" Id="rId84"/><Relationship Type="http://schemas.openxmlformats.org/officeDocument/2006/relationships/hyperlink" Target="https://drive.google.com/file/d/1WIDmlF0GDJ0yZUnSoWNMz1v8-Q--q-6h/view?usp=drivesdk" TargetMode="External" Id="rId85"/><Relationship Type="http://schemas.openxmlformats.org/officeDocument/2006/relationships/hyperlink" Target="https://drive.google.com/file/d/1cvO8lXiAyWdQriOkXjiHgWASFj3yUJwM/view?usp=drivesdk" TargetMode="External" Id="rId86"/><Relationship Type="http://schemas.openxmlformats.org/officeDocument/2006/relationships/hyperlink" Target="https://drive.google.com/file/d/1kvZrj32v9oOsnIpfIXWQrBr1_zczw0Mb/view?usp=drivesdk" TargetMode="External" Id="rId87"/><Relationship Type="http://schemas.openxmlformats.org/officeDocument/2006/relationships/hyperlink" Target="https://drive.google.com/file/d/1HCXrEX-E4AdhpJ_Tt-6eEc5urwVoVfe2/view?usp=drivesdk" TargetMode="External" Id="rId88"/><Relationship Type="http://schemas.openxmlformats.org/officeDocument/2006/relationships/hyperlink" Target="https://drive.google.com/file/d/1nPjtPT4uhWtj_Jl1cSMmqzdiPrM1nL4t/view?usp=drivesdk" TargetMode="External" Id="rId89"/><Relationship Type="http://schemas.openxmlformats.org/officeDocument/2006/relationships/hyperlink" Target="https://drive.google.com/file/d/1z5qKzMidf4sb00p7COAUy6esaN8tMgkB/view?usp=drivesdk" TargetMode="External" Id="rId90"/><Relationship Type="http://schemas.openxmlformats.org/officeDocument/2006/relationships/hyperlink" Target="https://drive.google.com/file/d/1rtodFn9rgE_8MBt-0KNt598W1j1iXFhQ/view?usp=drivesdk" TargetMode="External" Id="rId91"/><Relationship Type="http://schemas.openxmlformats.org/officeDocument/2006/relationships/hyperlink" Target="https://drive.google.com/file/d/1n7W1kipwRj0DuCiUnfnuByxq-xnBWLQG/view?usp=drivesdk" TargetMode="External" Id="rId92"/><Relationship Type="http://schemas.openxmlformats.org/officeDocument/2006/relationships/hyperlink" Target="https://drive.google.com/file/d/1SSvy3CRiyERc3B_Ml_KjQ8UkCL9O35kX/view?usp=drivesdk" TargetMode="External" Id="rId93"/><Relationship Type="http://schemas.openxmlformats.org/officeDocument/2006/relationships/hyperlink" Target="https://drive.google.com/file/d/11AdEe5_B3gGDMClc5xlXO-Q4LLgsHc7j/view?usp=drivesdk" TargetMode="External" Id="rId94"/><Relationship Type="http://schemas.openxmlformats.org/officeDocument/2006/relationships/hyperlink" Target="https://drive.google.com/file/d/1SUoxBgOXOFHpe0FgpBOtdodf-tqILSBr/view?usp=drivesdk" TargetMode="External" Id="rId95"/><Relationship Type="http://schemas.openxmlformats.org/officeDocument/2006/relationships/hyperlink" Target="https://drive.google.com/file/d/1lXf3gMz04497nZzdwMIWtJ48G-yrGP0M/view?usp=drivesdk" TargetMode="External" Id="rId96"/><Relationship Type="http://schemas.openxmlformats.org/officeDocument/2006/relationships/hyperlink" Target="https://drive.google.com/file/d/1QyHd3vSTw0ECion_wPSyL_KKOYVB1VcV/view?usp=drivesdk" TargetMode="External" Id="rId97"/><Relationship Type="http://schemas.openxmlformats.org/officeDocument/2006/relationships/hyperlink" Target="https://drive.google.com/file/d/1S3W9uEB4awliO5PmEKO8Q08Mgl6vzlCT/view?usp=drivesdk" TargetMode="External" Id="rId98"/><Relationship Type="http://schemas.openxmlformats.org/officeDocument/2006/relationships/hyperlink" Target="https://drive.google.com/file/d/1lRtBdbWrHQz82FckIim2FjPJ6jwlzBvJ/view?usp=drivesdk" TargetMode="External" Id="rId99"/><Relationship Type="http://schemas.openxmlformats.org/officeDocument/2006/relationships/hyperlink" Target="https://drive.google.com/file/d/19zP1jb5VdyLdru5aGeM4onYiWNr8_hLV/view?usp=drivesdk" TargetMode="External" Id="rId100"/><Relationship Type="http://schemas.openxmlformats.org/officeDocument/2006/relationships/hyperlink" Target="https://drive.google.com/file/d/1qZaFUoy8ye6aPodf87UetEFKHj9d2tzG/view?usp=drivesdk" TargetMode="External" Id="rId101"/><Relationship Type="http://schemas.openxmlformats.org/officeDocument/2006/relationships/hyperlink" Target="https://drive.google.com/file/d/1IGgA4r6m6O4ntYrt2TiNlL-heocKia49/view?usp=drivesdk" TargetMode="External" Id="rId102"/><Relationship Type="http://schemas.openxmlformats.org/officeDocument/2006/relationships/hyperlink" Target="https://drive.google.com/file/d/1ITdGy-6O91D6z0_qImZpKUv0mdgh0AD6/view?usp=drivesdk" TargetMode="External" Id="rId103"/><Relationship Type="http://schemas.openxmlformats.org/officeDocument/2006/relationships/hyperlink" Target="https://drive.google.com/file/d/1eTgClB7SO7ewlahs2CtNRw-_ITgqqOY3/view?usp=drivesdk" TargetMode="External" Id="rId104"/><Relationship Type="http://schemas.openxmlformats.org/officeDocument/2006/relationships/hyperlink" Target="https://drive.google.com/file/d/1hqx8FMzLXxGeepyick0zVRINg4721W3C/view?usp=drivesdk" TargetMode="External" Id="rId105"/><Relationship Type="http://schemas.openxmlformats.org/officeDocument/2006/relationships/hyperlink" Target="https://drive.google.com/file/d/1DVHoChhxwgpHGBf9kW9-_aCJnsn6FCoK/view?usp=drivesdk" TargetMode="External" Id="rId106"/><Relationship Type="http://schemas.openxmlformats.org/officeDocument/2006/relationships/hyperlink" Target="https://drive.google.com/file/d/1AeYZ38PQ2rx3dVnNc39pU62D-lnaOXKq/view?usp=drivesdk" TargetMode="External" Id="rId107"/><Relationship Type="http://schemas.openxmlformats.org/officeDocument/2006/relationships/hyperlink" Target="https://drive.google.com/file/d/1F5n3S94IlEQiaG5CxcEnMOmVUEe54Qph/view?usp=drivesdk" TargetMode="External" Id="rId108"/><Relationship Type="http://schemas.openxmlformats.org/officeDocument/2006/relationships/hyperlink" Target="https://drive.google.com/file/d/1HqxIRZp8jdjgtVEEzbk0E2ug9Ukvwr6z/view?usp=drivesdk" TargetMode="External" Id="rId109"/><Relationship Type="http://schemas.openxmlformats.org/officeDocument/2006/relationships/hyperlink" Target="https://drive.google.com/file/d/1iuW9SLUOB-pyUC4WZ2Kr-BZJwj1fyRk2/view?usp=drivesdk" TargetMode="External" Id="rId110"/><Relationship Type="http://schemas.openxmlformats.org/officeDocument/2006/relationships/hyperlink" Target="https://drive.google.com/file/d/1JNfV8XsMUpl0QxOG7Ao1qGRC8bJoJjPf/view?usp=drivesdk" TargetMode="External" Id="rId111"/><Relationship Type="http://schemas.openxmlformats.org/officeDocument/2006/relationships/hyperlink" Target="https://drive.google.com/file/d/1JNfV8XsMUpl0QxOG7Ao1qGRC8bJoJjPf/view?usp=drivesdk" TargetMode="External" Id="rId112"/><Relationship Type="http://schemas.openxmlformats.org/officeDocument/2006/relationships/hyperlink" Target="https://drive.google.com/file/d/1E-ja8xtAToIkewPj62keRSqcrxMPdPhW/view?usp=drivesdk" TargetMode="External" Id="rId113"/><Relationship Type="http://schemas.openxmlformats.org/officeDocument/2006/relationships/hyperlink" Target="https://drive.google.com/file/d/1pj6YfDTJzQyuObWQvmYAAc-P8wEb8HwW/view?usp=drivesdk" TargetMode="External" Id="rId114"/><Relationship Type="http://schemas.openxmlformats.org/officeDocument/2006/relationships/hyperlink" Target="https://drive.google.com/file/d/1KdK-Ik0l5-TAvrDmyV47ighudMtGRrKE/view?usp=drivesdk" TargetMode="External" Id="rId115"/><Relationship Type="http://schemas.openxmlformats.org/officeDocument/2006/relationships/hyperlink" Target="https://drive.google.com/file/d/1SwIai4YdtUV-rQd0AKSUEVkEfdlYRoPA/view?usp=drivesdk" TargetMode="External" Id="rId116"/><Relationship Type="http://schemas.openxmlformats.org/officeDocument/2006/relationships/hyperlink" Target="https://drive.google.com/file/d/1CFf2KHZd750hPLNp1Xj5DzzQwrKmlw9L/view?usp=drivesdk" TargetMode="External" Id="rId117"/><Relationship Type="http://schemas.openxmlformats.org/officeDocument/2006/relationships/hyperlink" Target="https://drive.google.com/file/d/1LlEUQpBPSqkZ5BKsa4CYacg0DVARYbta/view?usp=drivesdk" TargetMode="External" Id="rId118"/><Relationship Type="http://schemas.openxmlformats.org/officeDocument/2006/relationships/hyperlink" Target="https://drive.google.com/file/d/17ddVNHeD7vfS0fu_kEIIf9bX5TkmUiWX/view?usp=drivesdk" TargetMode="External" Id="rId119"/><Relationship Type="http://schemas.openxmlformats.org/officeDocument/2006/relationships/hyperlink" Target="https://drive.google.com/file/d/1lcYMWvKQkm1b8U6Ps1w7NODPT7I7diIg/view?usp=drivesdk" TargetMode="External" Id="rId120"/><Relationship Type="http://schemas.openxmlformats.org/officeDocument/2006/relationships/hyperlink" Target="https://drive.google.com/file/d/1PN6Nq_rc4UuHw-YiRRTnBAsEzMqoHCWf/view?usp=drivesdk" TargetMode="External" Id="rId121"/><Relationship Type="http://schemas.openxmlformats.org/officeDocument/2006/relationships/hyperlink" Target="https://drive.google.com/file/d/1oDqtd0mH58fAtBJpZhjnF10hzC-JfpV5/view?usp=drivesdk" TargetMode="External" Id="rId122"/><Relationship Type="http://schemas.openxmlformats.org/officeDocument/2006/relationships/hyperlink" Target="https://drive.google.com/file/d/1knDM3Q-deGBFwbXJr-PqYiK86TvQfKGr/view?usp=drivesdk" TargetMode="External" Id="rId123"/><Relationship Type="http://schemas.openxmlformats.org/officeDocument/2006/relationships/hyperlink" Target="https://drive.google.com/file/d/1L5GrowXLyDME--H_QcyiLXnUYQibTz4v/view?usp=drivesdk" TargetMode="External" Id="rId124"/><Relationship Type="http://schemas.openxmlformats.org/officeDocument/2006/relationships/hyperlink" Target="https://drive.google.com/file/d/1Rl2zHtvoecGxNtM7FYzFYrx9z2DJGE0I/view?usp=drivesdk" TargetMode="External" Id="rId125"/><Relationship Type="http://schemas.openxmlformats.org/officeDocument/2006/relationships/hyperlink" Target="https://drive.google.com/file/d/1b1c7L45IdAOMY5Wul7ntXqMj2orFFpmC/view?usp=drivesdk" TargetMode="External" Id="rId126"/><Relationship Type="http://schemas.openxmlformats.org/officeDocument/2006/relationships/hyperlink" Target="https://drive.google.com/file/d/13jRTN9j0ZnZHrgMqnkO7NPjxzc_1NB7y/view?usp=drivesdk" TargetMode="External" Id="rId127"/><Relationship Type="http://schemas.openxmlformats.org/officeDocument/2006/relationships/hyperlink" Target="https://drive.google.com/file/d/1BF2To8YectCAqC2nGlkTeQfVw8hxyzXR/view?usp=drivesdk" TargetMode="External" Id="rId128"/><Relationship Type="http://schemas.openxmlformats.org/officeDocument/2006/relationships/hyperlink" Target="https://drive.google.com/file/d/1KgYvLCKDCtdGZ-ugRS2x7EBVt56UNcND/view?usp=drivesdk" TargetMode="External" Id="rId129"/><Relationship Type="http://schemas.openxmlformats.org/officeDocument/2006/relationships/hyperlink" Target="https://drive.google.com/file/d/1b6ji8zFUVYjmRKJuA34QKOpaZJMDOKjA/view?usp=drivesdk" TargetMode="External" Id="rId130"/><Relationship Type="http://schemas.openxmlformats.org/officeDocument/2006/relationships/hyperlink" Target="https://drive.google.com/file/d/1OQQ1lB47ZCX7Om94DhLzarLwJTdnUuLc/view?usp=drivesdk" TargetMode="External" Id="rId131"/><Relationship Type="http://schemas.openxmlformats.org/officeDocument/2006/relationships/hyperlink" Target="https://drive.google.com/file/d/1d9pvNwNiOQw_MyWdxleMQeDVPsKkWErb/view?usp=drivesdk" TargetMode="External" Id="rId132"/><Relationship Type="http://schemas.openxmlformats.org/officeDocument/2006/relationships/hyperlink" Target="https://drive.google.com/file/d/1eXukirDBepURH2wGJznQYyf3sA-qFKP0/view?usp=drivesdk" TargetMode="External" Id="rId133"/><Relationship Type="http://schemas.openxmlformats.org/officeDocument/2006/relationships/hyperlink" Target="https://drive.google.com/file/d/1GYDsZ__qG1_3BdvEs74VD4SYNaF3_EpL/view?usp=drivesdk" TargetMode="External" Id="rId134"/><Relationship Type="http://schemas.openxmlformats.org/officeDocument/2006/relationships/hyperlink" Target="https://drive.google.com/file/d/1uHVZs3c_EG6TKsh5Hfzy--7VP3qpcTsu/view?usp=drivesdk" TargetMode="External" Id="rId135"/><Relationship Type="http://schemas.openxmlformats.org/officeDocument/2006/relationships/hyperlink" Target="https://drive.google.com/file/d/1-2x6-Z7FgEnPb6bIoc9BX7-tJQ1w7ark/view?usp=drivesdk" TargetMode="External" Id="rId136"/><Relationship Type="http://schemas.openxmlformats.org/officeDocument/2006/relationships/hyperlink" Target="https://drive.google.com/file/d/1AIMu4-5W6EW6cLoq5xChTVxf0vpbjiaz/view?usp=drivesdk" TargetMode="External" Id="rId137"/><Relationship Type="http://schemas.openxmlformats.org/officeDocument/2006/relationships/hyperlink" Target="https://drive.google.com/file/d/1LqL2t7rY1OSsB7NCrcuMHBW6xlXfGvbZ/view?usp=drivesdk" TargetMode="External" Id="rId138"/><Relationship Type="http://schemas.openxmlformats.org/officeDocument/2006/relationships/hyperlink" Target="https://drive.google.com/file/d/1iy1QIYbN8CVwvaf4sVVnKYTfqal90omc/view?usp=drivesdk" TargetMode="External" Id="rId139"/><Relationship Type="http://schemas.openxmlformats.org/officeDocument/2006/relationships/hyperlink" Target="https://drive.google.com/file/d/1bTwPI4Y4TMlThO7-r3MuMpLdmHnV53Vu/view?usp=drivesdk" TargetMode="External" Id="rId140"/><Relationship Type="http://schemas.openxmlformats.org/officeDocument/2006/relationships/hyperlink" Target="https://drive.google.com/file/d/1qUP1EnJ4R63-G1eCPvX4rn6e1kIfUCwp/view?usp=drivesdk" TargetMode="External" Id="rId141"/><Relationship Type="http://schemas.openxmlformats.org/officeDocument/2006/relationships/hyperlink" Target="https://drive.google.com/file/d/1Qro-GExvh-sobLZkOtLhjxVoHO9LYZUQ/view?usp=drivesdk" TargetMode="External" Id="rId142"/><Relationship Type="http://schemas.openxmlformats.org/officeDocument/2006/relationships/hyperlink" Target="https://drive.google.com/file/d/1WsQjo6NurwEc5_HK30rS8bkc_-F0HxR6/view?usp=drivesdk" TargetMode="External" Id="rId143"/><Relationship Type="http://schemas.openxmlformats.org/officeDocument/2006/relationships/hyperlink" Target="https://drive.google.com/file/d/1xAwFdC4lIER-SIf67pozkdgI0S4l8ivd/view?usp=drivesdk" TargetMode="External" Id="rId144"/><Relationship Type="http://schemas.openxmlformats.org/officeDocument/2006/relationships/hyperlink" Target="https://drive.google.com/file/d/1yDuWgnpeJ8oRMW1_sHFb4ZcgZ8QFKIX8/view?usp=drivesdk" TargetMode="External" Id="rId145"/><Relationship Type="http://schemas.openxmlformats.org/officeDocument/2006/relationships/hyperlink" Target="https://drive.google.com/file/d/1Oci6PqfYYAeoCoi0ZmB9p8REpmSqehz6/view?usp=drivesdk" TargetMode="External" Id="rId146"/><Relationship Type="http://schemas.openxmlformats.org/officeDocument/2006/relationships/hyperlink" Target="https://drive.google.com/file/d/1yq1r42DZehi6pokccH5MNMX1nbiU_8ku/view?usp=drivesdk" TargetMode="External" Id="rId147"/><Relationship Type="http://schemas.openxmlformats.org/officeDocument/2006/relationships/hyperlink" Target="https://drive.google.com/file/d/1D7YLUsUiNAxt8LDrrTrgToIPMddc0c5b/view?usp=drivesdk" TargetMode="External" Id="rId148"/><Relationship Type="http://schemas.openxmlformats.org/officeDocument/2006/relationships/hyperlink" Target="https://drive.google.com/file/d/1h1PSl-x4QHnhSiQmQ6FIoBHCZQI1uAMQ/view?usp=drivesdk" TargetMode="External" Id="rId149"/><Relationship Type="http://schemas.openxmlformats.org/officeDocument/2006/relationships/hyperlink" Target="https://drive.google.com/file/d/1g0WYupdWElIOIfSmaCIut_tXmR21TLwk/view?usp=drivesdk" TargetMode="External" Id="rId150"/><Relationship Type="http://schemas.openxmlformats.org/officeDocument/2006/relationships/hyperlink" Target="https://drive.google.com/file/d/1KJ3tKv0Iyaf1OZcLQWT7j-adn1gQq5eI/view?usp=drivesdk" TargetMode="External" Id="rId151"/><Relationship Type="http://schemas.openxmlformats.org/officeDocument/2006/relationships/hyperlink" Target="https://drive.google.com/file/d/169ZVf-dpC_CUtd7qg_Dzi685PYhSqAbD/view?usp=drivesdk" TargetMode="External" Id="rId152"/><Relationship Type="http://schemas.openxmlformats.org/officeDocument/2006/relationships/hyperlink" Target="https://drive.google.com/file/d/13Y4cSE_KL-yCIuYL3bnzfUAMlzk11tUl/view?usp=drivesdk" TargetMode="External" Id="rId153"/><Relationship Type="http://schemas.openxmlformats.org/officeDocument/2006/relationships/hyperlink" Target="https://drive.google.com/file/d/1C7XzZYWWmY0djaqPV9Q2gHmoTF-R6GMf/view?usp=drivesdk" TargetMode="External" Id="rId154"/><Relationship Type="http://schemas.openxmlformats.org/officeDocument/2006/relationships/hyperlink" Target="https://drive.google.com/file/d/1tFrZNAUxLSkAOnfoSVk1_MploSOGJUtT/view?usp=drivesdk" TargetMode="External" Id="rId155"/><Relationship Type="http://schemas.openxmlformats.org/officeDocument/2006/relationships/hyperlink" Target="https://drive.google.com/file/d/1NLh0WeYRBHLnwn_xjwNGjDdp1q-batQN/view?usp=drivesdk" TargetMode="External" Id="rId156"/><Relationship Type="http://schemas.openxmlformats.org/officeDocument/2006/relationships/hyperlink" Target="https://drive.google.com/file/d/1QL67UWWjImuV8140sgEa2KcrFfeq07GE/view?usp=drivesdk" TargetMode="External" Id="rId157"/><Relationship Type="http://schemas.openxmlformats.org/officeDocument/2006/relationships/hyperlink" Target="https://drive.google.com/file/d/1utg_L_ZeiE7s_UEHj0ZFAui1E3IrRfcJ/view?usp=drivesdk" TargetMode="External" Id="rId158"/><Relationship Type="http://schemas.openxmlformats.org/officeDocument/2006/relationships/hyperlink" Target="https://drive.google.com/file/d/1UvJ5HKlfDpJqjHICg046eOn-zdlV6kPG/view?usp=drivesdk" TargetMode="External" Id="rId159"/><Relationship Type="http://schemas.openxmlformats.org/officeDocument/2006/relationships/hyperlink" Target="https://drive.google.com/file/d/14ZEMvGVMO53FSCQ3jC7EYEtdREL52G8I/view?usp=drivesdk" TargetMode="External" Id="rId160"/><Relationship Type="http://schemas.openxmlformats.org/officeDocument/2006/relationships/hyperlink" Target="https://drive.google.com/file/d/1WVh_8GxKG2uyeeLveiQ-lFGyK8mslSoR/view?usp=drivesdk" TargetMode="External" Id="rId161"/><Relationship Type="http://schemas.openxmlformats.org/officeDocument/2006/relationships/hyperlink" Target="https://drive.google.com/file/d/1WVh_8GxKG2uyeeLveiQ-lFGyK8mslSoR/view?usp=drivesdk" TargetMode="External" Id="rId162"/><Relationship Type="http://schemas.openxmlformats.org/officeDocument/2006/relationships/hyperlink" Target="https://drive.google.com/file/d/1Um-H-3y0SB4E4R3HEavD-bI4lXFW8y2X/view?usp=drivesdk" TargetMode="External" Id="rId163"/><Relationship Type="http://schemas.openxmlformats.org/officeDocument/2006/relationships/hyperlink" Target="https://drive.google.com/file/d/1kG4iTL7rVDpQrcSDFJA0JzVE0hNuiLKc/view?usp=drivesdk" TargetMode="External" Id="rId164"/><Relationship Type="http://schemas.openxmlformats.org/officeDocument/2006/relationships/hyperlink" Target="https://drive.google.com/file/d/1gDlq6Zum-eIMUjbaI329tWP9UutsRoFn/view?usp=drivesdk" TargetMode="External" Id="rId165"/><Relationship Type="http://schemas.openxmlformats.org/officeDocument/2006/relationships/hyperlink" Target="https://drive.google.com/file/d/1pNcZKxAtFRGUPPAFVD2p8ORXGSCcvxM8/view?usp=drivesdk" TargetMode="External" Id="rId166"/><Relationship Type="http://schemas.openxmlformats.org/officeDocument/2006/relationships/hyperlink" Target="https://drive.google.com/file/d/1fWIKp9xwGFVs0EnOaVMSISVNLAoKF55J/view?usp=drivesdk" TargetMode="External" Id="rId167"/><Relationship Type="http://schemas.openxmlformats.org/officeDocument/2006/relationships/hyperlink" Target="https://drive.google.com/file/d/1_PRZPCF2n_fsb6zunrLDKEZp80W3Q93u/view?usp=drivesdk" TargetMode="External" Id="rId168"/><Relationship Type="http://schemas.openxmlformats.org/officeDocument/2006/relationships/hyperlink" Target="https://drive.google.com/file/d/1aufMJKin3F7J6AwemVul-WoCRomRbNzu/view?usp=drivesdk" TargetMode="External" Id="rId169"/><Relationship Type="http://schemas.openxmlformats.org/officeDocument/2006/relationships/hyperlink" Target="https://drive.google.com/file/d/1GfRXVBB4zyDoTFEKDi0ckGTCBpwXHOck/view?usp=drivesdk" TargetMode="External" Id="rId170"/><Relationship Type="http://schemas.openxmlformats.org/officeDocument/2006/relationships/hyperlink" Target="https://drive.google.com/file/d/1J-z8azzb9uu-kOygHU93RWJbueKbusoj/view?usp=drivesdk" TargetMode="External" Id="rId171"/><Relationship Type="http://schemas.openxmlformats.org/officeDocument/2006/relationships/hyperlink" Target="https://drive.google.com/file/d/1shKglX6RKHtpDznVmoTGzize0ljvCQKY/view?usp=drivesdk" TargetMode="External" Id="rId172"/><Relationship Type="http://schemas.openxmlformats.org/officeDocument/2006/relationships/hyperlink" Target="https://drive.google.com/file/d/1fgQQ72SHNkE5TgOiDuT6jEgxsnAuQtJ8/view?usp=drivesdk" TargetMode="External" Id="rId173"/><Relationship Type="http://schemas.openxmlformats.org/officeDocument/2006/relationships/hyperlink" Target="https://drive.google.com/file/d/1xtIwK6CcO_dJrRFvc8Nk7kUG9IQKSMFd/view?usp=drivesdk" TargetMode="External" Id="rId174"/><Relationship Type="http://schemas.openxmlformats.org/officeDocument/2006/relationships/hyperlink" Target="https://drive.google.com/file/d/1Jd_fBXXAeJPJie0WSuIQUMhk54l8ilbA/view?usp=drivesdk" TargetMode="External" Id="rId175"/><Relationship Type="http://schemas.openxmlformats.org/officeDocument/2006/relationships/hyperlink" Target="https://drive.google.com/file/d/1HhqmtaOLJO63XUTNd66uSS-7YAbTJOgy/view?usp=drivesdk" TargetMode="External" Id="rId176"/><Relationship Type="http://schemas.openxmlformats.org/officeDocument/2006/relationships/hyperlink" Target="https://drive.google.com/file/d/108nLH-TqG2O8HUREMoRI8Eeqx2oAssSy/view?usp=drivesdk" TargetMode="External" Id="rId177"/><Relationship Type="http://schemas.openxmlformats.org/officeDocument/2006/relationships/hyperlink" Target="https://drive.google.com/file/d/1y2Pd3XF5RPfWDX8Y451Vo-4QRT8fM_V7/view?usp=drivesdk" TargetMode="External" Id="rId178"/><Relationship Type="http://schemas.openxmlformats.org/officeDocument/2006/relationships/hyperlink" Target="https://drive.google.com/file/d/1CYORX9Zggmn3sIU15tdD4Vd-59VYUj6l/view?usp=drivesdk" TargetMode="External" Id="rId179"/><Relationship Type="http://schemas.openxmlformats.org/officeDocument/2006/relationships/hyperlink" Target="https://drive.google.com/file/d/1NoAiDA9cwn1kZ4Db6sMTmD-W0C90fYah/view?usp=drivesdk" TargetMode="External" Id="rId180"/><Relationship Type="http://schemas.openxmlformats.org/officeDocument/2006/relationships/hyperlink" Target="https://drive.google.com/file/d/1IMm80lZHVMDedI-dBYoLfYeaBDb-GvYp/view?usp=drivesdk" TargetMode="External" Id="rId181"/><Relationship Type="http://schemas.openxmlformats.org/officeDocument/2006/relationships/hyperlink" Target="https://drive.google.com/file/d/1zjjdcZ4iWZUB7MiRu0_UtGnOM2aqhKY7/view?usp=drivesdk" TargetMode="External" Id="rId182"/><Relationship Type="http://schemas.openxmlformats.org/officeDocument/2006/relationships/hyperlink" Target="https://drive.google.com/file/d/1a1wi4NBpxS2ZnuMhRBbDi-p5FeoP9Lyo/view?usp=drivesdk" TargetMode="External" Id="rId183"/><Relationship Type="http://schemas.openxmlformats.org/officeDocument/2006/relationships/hyperlink" Target="https://drive.google.com/file/d/1neKvQdVChZSzSzLc1s0Nk6TpqlFg2WM-/view?usp=drivesdk" TargetMode="External" Id="rId184"/><Relationship Type="http://schemas.openxmlformats.org/officeDocument/2006/relationships/hyperlink" Target="https://drive.google.com/file/d/1SHQr9Eo31j73u-Xi9wkjl7OdetZNaIkK/view?usp=drivesdk" TargetMode="External" Id="rId185"/><Relationship Type="http://schemas.openxmlformats.org/officeDocument/2006/relationships/hyperlink" Target="https://drive.google.com/file/d/10XhZUmh2y_zI1nCQprsW3WGsc0Z8DffH/view?usp=drivesdk" TargetMode="External" Id="rId186"/><Relationship Type="http://schemas.openxmlformats.org/officeDocument/2006/relationships/hyperlink" Target="https://drive.google.com/file/d/17Ek62sh-YFeVHGElAuzytq_mz_bv9lRm/view?usp=drivesdk" TargetMode="External" Id="rId187"/><Relationship Type="http://schemas.openxmlformats.org/officeDocument/2006/relationships/hyperlink" Target="https://drive.google.com/file/d/1hseCJV-lW3ZGx8CDhaVT9rTaWQc9w7as/view?usp=drivesdk" TargetMode="External" Id="rId188"/><Relationship Type="http://schemas.openxmlformats.org/officeDocument/2006/relationships/hyperlink" Target="https://drive.google.com/file/d/1Qm1jiWgWNup4Sj0droRdZ7CtjyyKJ_2W/view?usp=drivesdk" TargetMode="External" Id="rId189"/><Relationship Type="http://schemas.openxmlformats.org/officeDocument/2006/relationships/hyperlink" Target="https://drive.google.com/file/d/1LlN1eVuJj4qYV-uLANKKRpLp4FkBBb4q/view?usp=drivesdk" TargetMode="External" Id="rId190"/><Relationship Type="http://schemas.openxmlformats.org/officeDocument/2006/relationships/hyperlink" Target="https://drive.google.com/file/d/1qTSgOtYtt8EXyMzBNf2PZqQ0R2RAbKMr/view?usp=drivesdk" TargetMode="External" Id="rId191"/><Relationship Type="http://schemas.openxmlformats.org/officeDocument/2006/relationships/hyperlink" Target="https://drive.google.com/file/d/1wG-V_OStEbr_R9_GShYcS16GwopWbMel/view?usp=drivesdk" TargetMode="External" Id="rId192"/><Relationship Type="http://schemas.openxmlformats.org/officeDocument/2006/relationships/hyperlink" Target="https://drive.google.com/file/d/1kWK-nhKL8XHkIfGP8bAJ1n63c3-E5PZI/view?usp=drivesdk" TargetMode="External" Id="rId193"/><Relationship Type="http://schemas.openxmlformats.org/officeDocument/2006/relationships/hyperlink" Target="https://drive.google.com/file/d/1HNxvoTDAuPyxvizaTUF-zjm8pvPuaFRM/view?usp=drivesdk" TargetMode="External" Id="rId194"/><Relationship Type="http://schemas.openxmlformats.org/officeDocument/2006/relationships/hyperlink" Target="https://drive.google.com/file/d/1WtcXKpfeMG9lQ7Bhe_S7vi28C4N5CGfM/view?usp=drivesdk" TargetMode="External" Id="rId195"/><Relationship Type="http://schemas.openxmlformats.org/officeDocument/2006/relationships/hyperlink" Target="https://drive.google.com/file/d/1gRxclSn282FxKlw-VxT_59xNr4EvM_rP/view?usp=drivesdk" TargetMode="External" Id="rId196"/><Relationship Type="http://schemas.openxmlformats.org/officeDocument/2006/relationships/hyperlink" Target="https://drive.google.com/file/d/1F-G4xDVLE82p_E5yrE7XgnIg0xwyqhdh/view?usp=drivesdk" TargetMode="External" Id="rId197"/><Relationship Type="http://schemas.openxmlformats.org/officeDocument/2006/relationships/hyperlink" Target="https://drive.google.com/file/d/1uzkz_WpvkOtugQ7mwNCx56xNgKKzhPz5/view?usp=drivesdk" TargetMode="External" Id="rId198"/><Relationship Type="http://schemas.openxmlformats.org/officeDocument/2006/relationships/hyperlink" Target="https://drive.google.com/file/d/1DgsN0GhwdBqQW0OqjeZGFCuiDJqiow9N/view?usp=drivesdk" TargetMode="External" Id="rId199"/><Relationship Type="http://schemas.openxmlformats.org/officeDocument/2006/relationships/hyperlink" Target="https://drive.google.com/file/d/1hSbdyVtFem4JoSVvDBMvEyc78XeDny9h/view?usp=drivesdk" TargetMode="External" Id="rId200"/><Relationship Type="http://schemas.openxmlformats.org/officeDocument/2006/relationships/hyperlink" Target="https://drive.google.com/file/d/1t20RAlpFXdl7ydDorYH1QGVDM5tmLU_N/view?usp=drivesdk" TargetMode="External" Id="rId201"/><Relationship Type="http://schemas.openxmlformats.org/officeDocument/2006/relationships/hyperlink" Target="https://drive.google.com/file/d/1sz5CJwF5TSyuHfbxZzMvQ-_nRbl8QQGl/view?usp=drivesdk" TargetMode="External" Id="rId202"/><Relationship Type="http://schemas.openxmlformats.org/officeDocument/2006/relationships/hyperlink" Target="https://drive.google.com/file/d/1DU3STvFB9C71pl8tyvdxgKEFex62qYBj/view?usp=drivesdk" TargetMode="External" Id="rId203"/><Relationship Type="http://schemas.openxmlformats.org/officeDocument/2006/relationships/hyperlink" Target="https://drive.google.com/file/d/1_G5WRnP75gqITtHoQHzeeMcsL0Ge1w1g/view?usp=drivesdk" TargetMode="External" Id="rId204"/><Relationship Type="http://schemas.openxmlformats.org/officeDocument/2006/relationships/hyperlink" Target="https://drive.google.com/file/d/1QC50pJqVJ0i-NuQB-DIB4O5jP1mr1HQq/view?usp=drivesdk" TargetMode="External" Id="rId205"/><Relationship Type="http://schemas.openxmlformats.org/officeDocument/2006/relationships/hyperlink" Target="https://drive.google.com/file/d/1QC50pJqVJ0i-NuQB-DIB4O5jP1mr1HQq/view?usp=drivesdk" TargetMode="External" Id="rId206"/><Relationship Type="http://schemas.openxmlformats.org/officeDocument/2006/relationships/hyperlink" Target="https://drive.google.com/file/d/18gyPa-FjM7tQ5VetQ-cmJsj21WMqB7YJ/view?usp=drivesdk" TargetMode="External" Id="rId207"/><Relationship Type="http://schemas.openxmlformats.org/officeDocument/2006/relationships/hyperlink" Target="https://drive.google.com/file/d/13vcEBkqDKaSJerk401zu6MdDFpeCSKic/view?usp=drivesdk" TargetMode="External" Id="rId208"/><Relationship Type="http://schemas.openxmlformats.org/officeDocument/2006/relationships/hyperlink" Target="https://drive.google.com/file/d/1bP1XnXo2Vs8zIS0sVNRvq52xJQH7BSfD/view?usp=drivesdk" TargetMode="External" Id="rId209"/><Relationship Type="http://schemas.openxmlformats.org/officeDocument/2006/relationships/hyperlink" Target="https://drive.google.com/file/d/1ddnzOxZZgaXtVcRqNHeEt9LTz5s8C26J/view?usp=drivesdk" TargetMode="External" Id="rId210"/><Relationship Type="http://schemas.openxmlformats.org/officeDocument/2006/relationships/hyperlink" Target="https://drive.google.com/file/d/1Z-NJHduArecH7-687SOBbQfa8Ef1m52p/view?usp=drivesdk" TargetMode="External" Id="rId211"/><Relationship Type="http://schemas.openxmlformats.org/officeDocument/2006/relationships/hyperlink" Target="https://drive.google.com/file/d/1Vrl6xivRyb6m6ejGzxlmhKpf8SGfwWi5/view?usp=drivesdk" TargetMode="External" Id="rId212"/><Relationship Type="http://schemas.openxmlformats.org/officeDocument/2006/relationships/hyperlink" Target="https://drive.google.com/file/d/1UnDE9gtwPEZEOWrG61Dh0d3om0P0hNmY/view?usp=drivesdk" TargetMode="External" Id="rId213"/><Relationship Type="http://schemas.openxmlformats.org/officeDocument/2006/relationships/hyperlink" Target="https://drive.google.com/file/d/1dNFC8T98mqy3XBbKyNqJTibTHwywiH0w/view?usp=drivesdk" TargetMode="External" Id="rId214"/><Relationship Type="http://schemas.openxmlformats.org/officeDocument/2006/relationships/hyperlink" Target="https://drive.google.com/file/d/1XlImU2FDEY3qDGb6OzwfAoJHISYfAFxW/view?usp=drivesdk" TargetMode="External" Id="rId215"/><Relationship Type="http://schemas.openxmlformats.org/officeDocument/2006/relationships/hyperlink" Target="https://drive.google.com/file/d/16I5ZKb2toSiWXkmD2JfWaTD2l6GJGxNb/view?usp=drivesdk" TargetMode="External" Id="rId216"/><Relationship Type="http://schemas.openxmlformats.org/officeDocument/2006/relationships/hyperlink" Target="https://drive.google.com/file/d/1YQrw6oy7bbjK-GZ170J4VWJ2juAJj-zp/view?usp=drivesdk" TargetMode="External" Id="rId217"/><Relationship Type="http://schemas.openxmlformats.org/officeDocument/2006/relationships/hyperlink" Target="https://drive.google.com/file/d/1Dk0xF7GTwRwpwe6q639nsE6S5ZUDgbhn/view?usp=drivesdk" TargetMode="External" Id="rId218"/><Relationship Type="http://schemas.openxmlformats.org/officeDocument/2006/relationships/hyperlink" Target="https://drive.google.com/file/d/1CpIO27AYZwKFhYqADCJqAFUfzmGYX1jB/view?usp=drivesdk" TargetMode="External" Id="rId219"/><Relationship Type="http://schemas.openxmlformats.org/officeDocument/2006/relationships/hyperlink" Target="https://drive.google.com/file/d/1N4PgFo3qXBFERfXxKcPRxkhuPXK_iMGz/view?usp=drivesdk" TargetMode="External" Id="rId220"/><Relationship Type="http://schemas.openxmlformats.org/officeDocument/2006/relationships/hyperlink" Target="https://drive.google.com/file/d/1hSvT2XMVg0VvFYhPyTD_ADiiBKI1iij7/view?usp=drivesdk" TargetMode="External" Id="rId221"/><Relationship Type="http://schemas.openxmlformats.org/officeDocument/2006/relationships/hyperlink" Target="https://drive.google.com/file/d/1dmmc21x-Eahne2P1X3NribMytJp5ye0J/view?usp=drivesdk" TargetMode="External" Id="rId222"/><Relationship Type="http://schemas.openxmlformats.org/officeDocument/2006/relationships/hyperlink" Target="https://drive.google.com/file/d/12ZMr_rPlm4lR5d28kRWluthVsApBM0A9/view?usp=drivesdk" TargetMode="External" Id="rId223"/><Relationship Type="http://schemas.openxmlformats.org/officeDocument/2006/relationships/hyperlink" Target="https://drive.google.com/file/d/1WP7QJci24cji4LkjLiqN37uKRrMZiuYf/view?usp=drivesdk" TargetMode="External" Id="rId224"/><Relationship Type="http://schemas.openxmlformats.org/officeDocument/2006/relationships/hyperlink" Target="https://drive.google.com/file/d/1C9OFjg948iaVDl6alGxwdKjzClTqVmzh/view?usp=drivesdk" TargetMode="External" Id="rId225"/><Relationship Type="http://schemas.openxmlformats.org/officeDocument/2006/relationships/hyperlink" Target="https://drive.google.com/file/d/1RO3XMApWz_1sWmInPLaP0R3YGhdk4770/view?usp=drivesdk" TargetMode="External" Id="rId226"/><Relationship Type="http://schemas.openxmlformats.org/officeDocument/2006/relationships/hyperlink" Target="https://drive.google.com/file/d/18hkmVhYu_WL44gNroIIvKBMfJ0yEElOc/view?usp=drivesdk" TargetMode="External" Id="rId227"/><Relationship Type="http://schemas.openxmlformats.org/officeDocument/2006/relationships/hyperlink" Target="https://drive.google.com/file/d/1Yof-V8Kz29HVTFxUCi7UorngBKzjNMnI/view?usp=drivesdk" TargetMode="External" Id="rId228"/><Relationship Type="http://schemas.openxmlformats.org/officeDocument/2006/relationships/hyperlink" Target="https://drive.google.com/file/d/1DixA1Tz6W5b2XxaCVD8tAkSu2xPUc04A/view?usp=drivesdk" TargetMode="External" Id="rId229"/><Relationship Type="http://schemas.openxmlformats.org/officeDocument/2006/relationships/hyperlink" Target="https://drive.google.com/file/d/1NABPsfiGFZV0k2J-rxUOFhgiIZPyjmWn/view?usp=drivesdk" TargetMode="External" Id="rId230"/><Relationship Type="http://schemas.openxmlformats.org/officeDocument/2006/relationships/hyperlink" Target="https://drive.google.com/file/d/1NxnxN0hsWDPawsJ-qXIz8DRv1DvV9qEt/view?usp=drivesdk" TargetMode="External" Id="rId231"/><Relationship Type="http://schemas.openxmlformats.org/officeDocument/2006/relationships/hyperlink" Target="https://drive.google.com/file/d/1U5gezGP67tsRr4alWLfj4D2iMqbLcLKZ/view?usp=drivesdk" TargetMode="External" Id="rId232"/><Relationship Type="http://schemas.openxmlformats.org/officeDocument/2006/relationships/hyperlink" Target="https://drive.google.com/file/d/1SA4opWiaSdx-HZKmzMkcov2SARtChToj/view?usp=drivesdk" TargetMode="External" Id="rId233"/><Relationship Type="http://schemas.openxmlformats.org/officeDocument/2006/relationships/hyperlink" Target="https://drive.google.com/file/d/1aUtKmMLn_0dFuBFl0IFjGUjPd5W1jvpJ/view?usp=drivesdk" TargetMode="External" Id="rId234"/><Relationship Type="http://schemas.openxmlformats.org/officeDocument/2006/relationships/hyperlink" Target="https://drive.google.com/file/d/1br154ko-w5SWNU9KJkFsJr_umOeT6WT5/view?usp=drivesdk" TargetMode="External" Id="rId235"/><Relationship Type="http://schemas.openxmlformats.org/officeDocument/2006/relationships/hyperlink" Target="https://drive.google.com/file/d/1g2rCagUiFrWufRG2cigJM_MwKvFG_TVz/view?usp=drivesdk" TargetMode="External" Id="rId236"/><Relationship Type="http://schemas.openxmlformats.org/officeDocument/2006/relationships/hyperlink" Target="https://drive.google.com/file/d/1m4tDu-Qv9G7N2180DKziSDxNdCfEl_WO/view?usp=drivesdk" TargetMode="External" Id="rId237"/><Relationship Type="http://schemas.openxmlformats.org/officeDocument/2006/relationships/hyperlink" Target="https://drive.google.com/file/d/1sVxaM7c7ro_BWT619qMcLYsIadHXGWjf/view?usp=drivesdk" TargetMode="External" Id="rId238"/><Relationship Type="http://schemas.openxmlformats.org/officeDocument/2006/relationships/hyperlink" Target="https://drive.google.com/file/d/1HdpQJ4SzVgnALHIwXcV9Uc359z0F959t/view?usp=drivesdk" TargetMode="External" Id="rId239"/><Relationship Type="http://schemas.openxmlformats.org/officeDocument/2006/relationships/hyperlink" Target="https://drive.google.com/file/d/11fzh7v-knNoebz-SL7BAO0xFvhdcG1pc/view?usp=drivesdk" TargetMode="External" Id="rId240"/><Relationship Type="http://schemas.openxmlformats.org/officeDocument/2006/relationships/hyperlink" Target="https://drive.google.com/file/d/1JJ5U5VcH4sPcZutpn8t0O91NeqmU9h4Z/view?usp=drivesdk" TargetMode="External" Id="rId241"/><Relationship Type="http://schemas.openxmlformats.org/officeDocument/2006/relationships/hyperlink" Target="https://drive.google.com/file/d/1hsrjTnQRs5UZHmyGtU8GEKmhg6OnaOR0/view?usp=drivesdk" TargetMode="External" Id="rId242"/><Relationship Type="http://schemas.openxmlformats.org/officeDocument/2006/relationships/hyperlink" Target="https://drive.google.com/file/d/14SWt4aI3mpcc2JcOyEvtNVRpfTeEApJx/view?usp=drivesdk" TargetMode="External" Id="rId243"/><Relationship Type="http://schemas.openxmlformats.org/officeDocument/2006/relationships/hyperlink" Target="https://drive.google.com/file/d/1ySbsUOivk1CHzuqLZMmYflN7JGgb7YxG/view?usp=drivesdk" TargetMode="External" Id="rId244"/><Relationship Type="http://schemas.openxmlformats.org/officeDocument/2006/relationships/hyperlink" Target="https://drive.google.com/file/d/16YChZbBCf1mQOM_XcL3wiQ3I6ZTwG3TC/view?usp=drivesdk" TargetMode="External" Id="rId245"/><Relationship Type="http://schemas.openxmlformats.org/officeDocument/2006/relationships/hyperlink" Target="https://drive.google.com/file/d/1lOPw9iNdJu3W3I9AY83Ba64ZUyx-zQ2H/view?usp=drivesdk" TargetMode="External" Id="rId246"/><Relationship Type="http://schemas.openxmlformats.org/officeDocument/2006/relationships/hyperlink" Target="https://drive.google.com/file/d/18Q_wneeRJsY-rIVc2cgljHGg851sdIXn/view?usp=drivesdk" TargetMode="External" Id="rId247"/><Relationship Type="http://schemas.openxmlformats.org/officeDocument/2006/relationships/hyperlink" Target="https://drive.google.com/file/d/1yP5EMaXBB_RAkXZBCYiBhdZivL2RL9vu/view?usp=drivesdk" TargetMode="External" Id="rId248"/><Relationship Type="http://schemas.openxmlformats.org/officeDocument/2006/relationships/hyperlink" Target="https://drive.google.com/file/d/1NzZGjsV5UqowNMJybtHzUpOwptbWP90U/view?usp=drivesdk" TargetMode="External" Id="rId249"/><Relationship Type="http://schemas.openxmlformats.org/officeDocument/2006/relationships/hyperlink" Target="https://drive.google.com/file/d/1dc_aCSfMK0aOZu_N-KKgXaADVO-6nJEq/view?usp=drivesdk" TargetMode="External" Id="rId250"/><Relationship Type="http://schemas.openxmlformats.org/officeDocument/2006/relationships/hyperlink" Target="https://drive.google.com/file/d/11nkukv17pfAVrTptnbX00vOKulu5jUmH/view?usp=drivesdk" TargetMode="External" Id="rId251"/><Relationship Type="http://schemas.openxmlformats.org/officeDocument/2006/relationships/hyperlink" Target="https://drive.google.com/file/d/16zkuCldvX7RVt9lyKacMvkxmSaaog8ul/view?usp=drivesdk" TargetMode="External" Id="rId252"/><Relationship Type="http://schemas.openxmlformats.org/officeDocument/2006/relationships/hyperlink" Target="https://drive.google.com/file/d/166wUMgV3SBHipXkuxTNrS2CzTQEhUbUO/view?usp=drivesdk" TargetMode="External" Id="rId253"/><Relationship Type="http://schemas.openxmlformats.org/officeDocument/2006/relationships/hyperlink" Target="https://drive.google.com/file/d/1Qh59vzSEgMwIBqMHSI4mm6VBzOKGBHy6/view?usp=drivesdk" TargetMode="External" Id="rId254"/><Relationship Type="http://schemas.openxmlformats.org/officeDocument/2006/relationships/hyperlink" Target="https://drive.google.com/file/d/1oYdGNNkTH5UHIJqKmry7Hwd4blTXwx2U/view?usp=drivesdk" TargetMode="External" Id="rId255"/><Relationship Type="http://schemas.openxmlformats.org/officeDocument/2006/relationships/hyperlink" Target="https://drive.google.com/file/d/1g2_Uzz2pZyxRIvLeLbm92_NRpSRWFhWC/view?usp=drivesdk" TargetMode="External" Id="rId256"/><Relationship Type="http://schemas.openxmlformats.org/officeDocument/2006/relationships/hyperlink" Target="https://drive.google.com/file/d/1NTTQ0GfYXGRLMjb9JzaVQUreuF5aARGp/view?usp=drivesdk" TargetMode="External" Id="rId257"/><Relationship Type="http://schemas.openxmlformats.org/officeDocument/2006/relationships/hyperlink" Target="https://drive.google.com/file/d/1I6H1omawcw5Be01IubiDlz8RDBKB0kcd/view?usp=drivesdk" TargetMode="External" Id="rId258"/><Relationship Type="http://schemas.openxmlformats.org/officeDocument/2006/relationships/hyperlink" Target="https://drive.google.com/file/d/14VMCuf4u87NNWjcx9C3H2yysZN1jqyTf/view?usp=drivesdk" TargetMode="External" Id="rId259"/><Relationship Type="http://schemas.openxmlformats.org/officeDocument/2006/relationships/hyperlink" Target="https://drive.google.com/file/d/1gmWh5ZgXhifus_kfGZ-bL8_sLe8eUug3/view?usp=drivesdk" TargetMode="External" Id="rId260"/><Relationship Type="http://schemas.openxmlformats.org/officeDocument/2006/relationships/hyperlink" Target="https://drive.google.com/file/d/17hLMBW75hT4b6Q8RWmnLCnkK6axE-wzU/view?usp=drivesdk" TargetMode="External" Id="rId261"/><Relationship Type="http://schemas.openxmlformats.org/officeDocument/2006/relationships/hyperlink" Target="https://drive.google.com/file/d/1-4m6d0UYjYO2RBrJjkiKAjW12aRalpOJ/view?usp=drivesdk" TargetMode="External" Id="rId262"/><Relationship Type="http://schemas.openxmlformats.org/officeDocument/2006/relationships/hyperlink" Target="https://drive.google.com/file/d/1c_luteIVUmgrg6i_GlfSo_qh5drW456A/view?usp=drivesdk" TargetMode="External" Id="rId263"/><Relationship Type="http://schemas.openxmlformats.org/officeDocument/2006/relationships/hyperlink" Target="https://drive.google.com/file/d/11RmOMn_ZgHdnziLzDS8hsaK7ZIkvkgTY/view?usp=drivesdk" TargetMode="External" Id="rId264"/><Relationship Type="http://schemas.openxmlformats.org/officeDocument/2006/relationships/hyperlink" Target="https://drive.google.com/file/d/11RGpKkEMdK77095ybWBCzfeU7QXtAazR/view?usp=drivesdk" TargetMode="External" Id="rId265"/><Relationship Type="http://schemas.openxmlformats.org/officeDocument/2006/relationships/hyperlink" Target="https://drive.google.com/file/d/1YItJo27rxIk2KucnIbPWCgV-kg6_TIFw/view?usp=drivesdk" TargetMode="External" Id="rId266"/><Relationship Type="http://schemas.openxmlformats.org/officeDocument/2006/relationships/hyperlink" Target="https://drive.google.com/file/d/1TiRvkJ6K7ctWCKH70UZtwyVtiBFJcZS3/view?usp=drivesdk" TargetMode="External" Id="rId267"/><Relationship Type="http://schemas.openxmlformats.org/officeDocument/2006/relationships/hyperlink" Target="https://drive.google.com/file/d/1TCM1PAyZN1h600czUy8h9Vl6JYkcuBnA/view?usp=drivesdk" TargetMode="External" Id="rId268"/><Relationship Type="http://schemas.openxmlformats.org/officeDocument/2006/relationships/hyperlink" Target="https://drive.google.com/file/d/1j8eIoueeiDvnTZMGmyiF-LMtx0IPr9pM/view?usp=drivesdk" TargetMode="External" Id="rId269"/><Relationship Type="http://schemas.openxmlformats.org/officeDocument/2006/relationships/hyperlink" Target="https://drive.google.com/file/d/1y9fclbPoT1LX8B-Ccm6UQFRfFv51MzCl/view?usp=drivesdk" TargetMode="External" Id="rId270"/><Relationship Type="http://schemas.openxmlformats.org/officeDocument/2006/relationships/hyperlink" Target="https://drive.google.com/file/d/1F_ojYavt0rOVF-WoA4DILVHACGqB_Xhn/view?usp=drivesdk" TargetMode="External" Id="rId271"/><Relationship Type="http://schemas.openxmlformats.org/officeDocument/2006/relationships/hyperlink" Target="https://drive.google.com/file/d/1AB8Xr6NvMGSBv1SkJcKECSxweSG6nBi-/view?usp=drivesdk" TargetMode="External" Id="rId272"/><Relationship Type="http://schemas.openxmlformats.org/officeDocument/2006/relationships/hyperlink" Target="https://drive.google.com/file/d/1L3a_vME8SLzq0VCnSYsQFsMpA3aEhGLE/view?usp=drivesdk" TargetMode="External" Id="rId273"/><Relationship Type="http://schemas.openxmlformats.org/officeDocument/2006/relationships/hyperlink" Target="https://drive.google.com/file/d/1IG_3iLDTE3hoYuVx4M46MqklrzCKpRhc/view?usp=drivesdk" TargetMode="External" Id="rId274"/><Relationship Type="http://schemas.openxmlformats.org/officeDocument/2006/relationships/hyperlink" Target="https://drive.google.com/file/d/11zNwha_ZMtf4Wq3wVF4QzJj4bweWWdGI/view?usp=drivesdk" TargetMode="External" Id="rId275"/><Relationship Type="http://schemas.openxmlformats.org/officeDocument/2006/relationships/hyperlink" Target="https://drive.google.com/file/d/1ynEcwwwFHRw_j4UIzVQllup-ekY2huWO/view?usp=drivesdk" TargetMode="External" Id="rId276"/><Relationship Type="http://schemas.openxmlformats.org/officeDocument/2006/relationships/hyperlink" Target="https://drive.google.com/file/d/1RskEVbYtAKWbS4SEumveN8YHrWbIys-_/view?usp=drivesdk" TargetMode="External" Id="rId277"/><Relationship Type="http://schemas.openxmlformats.org/officeDocument/2006/relationships/hyperlink" Target="https://drive.google.com/file/d/1vPskc5Qm4-Coe1JxTlzp2VdJWX8WiKRm/view?usp=drivesdk" TargetMode="External" Id="rId27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4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hidden="1" width="2" customWidth="1" min="2" max="2"/>
    <col hidden="1" width="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LTD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Shopify daily average | Actualizado: 31/07/2026 09:47 h</t>
        </is>
      </c>
      <c r="B3" s="4" t="n"/>
      <c r="C3" s="4" t="n"/>
      <c r="D3" s="4">
        <f>IFERROR(IF(DATE(VALUE(LEFT(D$1,4)),VALUE(RIGHT(D$1,2)),1)&gt;TODAY(),"",IF(EOMONTH(DATE(VALUE(LEFT(D$1,4)),VALUE(RIGHT(D$1,2)),1),0)&lt;TODAY(),D6/DAY(EOMONTH(DATE(VALUE(LEFT(D$1,4)),VALUE(RIGHT(D$1,2)),1),0)),D6/MAX(NOW()-DATE(VALUE(LEFT(D$1,4)),VALUE(RIGHT(D$1,2)),1),1/24))),"")</f>
        <v/>
      </c>
      <c r="E3" s="4">
        <f>IFERROR(IF(DATE(VALUE(LEFT(E$1,4)),VALUE(RIGHT(E$1,2)),1)&gt;TODAY(),"",IF(EOMONTH(DATE(VALUE(LEFT(E$1,4)),VALUE(RIGHT(E$1,2)),1),0)&lt;TODAY(),E6/DAY(EOMONTH(DATE(VALUE(LEFT(E$1,4)),VALUE(RIGHT(E$1,2)),1),0)),E6/MAX(NOW()-DATE(VALUE(LEFT(E$1,4)),VALUE(RIGHT(E$1,2)),1),1/24))),"")</f>
        <v/>
      </c>
      <c r="F3" s="4">
        <f>IFERROR(IF(DATE(VALUE(LEFT(F$1,4)),VALUE(RIGHT(F$1,2)),1)&gt;TODAY(),"",IF(EOMONTH(DATE(VALUE(LEFT(F$1,4)),VALUE(RIGHT(F$1,2)),1),0)&lt;TODAY(),F6/DAY(EOMONTH(DATE(VALUE(LEFT(F$1,4)),VALUE(RIGHT(F$1,2)),1),0)),F6/MAX(NOW()-DATE(VALUE(LEFT(F$1,4)),VALUE(RIGHT(F$1,2)),1),1/24))),"")</f>
        <v/>
      </c>
      <c r="G3" s="4">
        <f>IFERROR(IF(DATE(VALUE(LEFT(G$1,4)),VALUE(RIGHT(G$1,2)),1)&gt;TODAY(),"",IF(EOMONTH(DATE(VALUE(LEFT(G$1,4)),VALUE(RIGHT(G$1,2)),1),0)&lt;TODAY(),G6/DAY(EOMONTH(DATE(VALUE(LEFT(G$1,4)),VALUE(RIGHT(G$1,2)),1),0)),G6/MAX(NOW()-DATE(VALUE(LEFT(G$1,4)),VALUE(RIGHT(G$1,2)),1),1/24))),"")</f>
        <v/>
      </c>
      <c r="H3" s="4">
        <f>IFERROR(IF(DATE(VALUE(LEFT(H$1,4)),VALUE(RIGHT(H$1,2)),1)&gt;TODAY(),"",IF(EOMONTH(DATE(VALUE(LEFT(H$1,4)),VALUE(RIGHT(H$1,2)),1),0)&lt;TODAY(),H6/DAY(EOMONTH(DATE(VALUE(LEFT(H$1,4)),VALUE(RIGHT(H$1,2)),1),0)),H6/MAX(NOW()-DATE(VALUE(LEFT(H$1,4)),VALUE(RIGHT(H$1,2)),1),1/24))),"")</f>
        <v/>
      </c>
      <c r="I3" s="4">
        <f>IFERROR(IF(DATE(VALUE(LEFT(I$1,4)),VALUE(RIGHT(I$1,2)),1)&gt;TODAY(),"",IF(EOMONTH(DATE(VALUE(LEFT(I$1,4)),VALUE(RIGHT(I$1,2)),1),0)&lt;TODAY(),I6/DAY(EOMONTH(DATE(VALUE(LEFT(I$1,4)),VALUE(RIGHT(I$1,2)),1),0)),I6/MAX(NOW()-DATE(VALUE(LEFT(I$1,4)),VALUE(RIGHT(I$1,2)),1),1/24))),"")</f>
        <v/>
      </c>
      <c r="J3" s="4">
        <f>IFERROR(IF(DATE(VALUE(LEFT(J$1,4)),VALUE(RIGHT(J$1,2)),1)&gt;TODAY(),"",IF(EOMONTH(DATE(VALUE(LEFT(J$1,4)),VALUE(RIGHT(J$1,2)),1),0)&lt;TODAY(),J6/DAY(EOMONTH(DATE(VALUE(LEFT(J$1,4)),VALUE(RIGHT(J$1,2)),1),0)),J6/MAX(NOW()-DATE(VALUE(LEFT(J$1,4)),VALUE(RIGHT(J$1,2)),1),1/24))),"")</f>
        <v/>
      </c>
      <c r="K3" s="4">
        <f>IFERROR(IF(DATE(VALUE(LEFT(K$1,4)),VALUE(RIGHT(K$1,2)),1)&gt;TODAY(),"",IF(EOMONTH(DATE(VALUE(LEFT(K$1,4)),VALUE(RIGHT(K$1,2)),1),0)&lt;TODAY(),K6/DAY(EOMONTH(DATE(VALUE(LEFT(K$1,4)),VALUE(RIGHT(K$1,2)),1),0)),K6/MAX(NOW()-DATE(VALUE(LEFT(K$1,4)),VALUE(RIGHT(K$1,2)),1),1/24))),"")</f>
        <v/>
      </c>
      <c r="L3" s="4">
        <f>IFERROR(IF(DATE(VALUE(LEFT(L$1,4)),VALUE(RIGHT(L$1,2)),1)&gt;TODAY(),"",IF(EOMONTH(DATE(VALUE(LEFT(L$1,4)),VALUE(RIGHT(L$1,2)),1),0)&lt;TODAY(),L6/DAY(EOMONTH(DATE(VALUE(LEFT(L$1,4)),VALUE(RIGHT(L$1,2)),1),0)),L6/MAX(NOW()-DATE(VALUE(LEFT(L$1,4)),VALUE(RIGHT(L$1,2)),1),1/24))),"")</f>
        <v/>
      </c>
      <c r="M3" s="4">
        <f>IFERROR(IF(DATE(VALUE(LEFT(M$1,4)),VALUE(RIGHT(M$1,2)),1)&gt;TODAY(),"",IF(EOMONTH(DATE(VALUE(LEFT(M$1,4)),VALUE(RIGHT(M$1,2)),1),0)&lt;TODAY(),M6/DAY(EOMONTH(DATE(VALUE(LEFT(M$1,4)),VALUE(RIGHT(M$1,2)),1),0)),M6/MAX(NOW()-DATE(VALUE(LEFT(M$1,4)),VALUE(RIGHT(M$1,2)),1),1/24))),"")</f>
        <v/>
      </c>
      <c r="N3" s="4">
        <f>IFERROR(IF(DATE(VALUE(LEFT(N$1,4)),VALUE(RIGHT(N$1,2)),1)&gt;TODAY(),"",IF(EOMONTH(DATE(VALUE(LEFT(N$1,4)),VALUE(RIGHT(N$1,2)),1),0)&lt;TODAY(),N6/DAY(EOMONTH(DATE(VALUE(LEFT(N$1,4)),VALUE(RIGHT(N$1,2)),1),0)),N6/MAX(NOW()-DATE(VALUE(LEFT(N$1,4)),VALUE(RIGHT(N$1,2)),1),1/24))),"")</f>
        <v/>
      </c>
      <c r="O3" s="4">
        <f>IFERROR(IF(DATE(VALUE(LEFT(O$1,4)),VALUE(RIGHT(O$1,2)),1)&gt;TODAY(),"",IF(EOMONTH(DATE(VALUE(LEFT(O$1,4)),VALUE(RIGHT(O$1,2)),1),0)&lt;TODAY(),O6/DAY(EOMONTH(DATE(VALUE(LEFT(O$1,4)),VALUE(RIGHT(O$1,2)),1),0)),O6/MAX(NOW()-DATE(VALUE(LEFT(O$1,4)),VALUE(RIGHT(O$1,2)),1),1/24))),"")</f>
        <v/>
      </c>
      <c r="P3" s="4" t="n"/>
      <c r="Q3" s="4" t="n"/>
    </row>
    <row r="4" ht="12" customHeight="1">
      <c r="A4" s="5" t="inlineStr">
        <is>
          <t>Turnover</t>
        </is>
      </c>
      <c r="B4" s="6" t="n"/>
      <c r="C4" s="6" t="n"/>
      <c r="D4" s="6">
        <f>D5+D9+D10</f>
        <v/>
      </c>
      <c r="E4" s="6">
        <f>E5+E9+E10</f>
        <v/>
      </c>
      <c r="F4" s="6">
        <f>F5+F9+F10</f>
        <v/>
      </c>
      <c r="G4" s="6">
        <f>G5+G9+G10</f>
        <v/>
      </c>
      <c r="H4" s="6">
        <f>H5+H9+H10</f>
        <v/>
      </c>
      <c r="I4" s="6">
        <f>I5+I9+I10</f>
        <v/>
      </c>
      <c r="J4" s="6">
        <f>J5+J9+J10</f>
        <v/>
      </c>
      <c r="K4" s="6">
        <f>K5+K9+K10</f>
        <v/>
      </c>
      <c r="L4" s="6">
        <f>L5+L9+L10</f>
        <v/>
      </c>
      <c r="M4" s="6">
        <f>M5+M9+M10</f>
        <v/>
      </c>
      <c r="N4" s="6">
        <f>N5+N9+N10</f>
        <v/>
      </c>
      <c r="O4" s="6">
        <f>O5+O9+O10</f>
        <v/>
      </c>
      <c r="P4" s="6">
        <f>SUM(D4:O4)</f>
        <v/>
      </c>
      <c r="Q4" s="6" t="n"/>
    </row>
    <row r="5" outlineLevel="1" ht="12" customHeight="1">
      <c r="A5" s="7" t="inlineStr">
        <is>
          <t xml:space="preserve">  Product sales</t>
        </is>
      </c>
      <c r="B5" s="8" t="n"/>
      <c r="C5" s="8" t="n"/>
      <c r="D5" s="8">
        <f>D6</f>
        <v/>
      </c>
      <c r="E5" s="8">
        <f>E6</f>
        <v/>
      </c>
      <c r="F5" s="8">
        <f>F6</f>
        <v/>
      </c>
      <c r="G5" s="8">
        <f>G6</f>
        <v/>
      </c>
      <c r="H5" s="8">
        <f>H6</f>
        <v/>
      </c>
      <c r="I5" s="8">
        <f>I6</f>
        <v/>
      </c>
      <c r="J5" s="8">
        <f>J6</f>
        <v/>
      </c>
      <c r="K5" s="8">
        <f>K6</f>
        <v/>
      </c>
      <c r="L5" s="8">
        <f>L6</f>
        <v/>
      </c>
      <c r="M5" s="8">
        <f>M6</f>
        <v/>
      </c>
      <c r="N5" s="8">
        <f>N6</f>
        <v/>
      </c>
      <c r="O5" s="8">
        <f>O6</f>
        <v/>
      </c>
      <c r="P5" s="8">
        <f>SUM(D5:O5)</f>
        <v/>
      </c>
      <c r="Q5" s="8" t="n"/>
    </row>
    <row r="6" hidden="1" outlineLevel="2" ht="12" customHeight="1">
      <c r="A6" s="9" t="inlineStr">
        <is>
          <t xml:space="preserve">    Shopify</t>
        </is>
      </c>
      <c r="B6" s="10" t="n"/>
      <c r="C6" s="10" t="n"/>
      <c r="D6" s="10">
        <f>D7</f>
        <v/>
      </c>
      <c r="E6" s="10">
        <f>E7</f>
        <v/>
      </c>
      <c r="F6" s="10">
        <f>F7</f>
        <v/>
      </c>
      <c r="G6" s="10">
        <f>G7</f>
        <v/>
      </c>
      <c r="H6" s="10">
        <f>H7</f>
        <v/>
      </c>
      <c r="I6" s="10">
        <f>I7</f>
        <v/>
      </c>
      <c r="J6" s="10">
        <f>J7</f>
        <v/>
      </c>
      <c r="K6" s="10">
        <f>K7</f>
        <v/>
      </c>
      <c r="L6" s="10">
        <f>L7</f>
        <v/>
      </c>
      <c r="M6" s="10">
        <f>M7</f>
        <v/>
      </c>
      <c r="N6" s="10">
        <f>N7</f>
        <v/>
      </c>
      <c r="O6" s="10">
        <f>O7</f>
        <v/>
      </c>
      <c r="P6" s="10">
        <f>SUM(D6:O6)</f>
        <v/>
      </c>
      <c r="Q6" s="10" t="inlineStr">
        <is>
          <t>-&gt;</t>
        </is>
      </c>
    </row>
    <row r="7" hidden="1" outlineLevel="3" ht="12" customHeight="1">
      <c r="A7" t="inlineStr">
        <is>
          <t xml:space="preserve">      GB</t>
        </is>
      </c>
      <c r="B7" s="4" t="n"/>
      <c r="C7" s="4" t="n"/>
      <c r="D7" s="4">
        <f>SUMIFS('i-shopify-ltd'!$I:$I,'i-shopify-ltd'!$A:$A,D$1,'i-shopify-ltd'!$C:$C,TRIM($A7))</f>
        <v/>
      </c>
      <c r="E7" s="4">
        <f>SUMIFS('i-shopify-ltd'!$I:$I,'i-shopify-ltd'!$A:$A,E$1,'i-shopify-ltd'!$C:$C,TRIM($A7))</f>
        <v/>
      </c>
      <c r="F7" s="4">
        <f>SUMIFS('i-shopify-ltd'!$I:$I,'i-shopify-ltd'!$A:$A,F$1,'i-shopify-ltd'!$C:$C,TRIM($A7))</f>
        <v/>
      </c>
      <c r="G7" s="4">
        <f>SUMIFS('i-shopify-ltd'!$I:$I,'i-shopify-ltd'!$A:$A,G$1,'i-shopify-ltd'!$C:$C,TRIM($A7))</f>
        <v/>
      </c>
      <c r="H7" s="4">
        <f>SUMIFS('i-shopify-ltd'!$I:$I,'i-shopify-ltd'!$A:$A,H$1,'i-shopify-ltd'!$C:$C,TRIM($A7))</f>
        <v/>
      </c>
      <c r="I7" s="4">
        <f>SUMIFS('i-shopify-ltd'!$I:$I,'i-shopify-ltd'!$A:$A,I$1,'i-shopify-ltd'!$C:$C,TRIM($A7))</f>
        <v/>
      </c>
      <c r="J7" s="4">
        <f>SUMIFS('i-shopify-ltd'!$I:$I,'i-shopify-ltd'!$A:$A,J$1,'i-shopify-ltd'!$C:$C,TRIM($A7))</f>
        <v/>
      </c>
      <c r="K7" s="4">
        <f>SUMIFS('i-shopify-ltd'!$I:$I,'i-shopify-ltd'!$A:$A,K$1,'i-shopify-ltd'!$C:$C,TRIM($A7))</f>
        <v/>
      </c>
      <c r="L7" s="4">
        <f>SUMIFS('i-shopify-ltd'!$I:$I,'i-shopify-ltd'!$A:$A,L$1,'i-shopify-ltd'!$C:$C,TRIM($A7))</f>
        <v/>
      </c>
      <c r="M7" s="4">
        <f>SUMIFS('i-shopify-ltd'!$I:$I,'i-shopify-ltd'!$A:$A,M$1,'i-shopify-ltd'!$C:$C,TRIM($A7))</f>
        <v/>
      </c>
      <c r="N7" s="4">
        <f>SUMIFS('i-shopify-ltd'!$I:$I,'i-shopify-ltd'!$A:$A,N$1,'i-shopify-ltd'!$C:$C,TRIM($A7))</f>
        <v/>
      </c>
      <c r="O7" s="4">
        <f>SUMIFS('i-shopify-ltd'!$I:$I,'i-shopify-ltd'!$A:$A,O$1,'i-shopify-ltd'!$C:$C,TRIM($A7))</f>
        <v/>
      </c>
      <c r="P7" s="4">
        <f>SUM(D7:O7)</f>
        <v/>
      </c>
      <c r="Q7" s="4" t="inlineStr">
        <is>
          <t>-&gt;</t>
        </is>
      </c>
    </row>
    <row r="8" ht="12" customHeight="1">
      <c r="A8" s="11" t="inlineStr">
        <is>
          <t xml:space="preserve">        avg/day</t>
        </is>
      </c>
      <c r="B8" s="4" t="n"/>
      <c r="C8" s="4" t="n"/>
      <c r="D8" s="12">
        <f>IFERROR(IF(DATE(VALUE(LEFT(D$1,4)),VALUE(RIGHT(D$1,2)),1)&gt;TODAY(),"",IF(EOMONTH(DATE(VALUE(LEFT(D$1,4)),VALUE(RIGHT(D$1,2)),1),0)&lt;TODAY(),D7/DAY(EOMONTH(DATE(VALUE(LEFT(D$1,4)),VALUE(RIGHT(D$1,2)),1),0)),D7/MAX(NOW()-DATE(VALUE(LEFT(D$1,4)),VALUE(RIGHT(D$1,2)),1),1/24))),"")</f>
        <v/>
      </c>
      <c r="E8" s="12">
        <f>IFERROR(IF(DATE(VALUE(LEFT(E$1,4)),VALUE(RIGHT(E$1,2)),1)&gt;TODAY(),"",IF(EOMONTH(DATE(VALUE(LEFT(E$1,4)),VALUE(RIGHT(E$1,2)),1),0)&lt;TODAY(),E7/DAY(EOMONTH(DATE(VALUE(LEFT(E$1,4)),VALUE(RIGHT(E$1,2)),1),0)),E7/MAX(NOW()-DATE(VALUE(LEFT(E$1,4)),VALUE(RIGHT(E$1,2)),1),1/24))),"")</f>
        <v/>
      </c>
      <c r="F8" s="12">
        <f>IFERROR(IF(DATE(VALUE(LEFT(F$1,4)),VALUE(RIGHT(F$1,2)),1)&gt;TODAY(),"",IF(EOMONTH(DATE(VALUE(LEFT(F$1,4)),VALUE(RIGHT(F$1,2)),1),0)&lt;TODAY(),F7/DAY(EOMONTH(DATE(VALUE(LEFT(F$1,4)),VALUE(RIGHT(F$1,2)),1),0)),F7/MAX(NOW()-DATE(VALUE(LEFT(F$1,4)),VALUE(RIGHT(F$1,2)),1),1/24))),"")</f>
        <v/>
      </c>
      <c r="G8" s="12">
        <f>IFERROR(IF(DATE(VALUE(LEFT(G$1,4)),VALUE(RIGHT(G$1,2)),1)&gt;TODAY(),"",IF(EOMONTH(DATE(VALUE(LEFT(G$1,4)),VALUE(RIGHT(G$1,2)),1),0)&lt;TODAY(),G7/DAY(EOMONTH(DATE(VALUE(LEFT(G$1,4)),VALUE(RIGHT(G$1,2)),1),0)),G7/MAX(NOW()-DATE(VALUE(LEFT(G$1,4)),VALUE(RIGHT(G$1,2)),1),1/24))),"")</f>
        <v/>
      </c>
      <c r="H8" s="12">
        <f>IFERROR(IF(DATE(VALUE(LEFT(H$1,4)),VALUE(RIGHT(H$1,2)),1)&gt;TODAY(),"",IF(EOMONTH(DATE(VALUE(LEFT(H$1,4)),VALUE(RIGHT(H$1,2)),1),0)&lt;TODAY(),H7/DAY(EOMONTH(DATE(VALUE(LEFT(H$1,4)),VALUE(RIGHT(H$1,2)),1),0)),H7/MAX(NOW()-DATE(VALUE(LEFT(H$1,4)),VALUE(RIGHT(H$1,2)),1),1/24))),"")</f>
        <v/>
      </c>
      <c r="I8" s="12">
        <f>IFERROR(IF(DATE(VALUE(LEFT(I$1,4)),VALUE(RIGHT(I$1,2)),1)&gt;TODAY(),"",IF(EOMONTH(DATE(VALUE(LEFT(I$1,4)),VALUE(RIGHT(I$1,2)),1),0)&lt;TODAY(),I7/DAY(EOMONTH(DATE(VALUE(LEFT(I$1,4)),VALUE(RIGHT(I$1,2)),1),0)),I7/MAX(NOW()-DATE(VALUE(LEFT(I$1,4)),VALUE(RIGHT(I$1,2)),1),1/24))),"")</f>
        <v/>
      </c>
      <c r="J8" s="12">
        <f>IFERROR(IF(DATE(VALUE(LEFT(J$1,4)),VALUE(RIGHT(J$1,2)),1)&gt;TODAY(),"",IF(EOMONTH(DATE(VALUE(LEFT(J$1,4)),VALUE(RIGHT(J$1,2)),1),0)&lt;TODAY(),J7/DAY(EOMONTH(DATE(VALUE(LEFT(J$1,4)),VALUE(RIGHT(J$1,2)),1),0)),J7/MAX(NOW()-DATE(VALUE(LEFT(J$1,4)),VALUE(RIGHT(J$1,2)),1),1/24))),"")</f>
        <v/>
      </c>
      <c r="K8" s="12">
        <f>IFERROR(IF(DATE(VALUE(LEFT(K$1,4)),VALUE(RIGHT(K$1,2)),1)&gt;TODAY(),"",IF(EOMONTH(DATE(VALUE(LEFT(K$1,4)),VALUE(RIGHT(K$1,2)),1),0)&lt;TODAY(),K7/DAY(EOMONTH(DATE(VALUE(LEFT(K$1,4)),VALUE(RIGHT(K$1,2)),1),0)),K7/MAX(NOW()-DATE(VALUE(LEFT(K$1,4)),VALUE(RIGHT(K$1,2)),1),1/24))),"")</f>
        <v/>
      </c>
      <c r="L8" s="12">
        <f>IFERROR(IF(DATE(VALUE(LEFT(L$1,4)),VALUE(RIGHT(L$1,2)),1)&gt;TODAY(),"",IF(EOMONTH(DATE(VALUE(LEFT(L$1,4)),VALUE(RIGHT(L$1,2)),1),0)&lt;TODAY(),L7/DAY(EOMONTH(DATE(VALUE(LEFT(L$1,4)),VALUE(RIGHT(L$1,2)),1),0)),L7/MAX(NOW()-DATE(VALUE(LEFT(L$1,4)),VALUE(RIGHT(L$1,2)),1),1/24))),"")</f>
        <v/>
      </c>
      <c r="M8" s="12">
        <f>IFERROR(IF(DATE(VALUE(LEFT(M$1,4)),VALUE(RIGHT(M$1,2)),1)&gt;TODAY(),"",IF(EOMONTH(DATE(VALUE(LEFT(M$1,4)),VALUE(RIGHT(M$1,2)),1),0)&lt;TODAY(),M7/DAY(EOMONTH(DATE(VALUE(LEFT(M$1,4)),VALUE(RIGHT(M$1,2)),1),0)),M7/MAX(NOW()-DATE(VALUE(LEFT(M$1,4)),VALUE(RIGHT(M$1,2)),1),1/24))),"")</f>
        <v/>
      </c>
      <c r="N8" s="12">
        <f>IFERROR(IF(DATE(VALUE(LEFT(N$1,4)),VALUE(RIGHT(N$1,2)),1)&gt;TODAY(),"",IF(EOMONTH(DATE(VALUE(LEFT(N$1,4)),VALUE(RIGHT(N$1,2)),1),0)&lt;TODAY(),N7/DAY(EOMONTH(DATE(VALUE(LEFT(N$1,4)),VALUE(RIGHT(N$1,2)),1),0)),N7/MAX(NOW()-DATE(VALUE(LEFT(N$1,4)),VALUE(RIGHT(N$1,2)),1),1/24))),"")</f>
        <v/>
      </c>
      <c r="O8" s="12">
        <f>IFERROR(IF(DATE(VALUE(LEFT(O$1,4)),VALUE(RIGHT(O$1,2)),1)&gt;TODAY(),"",IF(EOMONTH(DATE(VALUE(LEFT(O$1,4)),VALUE(RIGHT(O$1,2)),1),0)&lt;TODAY(),O7/DAY(EOMONTH(DATE(VALUE(LEFT(O$1,4)),VALUE(RIGHT(O$1,2)),1),0)),O7/MAX(NOW()-DATE(VALUE(LEFT(O$1,4)),VALUE(RIGHT(O$1,2)),1),1/24))),"")</f>
        <v/>
      </c>
      <c r="P8" s="12">
        <f>SUM(D8:O8)</f>
        <v/>
      </c>
      <c r="Q8" s="12" t="n"/>
    </row>
    <row r="9" outlineLevel="1" ht="12" customHeight="1">
      <c r="A9" s="7" t="inlineStr">
        <is>
          <t xml:space="preserve">  Services</t>
        </is>
      </c>
      <c r="B9" s="8" t="n"/>
      <c r="C9" s="8" t="n"/>
      <c r="D9" s="8">
        <f>0</f>
        <v/>
      </c>
      <c r="E9" s="8">
        <f>0</f>
        <v/>
      </c>
      <c r="F9" s="8">
        <f>0</f>
        <v/>
      </c>
      <c r="G9" s="8">
        <f>0</f>
        <v/>
      </c>
      <c r="H9" s="8">
        <f>0</f>
        <v/>
      </c>
      <c r="I9" s="8">
        <f>0</f>
        <v/>
      </c>
      <c r="J9" s="8">
        <f>0</f>
        <v/>
      </c>
      <c r="K9" s="8">
        <f>0</f>
        <v/>
      </c>
      <c r="L9" s="8">
        <f>0</f>
        <v/>
      </c>
      <c r="M9" s="8">
        <f>0</f>
        <v/>
      </c>
      <c r="N9" s="8">
        <f>0</f>
        <v/>
      </c>
      <c r="O9" s="8">
        <f>0</f>
        <v/>
      </c>
      <c r="P9" s="8">
        <f>SUM(D9:O9)</f>
        <v/>
      </c>
      <c r="Q9" s="8" t="n"/>
    </row>
    <row r="10" hidden="1" outlineLevel="2" ht="12" customHeight="1">
      <c r="A10" s="9" t="inlineStr">
        <is>
          <t xml:space="preserve">  Uncategorized income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>
        <f>SUM(D10:O10)</f>
        <v/>
      </c>
      <c r="Q10" s="10" t="n"/>
    </row>
    <row r="11" ht="12" customHeight="1"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>
        <f>SUM(D11:O11)</f>
        <v/>
      </c>
      <c r="Q11" s="4" t="n"/>
    </row>
    <row r="12" ht="12" customHeight="1">
      <c r="A12" s="5" t="inlineStr">
        <is>
          <t>Expenses</t>
        </is>
      </c>
      <c r="B12" s="6" t="n"/>
      <c r="C12" s="6" t="n"/>
      <c r="D12" s="6">
        <f>D13+D35</f>
        <v/>
      </c>
      <c r="E12" s="6">
        <f>E13+E35</f>
        <v/>
      </c>
      <c r="F12" s="6">
        <f>F13+F35</f>
        <v/>
      </c>
      <c r="G12" s="6">
        <f>G13+G35</f>
        <v/>
      </c>
      <c r="H12" s="6">
        <f>H13+H35</f>
        <v/>
      </c>
      <c r="I12" s="6">
        <f>I13+I35</f>
        <v/>
      </c>
      <c r="J12" s="6">
        <f>J13+J35</f>
        <v/>
      </c>
      <c r="K12" s="6">
        <f>K13+K35</f>
        <v/>
      </c>
      <c r="L12" s="6">
        <f>L13+L35</f>
        <v/>
      </c>
      <c r="M12" s="6">
        <f>M13+M35</f>
        <v/>
      </c>
      <c r="N12" s="6">
        <f>N13+N35</f>
        <v/>
      </c>
      <c r="O12" s="6">
        <f>O13+O35</f>
        <v/>
      </c>
      <c r="P12" s="6">
        <f>SUM(D12:O12)</f>
        <v/>
      </c>
      <c r="Q12" s="6" t="n"/>
    </row>
    <row r="13" outlineLevel="1" ht="12" customHeight="1">
      <c r="A13" s="7" t="inlineStr">
        <is>
          <t xml:space="preserve">  COGS</t>
        </is>
      </c>
      <c r="B13" s="8" t="n"/>
      <c r="C13" s="8" t="n"/>
      <c r="D13" s="8">
        <f>D14+D20+D24</f>
        <v/>
      </c>
      <c r="E13" s="8">
        <f>E14+E20+E24</f>
        <v/>
      </c>
      <c r="F13" s="8">
        <f>F14+F20+F24</f>
        <v/>
      </c>
      <c r="G13" s="8">
        <f>G14+G20+G24</f>
        <v/>
      </c>
      <c r="H13" s="8">
        <f>H14+H20+H24</f>
        <v/>
      </c>
      <c r="I13" s="8">
        <f>I14+I20+I24</f>
        <v/>
      </c>
      <c r="J13" s="8">
        <f>J14+J20+J24</f>
        <v/>
      </c>
      <c r="K13" s="8">
        <f>K14+K20+K24</f>
        <v/>
      </c>
      <c r="L13" s="8">
        <f>L14+L20+L24</f>
        <v/>
      </c>
      <c r="M13" s="8">
        <f>M14+M20+M24</f>
        <v/>
      </c>
      <c r="N13" s="8">
        <f>N14+N20+N24</f>
        <v/>
      </c>
      <c r="O13" s="8">
        <f>O14+O20+O24</f>
        <v/>
      </c>
      <c r="P13" s="8">
        <f>SUM(D13:O13)</f>
        <v/>
      </c>
      <c r="Q13" s="8" t="n"/>
    </row>
    <row r="14" hidden="1" outlineLevel="2" ht="12" customHeight="1">
      <c r="A14" s="9" t="inlineStr">
        <is>
          <t xml:space="preserve">    Manufacturing</t>
        </is>
      </c>
      <c r="B14" s="10" t="n"/>
      <c r="C14" s="10" t="n"/>
      <c r="D14" s="10">
        <f>SUM(D15:D17)+D18</f>
        <v/>
      </c>
      <c r="E14" s="10">
        <f>SUM(E15:E17)+E18</f>
        <v/>
      </c>
      <c r="F14" s="10">
        <f>SUM(F15:F17)+F18</f>
        <v/>
      </c>
      <c r="G14" s="10">
        <f>SUM(G15:G17)+G18</f>
        <v/>
      </c>
      <c r="H14" s="10">
        <f>SUM(H15:H17)+H18</f>
        <v/>
      </c>
      <c r="I14" s="10">
        <f>SUM(I15:I17)+I18</f>
        <v/>
      </c>
      <c r="J14" s="10">
        <f>SUM(J15:J17)+J18</f>
        <v/>
      </c>
      <c r="K14" s="10">
        <f>SUM(K15:K17)+K18</f>
        <v/>
      </c>
      <c r="L14" s="10">
        <f>SUM(L15:L17)+L18</f>
        <v/>
      </c>
      <c r="M14" s="10">
        <f>SUM(M15:M17)+M18</f>
        <v/>
      </c>
      <c r="N14" s="10">
        <f>SUM(N15:N17)+N18</f>
        <v/>
      </c>
      <c r="O14" s="10">
        <f>SUM(O15:O17)+O18</f>
        <v/>
      </c>
      <c r="P14" s="10">
        <f>SUM(D14:O14)</f>
        <v/>
      </c>
      <c r="Q14" s="10" t="inlineStr">
        <is>
          <t>-&gt;</t>
        </is>
      </c>
    </row>
    <row r="15" hidden="1" outlineLevel="3" ht="12" customHeight="1">
      <c r="A15" t="inlineStr">
        <is>
          <t xml:space="preserve">      ARTLINK</t>
        </is>
      </c>
      <c r="B15" s="4" t="n"/>
      <c r="C15" s="4" t="n"/>
      <c r="D15" s="4">
        <f>SUMIFS('g-expenses-ltd'!$K:$K,'g-expenses-ltd'!$A:$A,D$1,'g-expenses-ltd'!$D:$D,"manufacturing",'g-expenses-ltd'!$E:$E,TRIM($A15))</f>
        <v/>
      </c>
      <c r="E15" s="4">
        <f>SUMIFS('g-expenses-ltd'!$K:$K,'g-expenses-ltd'!$A:$A,E$1,'g-expenses-ltd'!$D:$D,"manufacturing",'g-expenses-ltd'!$E:$E,TRIM($A15))</f>
        <v/>
      </c>
      <c r="F15" s="4">
        <f>SUMIFS('g-expenses-ltd'!$K:$K,'g-expenses-ltd'!$A:$A,F$1,'g-expenses-ltd'!$D:$D,"manufacturing",'g-expenses-ltd'!$E:$E,TRIM($A15))</f>
        <v/>
      </c>
      <c r="G15" s="4">
        <f>SUMIFS('g-expenses-ltd'!$K:$K,'g-expenses-ltd'!$A:$A,G$1,'g-expenses-ltd'!$D:$D,"manufacturing",'g-expenses-ltd'!$E:$E,TRIM($A15))</f>
        <v/>
      </c>
      <c r="H15" s="4">
        <f>SUMIFS('g-expenses-ltd'!$K:$K,'g-expenses-ltd'!$A:$A,H$1,'g-expenses-ltd'!$D:$D,"manufacturing",'g-expenses-ltd'!$E:$E,TRIM($A15))</f>
        <v/>
      </c>
      <c r="I15" s="4">
        <f>SUMIFS('g-expenses-ltd'!$K:$K,'g-expenses-ltd'!$A:$A,I$1,'g-expenses-ltd'!$D:$D,"manufacturing",'g-expenses-ltd'!$E:$E,TRIM($A15))</f>
        <v/>
      </c>
      <c r="J15" s="4">
        <f>SUMIFS('g-expenses-ltd'!$K:$K,'g-expenses-ltd'!$A:$A,J$1,'g-expenses-ltd'!$D:$D,"manufacturing",'g-expenses-ltd'!$E:$E,TRIM($A15))</f>
        <v/>
      </c>
      <c r="K15" s="4">
        <f>SUMIFS('g-expenses-ltd'!$K:$K,'g-expenses-ltd'!$A:$A,K$1,'g-expenses-ltd'!$D:$D,"manufacturing",'g-expenses-ltd'!$E:$E,TRIM($A15))</f>
        <v/>
      </c>
      <c r="L15" s="4">
        <f>SUMIFS('g-expenses-ltd'!$K:$K,'g-expenses-ltd'!$A:$A,L$1,'g-expenses-ltd'!$D:$D,"manufacturing",'g-expenses-ltd'!$E:$E,TRIM($A15))</f>
        <v/>
      </c>
      <c r="M15" s="4">
        <f>SUMIFS('g-expenses-ltd'!$K:$K,'g-expenses-ltd'!$A:$A,M$1,'g-expenses-ltd'!$D:$D,"manufacturing",'g-expenses-ltd'!$E:$E,TRIM($A15))</f>
        <v/>
      </c>
      <c r="N15" s="4">
        <f>SUMIFS('g-expenses-ltd'!$K:$K,'g-expenses-ltd'!$A:$A,N$1,'g-expenses-ltd'!$D:$D,"manufacturing",'g-expenses-ltd'!$E:$E,TRIM($A15))</f>
        <v/>
      </c>
      <c r="O15" s="4">
        <f>SUMIFS('g-expenses-ltd'!$K:$K,'g-expenses-ltd'!$A:$A,O$1,'g-expenses-ltd'!$D:$D,"manufacturing",'g-expenses-ltd'!$E:$E,TRIM($A15))</f>
        <v/>
      </c>
      <c r="P15" s="4">
        <f>SUM(D15:O15)</f>
        <v/>
      </c>
      <c r="Q15" s="4" t="inlineStr">
        <is>
          <t>-&gt;</t>
        </is>
      </c>
    </row>
    <row r="16" hidden="1" outlineLevel="3" ht="12" customHeight="1">
      <c r="A16" t="inlineStr">
        <is>
          <t xml:space="preserve">      JONDO</t>
        </is>
      </c>
      <c r="B16" s="4" t="n"/>
      <c r="C16" s="4" t="n"/>
      <c r="D16" s="4">
        <f>SUMIFS('g-expenses-ltd'!$K:$K,'g-expenses-ltd'!$A:$A,D$1,'g-expenses-ltd'!$D:$D,"manufacturing",'g-expenses-ltd'!$E:$E,TRIM($A16))</f>
        <v/>
      </c>
      <c r="E16" s="4">
        <f>SUMIFS('g-expenses-ltd'!$K:$K,'g-expenses-ltd'!$A:$A,E$1,'g-expenses-ltd'!$D:$D,"manufacturing",'g-expenses-ltd'!$E:$E,TRIM($A16))</f>
        <v/>
      </c>
      <c r="F16" s="4">
        <f>SUMIFS('g-expenses-ltd'!$K:$K,'g-expenses-ltd'!$A:$A,F$1,'g-expenses-ltd'!$D:$D,"manufacturing",'g-expenses-ltd'!$E:$E,TRIM($A16))</f>
        <v/>
      </c>
      <c r="G16" s="4">
        <f>SUMIFS('g-expenses-ltd'!$K:$K,'g-expenses-ltd'!$A:$A,G$1,'g-expenses-ltd'!$D:$D,"manufacturing",'g-expenses-ltd'!$E:$E,TRIM($A16))</f>
        <v/>
      </c>
      <c r="H16" s="4">
        <f>SUMIFS('g-expenses-ltd'!$K:$K,'g-expenses-ltd'!$A:$A,H$1,'g-expenses-ltd'!$D:$D,"manufacturing",'g-expenses-ltd'!$E:$E,TRIM($A16))</f>
        <v/>
      </c>
      <c r="I16" s="4">
        <f>SUMIFS('g-expenses-ltd'!$K:$K,'g-expenses-ltd'!$A:$A,I$1,'g-expenses-ltd'!$D:$D,"manufacturing",'g-expenses-ltd'!$E:$E,TRIM($A16))</f>
        <v/>
      </c>
      <c r="J16" s="4">
        <f>SUMIFS('g-expenses-ltd'!$K:$K,'g-expenses-ltd'!$A:$A,J$1,'g-expenses-ltd'!$D:$D,"manufacturing",'g-expenses-ltd'!$E:$E,TRIM($A16))</f>
        <v/>
      </c>
      <c r="K16" s="4">
        <f>SUMIFS('g-expenses-ltd'!$K:$K,'g-expenses-ltd'!$A:$A,K$1,'g-expenses-ltd'!$D:$D,"manufacturing",'g-expenses-ltd'!$E:$E,TRIM($A16))</f>
        <v/>
      </c>
      <c r="L16" s="4">
        <f>SUMIFS('g-expenses-ltd'!$K:$K,'g-expenses-ltd'!$A:$A,L$1,'g-expenses-ltd'!$D:$D,"manufacturing",'g-expenses-ltd'!$E:$E,TRIM($A16))</f>
        <v/>
      </c>
      <c r="M16" s="4">
        <f>SUMIFS('g-expenses-ltd'!$K:$K,'g-expenses-ltd'!$A:$A,M$1,'g-expenses-ltd'!$D:$D,"manufacturing",'g-expenses-ltd'!$E:$E,TRIM($A16))</f>
        <v/>
      </c>
      <c r="N16" s="4">
        <f>SUMIFS('g-expenses-ltd'!$K:$K,'g-expenses-ltd'!$A:$A,N$1,'g-expenses-ltd'!$D:$D,"manufacturing",'g-expenses-ltd'!$E:$E,TRIM($A16))</f>
        <v/>
      </c>
      <c r="O16" s="4">
        <f>SUMIFS('g-expenses-ltd'!$K:$K,'g-expenses-ltd'!$A:$A,O$1,'g-expenses-ltd'!$D:$D,"manufacturing",'g-expenses-ltd'!$E:$E,TRIM($A16))</f>
        <v/>
      </c>
      <c r="P16" s="4">
        <f>SUM(D16:O16)</f>
        <v/>
      </c>
      <c r="Q16" s="4" t="n"/>
    </row>
    <row r="17" hidden="1" outlineLevel="3" ht="12" customHeight="1">
      <c r="A17" t="inlineStr">
        <is>
          <t xml:space="preserve">      PROCO</t>
        </is>
      </c>
      <c r="B17" s="4" t="n"/>
      <c r="C17" s="4" t="n"/>
      <c r="D17" s="4">
        <f>SUMIFS('g-expenses-ltd'!$K:$K,'g-expenses-ltd'!$A:$A,D$1,'g-expenses-ltd'!$D:$D,"manufacturing",'g-expenses-ltd'!$E:$E,TRIM($A17))</f>
        <v/>
      </c>
      <c r="E17" s="4">
        <f>SUMIFS('g-expenses-ltd'!$K:$K,'g-expenses-ltd'!$A:$A,E$1,'g-expenses-ltd'!$D:$D,"manufacturing",'g-expenses-ltd'!$E:$E,TRIM($A17))</f>
        <v/>
      </c>
      <c r="F17" s="4">
        <f>SUMIFS('g-expenses-ltd'!$K:$K,'g-expenses-ltd'!$A:$A,F$1,'g-expenses-ltd'!$D:$D,"manufacturing",'g-expenses-ltd'!$E:$E,TRIM($A17))</f>
        <v/>
      </c>
      <c r="G17" s="4">
        <f>SUMIFS('g-expenses-ltd'!$K:$K,'g-expenses-ltd'!$A:$A,G$1,'g-expenses-ltd'!$D:$D,"manufacturing",'g-expenses-ltd'!$E:$E,TRIM($A17))</f>
        <v/>
      </c>
      <c r="H17" s="4">
        <f>SUMIFS('g-expenses-ltd'!$K:$K,'g-expenses-ltd'!$A:$A,H$1,'g-expenses-ltd'!$D:$D,"manufacturing",'g-expenses-ltd'!$E:$E,TRIM($A17))</f>
        <v/>
      </c>
      <c r="I17" s="4">
        <f>SUMIFS('g-expenses-ltd'!$K:$K,'g-expenses-ltd'!$A:$A,I$1,'g-expenses-ltd'!$D:$D,"manufacturing",'g-expenses-ltd'!$E:$E,TRIM($A17))</f>
        <v/>
      </c>
      <c r="J17" s="4">
        <f>SUMIFS('g-expenses-ltd'!$K:$K,'g-expenses-ltd'!$A:$A,J$1,'g-expenses-ltd'!$D:$D,"manufacturing",'g-expenses-ltd'!$E:$E,TRIM($A17))</f>
        <v/>
      </c>
      <c r="K17" s="4">
        <f>SUMIFS('g-expenses-ltd'!$K:$K,'g-expenses-ltd'!$A:$A,K$1,'g-expenses-ltd'!$D:$D,"manufacturing",'g-expenses-ltd'!$E:$E,TRIM($A17))</f>
        <v/>
      </c>
      <c r="L17" s="4">
        <f>SUMIFS('g-expenses-ltd'!$K:$K,'g-expenses-ltd'!$A:$A,L$1,'g-expenses-ltd'!$D:$D,"manufacturing",'g-expenses-ltd'!$E:$E,TRIM($A17))</f>
        <v/>
      </c>
      <c r="M17" s="4">
        <f>SUMIFS('g-expenses-ltd'!$K:$K,'g-expenses-ltd'!$A:$A,M$1,'g-expenses-ltd'!$D:$D,"manufacturing",'g-expenses-ltd'!$E:$E,TRIM($A17))</f>
        <v/>
      </c>
      <c r="N17" s="4">
        <f>SUMIFS('g-expenses-ltd'!$K:$K,'g-expenses-ltd'!$A:$A,N$1,'g-expenses-ltd'!$D:$D,"manufacturing",'g-expenses-ltd'!$E:$E,TRIM($A17))</f>
        <v/>
      </c>
      <c r="O17" s="4">
        <f>SUMIFS('g-expenses-ltd'!$K:$K,'g-expenses-ltd'!$A:$A,O$1,'g-expenses-ltd'!$D:$D,"manufacturing",'g-expenses-ltd'!$E:$E,TRIM($A17))</f>
        <v/>
      </c>
      <c r="P17" s="4">
        <f>SUM(D17:O17)</f>
        <v/>
      </c>
      <c r="Q17" s="4" t="n"/>
    </row>
    <row r="18" ht="12" customHeight="1">
      <c r="A18" t="inlineStr">
        <is>
          <t xml:space="preserve">      Consumo marcos</t>
        </is>
      </c>
      <c r="B18" s="4" t="n"/>
      <c r="C18" s="4" t="n"/>
      <c r="D18" s="4" t="n">
        <v>1965.12</v>
      </c>
      <c r="E18" s="4" t="n">
        <v>2371.95</v>
      </c>
      <c r="F18" s="4" t="n">
        <v>2158.07</v>
      </c>
      <c r="G18" s="4" t="n">
        <v>2043.47</v>
      </c>
      <c r="H18" s="4" t="n">
        <v>2298.9</v>
      </c>
      <c r="I18" s="4" t="n">
        <v>1980.34</v>
      </c>
      <c r="J18" s="4" t="n">
        <v>2111.42</v>
      </c>
      <c r="K18" s="4" t="n"/>
      <c r="L18" s="4" t="n"/>
      <c r="M18" s="4" t="n"/>
      <c r="N18" s="4" t="n"/>
      <c r="O18" s="4" t="n"/>
      <c r="P18" s="4">
        <f>SUM(D18:O18)</f>
        <v/>
      </c>
      <c r="Q18" s="4" t="n"/>
    </row>
    <row r="19" hidden="1" outlineLevel="2" ht="12" customHeight="1">
      <c r="A19" s="3" t="inlineStr">
        <is>
          <t xml:space="preserve">    % Manufacturing / sales</t>
        </is>
      </c>
      <c r="B19" s="13" t="n"/>
      <c r="C19" s="13" t="n"/>
      <c r="D19" s="13">
        <f>IFERROR(D14/D5,0)</f>
        <v/>
      </c>
      <c r="E19" s="13">
        <f>IFERROR(E14/E5,0)</f>
        <v/>
      </c>
      <c r="F19" s="13">
        <f>IFERROR(F14/F5,0)</f>
        <v/>
      </c>
      <c r="G19" s="13">
        <f>IFERROR(G14/G5,0)</f>
        <v/>
      </c>
      <c r="H19" s="13">
        <f>IFERROR(H14/H5,0)</f>
        <v/>
      </c>
      <c r="I19" s="13">
        <f>IFERROR(I14/I5,0)</f>
        <v/>
      </c>
      <c r="J19" s="13">
        <f>IFERROR(J14/J5,0)</f>
        <v/>
      </c>
      <c r="K19" s="13">
        <f>IFERROR(K14/K5,0)</f>
        <v/>
      </c>
      <c r="L19" s="13">
        <f>IFERROR(L14/L5,0)</f>
        <v/>
      </c>
      <c r="M19" s="13">
        <f>IFERROR(M14/M5,0)</f>
        <v/>
      </c>
      <c r="N19" s="13">
        <f>IFERROR(N14/N5,0)</f>
        <v/>
      </c>
      <c r="O19" s="13">
        <f>IFERROR(O14/O5,0)</f>
        <v/>
      </c>
      <c r="P19" s="13">
        <f>IFERROR(P14/P5,0)</f>
        <v/>
      </c>
      <c r="Q19" s="13" t="n"/>
    </row>
    <row r="20" hidden="1" outlineLevel="2" ht="12" customHeight="1">
      <c r="A20" s="9" t="inlineStr">
        <is>
          <t xml:space="preserve">    Logistics</t>
        </is>
      </c>
      <c r="B20" s="10" t="n"/>
      <c r="C20" s="10" t="n"/>
      <c r="D20" s="10">
        <f>SUM(D21:D22)</f>
        <v/>
      </c>
      <c r="E20" s="10">
        <f>SUM(E21:E22)</f>
        <v/>
      </c>
      <c r="F20" s="10">
        <f>SUM(F21:F22)</f>
        <v/>
      </c>
      <c r="G20" s="10">
        <f>SUM(G21:G22)</f>
        <v/>
      </c>
      <c r="H20" s="10">
        <f>SUM(H21:H22)</f>
        <v/>
      </c>
      <c r="I20" s="10">
        <f>SUM(I21:I22)</f>
        <v/>
      </c>
      <c r="J20" s="10">
        <f>SUM(J21:J22)</f>
        <v/>
      </c>
      <c r="K20" s="10">
        <f>SUM(K21:K22)</f>
        <v/>
      </c>
      <c r="L20" s="10">
        <f>SUM(L21:L22)</f>
        <v/>
      </c>
      <c r="M20" s="10">
        <f>SUM(M21:M22)</f>
        <v/>
      </c>
      <c r="N20" s="10">
        <f>SUM(N21:N22)</f>
        <v/>
      </c>
      <c r="O20" s="10">
        <f>SUM(O21:O22)</f>
        <v/>
      </c>
      <c r="P20" s="10">
        <f>SUM(D20:O20)</f>
        <v/>
      </c>
      <c r="Q20" s="10" t="inlineStr">
        <is>
          <t>-&gt;</t>
        </is>
      </c>
    </row>
    <row r="21" hidden="1" outlineLevel="3" ht="12" customHeight="1">
      <c r="A21" t="inlineStr">
        <is>
          <t xml:space="preserve">      PROCO</t>
        </is>
      </c>
      <c r="B21" s="4" t="n"/>
      <c r="C21" s="4" t="n"/>
      <c r="D21" s="4">
        <f>SUMIFS('g-expenses-ltd'!$K:$K,'g-expenses-ltd'!$A:$A,D$1,'g-expenses-ltd'!$D:$D,"logistics",'g-expenses-ltd'!$E:$E,TRIM($A21))</f>
        <v/>
      </c>
      <c r="E21" s="4">
        <f>SUMIFS('g-expenses-ltd'!$K:$K,'g-expenses-ltd'!$A:$A,E$1,'g-expenses-ltd'!$D:$D,"logistics",'g-expenses-ltd'!$E:$E,TRIM($A21))</f>
        <v/>
      </c>
      <c r="F21" s="4">
        <f>SUMIFS('g-expenses-ltd'!$K:$K,'g-expenses-ltd'!$A:$A,F$1,'g-expenses-ltd'!$D:$D,"logistics",'g-expenses-ltd'!$E:$E,TRIM($A21))</f>
        <v/>
      </c>
      <c r="G21" s="4">
        <f>SUMIFS('g-expenses-ltd'!$K:$K,'g-expenses-ltd'!$A:$A,G$1,'g-expenses-ltd'!$D:$D,"logistics",'g-expenses-ltd'!$E:$E,TRIM($A21))</f>
        <v/>
      </c>
      <c r="H21" s="4">
        <f>SUMIFS('g-expenses-ltd'!$K:$K,'g-expenses-ltd'!$A:$A,H$1,'g-expenses-ltd'!$D:$D,"logistics",'g-expenses-ltd'!$E:$E,TRIM($A21))</f>
        <v/>
      </c>
      <c r="I21" s="4">
        <f>SUMIFS('g-expenses-ltd'!$K:$K,'g-expenses-ltd'!$A:$A,I$1,'g-expenses-ltd'!$D:$D,"logistics",'g-expenses-ltd'!$E:$E,TRIM($A21))</f>
        <v/>
      </c>
      <c r="J21" s="4">
        <f>SUMIFS('g-expenses-ltd'!$K:$K,'g-expenses-ltd'!$A:$A,J$1,'g-expenses-ltd'!$D:$D,"logistics",'g-expenses-ltd'!$E:$E,TRIM($A21))</f>
        <v/>
      </c>
      <c r="K21" s="4">
        <f>SUMIFS('g-expenses-ltd'!$K:$K,'g-expenses-ltd'!$A:$A,K$1,'g-expenses-ltd'!$D:$D,"logistics",'g-expenses-ltd'!$E:$E,TRIM($A21))</f>
        <v/>
      </c>
      <c r="L21" s="4">
        <f>SUMIFS('g-expenses-ltd'!$K:$K,'g-expenses-ltd'!$A:$A,L$1,'g-expenses-ltd'!$D:$D,"logistics",'g-expenses-ltd'!$E:$E,TRIM($A21))</f>
        <v/>
      </c>
      <c r="M21" s="4">
        <f>SUMIFS('g-expenses-ltd'!$K:$K,'g-expenses-ltd'!$A:$A,M$1,'g-expenses-ltd'!$D:$D,"logistics",'g-expenses-ltd'!$E:$E,TRIM($A21))</f>
        <v/>
      </c>
      <c r="N21" s="4">
        <f>SUMIFS('g-expenses-ltd'!$K:$K,'g-expenses-ltd'!$A:$A,N$1,'g-expenses-ltd'!$D:$D,"logistics",'g-expenses-ltd'!$E:$E,TRIM($A21))</f>
        <v/>
      </c>
      <c r="O21" s="4">
        <f>SUMIFS('g-expenses-ltd'!$K:$K,'g-expenses-ltd'!$A:$A,O$1,'g-expenses-ltd'!$D:$D,"logistics",'g-expenses-ltd'!$E:$E,TRIM($A21))</f>
        <v/>
      </c>
      <c r="P21" s="4">
        <f>SUM(D21:O21)</f>
        <v/>
      </c>
      <c r="Q21" s="4" t="inlineStr">
        <is>
          <t>-&gt;</t>
        </is>
      </c>
    </row>
    <row r="22" hidden="1" outlineLevel="3" ht="12" customHeight="1">
      <c r="A22" t="inlineStr">
        <is>
          <t xml:space="preserve">      PORTCLEARANCE</t>
        </is>
      </c>
      <c r="B22" s="4" t="n"/>
      <c r="C22" s="4" t="n"/>
      <c r="D22" s="4">
        <f>SUMIFS('g-expenses-ltd'!$K:$K,'g-expenses-ltd'!$A:$A,D$1,'g-expenses-ltd'!$D:$D,"logistics",'g-expenses-ltd'!$E:$E,TRIM($A22))</f>
        <v/>
      </c>
      <c r="E22" s="4">
        <f>SUMIFS('g-expenses-ltd'!$K:$K,'g-expenses-ltd'!$A:$A,E$1,'g-expenses-ltd'!$D:$D,"logistics",'g-expenses-ltd'!$E:$E,TRIM($A22))</f>
        <v/>
      </c>
      <c r="F22" s="4">
        <f>SUMIFS('g-expenses-ltd'!$K:$K,'g-expenses-ltd'!$A:$A,F$1,'g-expenses-ltd'!$D:$D,"logistics",'g-expenses-ltd'!$E:$E,TRIM($A22))</f>
        <v/>
      </c>
      <c r="G22" s="4">
        <f>SUMIFS('g-expenses-ltd'!$K:$K,'g-expenses-ltd'!$A:$A,G$1,'g-expenses-ltd'!$D:$D,"logistics",'g-expenses-ltd'!$E:$E,TRIM($A22))</f>
        <v/>
      </c>
      <c r="H22" s="4">
        <f>SUMIFS('g-expenses-ltd'!$K:$K,'g-expenses-ltd'!$A:$A,H$1,'g-expenses-ltd'!$D:$D,"logistics",'g-expenses-ltd'!$E:$E,TRIM($A22))</f>
        <v/>
      </c>
      <c r="I22" s="4">
        <f>SUMIFS('g-expenses-ltd'!$K:$K,'g-expenses-ltd'!$A:$A,I$1,'g-expenses-ltd'!$D:$D,"logistics",'g-expenses-ltd'!$E:$E,TRIM($A22))</f>
        <v/>
      </c>
      <c r="J22" s="4">
        <f>SUMIFS('g-expenses-ltd'!$K:$K,'g-expenses-ltd'!$A:$A,J$1,'g-expenses-ltd'!$D:$D,"logistics",'g-expenses-ltd'!$E:$E,TRIM($A22))</f>
        <v/>
      </c>
      <c r="K22" s="4">
        <f>SUMIFS('g-expenses-ltd'!$K:$K,'g-expenses-ltd'!$A:$A,K$1,'g-expenses-ltd'!$D:$D,"logistics",'g-expenses-ltd'!$E:$E,TRIM($A22))</f>
        <v/>
      </c>
      <c r="L22" s="4">
        <f>SUMIFS('g-expenses-ltd'!$K:$K,'g-expenses-ltd'!$A:$A,L$1,'g-expenses-ltd'!$D:$D,"logistics",'g-expenses-ltd'!$E:$E,TRIM($A22))</f>
        <v/>
      </c>
      <c r="M22" s="4">
        <f>SUMIFS('g-expenses-ltd'!$K:$K,'g-expenses-ltd'!$A:$A,M$1,'g-expenses-ltd'!$D:$D,"logistics",'g-expenses-ltd'!$E:$E,TRIM($A22))</f>
        <v/>
      </c>
      <c r="N22" s="4">
        <f>SUMIFS('g-expenses-ltd'!$K:$K,'g-expenses-ltd'!$A:$A,N$1,'g-expenses-ltd'!$D:$D,"logistics",'g-expenses-ltd'!$E:$E,TRIM($A22))</f>
        <v/>
      </c>
      <c r="O22" s="4">
        <f>SUMIFS('g-expenses-ltd'!$K:$K,'g-expenses-ltd'!$A:$A,O$1,'g-expenses-ltd'!$D:$D,"logistics",'g-expenses-ltd'!$E:$E,TRIM($A22))</f>
        <v/>
      </c>
      <c r="P22" s="4">
        <f>SUM(D22:O22)</f>
        <v/>
      </c>
      <c r="Q22" s="4" t="n"/>
    </row>
    <row r="23" hidden="1" outlineLevel="2" ht="12" customHeight="1">
      <c r="A23" s="3" t="inlineStr">
        <is>
          <t xml:space="preserve">    % Logistics / sales</t>
        </is>
      </c>
      <c r="B23" s="13" t="n"/>
      <c r="C23" s="13" t="n"/>
      <c r="D23" s="13">
        <f>IFERROR(D20/D5,0)</f>
        <v/>
      </c>
      <c r="E23" s="13">
        <f>IFERROR(E20/E5,0)</f>
        <v/>
      </c>
      <c r="F23" s="13">
        <f>IFERROR(F20/F5,0)</f>
        <v/>
      </c>
      <c r="G23" s="13">
        <f>IFERROR(G20/G5,0)</f>
        <v/>
      </c>
      <c r="H23" s="13">
        <f>IFERROR(H20/H5,0)</f>
        <v/>
      </c>
      <c r="I23" s="13">
        <f>IFERROR(I20/I5,0)</f>
        <v/>
      </c>
      <c r="J23" s="13">
        <f>IFERROR(J20/J5,0)</f>
        <v/>
      </c>
      <c r="K23" s="13">
        <f>IFERROR(K20/K5,0)</f>
        <v/>
      </c>
      <c r="L23" s="13">
        <f>IFERROR(L20/L5,0)</f>
        <v/>
      </c>
      <c r="M23" s="13">
        <f>IFERROR(M20/M5,0)</f>
        <v/>
      </c>
      <c r="N23" s="13">
        <f>IFERROR(N20/N5,0)</f>
        <v/>
      </c>
      <c r="O23" s="13">
        <f>IFERROR(O20/O5,0)</f>
        <v/>
      </c>
      <c r="P23" s="13">
        <f>IFERROR(P20/P5,0)</f>
        <v/>
      </c>
      <c r="Q23" s="13" t="n"/>
    </row>
    <row r="24" hidden="1" outlineLevel="2" ht="12" customHeight="1">
      <c r="A24" s="9" t="inlineStr">
        <is>
          <t xml:space="preserve">    Payment fees</t>
        </is>
      </c>
      <c r="B24" s="10" t="n"/>
      <c r="C24" s="10" t="n"/>
      <c r="D24" s="10">
        <f>SUM(D25:D25)</f>
        <v/>
      </c>
      <c r="E24" s="10">
        <f>SUM(E25:E25)</f>
        <v/>
      </c>
      <c r="F24" s="10">
        <f>SUM(F25:F25)</f>
        <v/>
      </c>
      <c r="G24" s="10">
        <f>SUM(G25:G25)</f>
        <v/>
      </c>
      <c r="H24" s="10">
        <f>SUM(H25:H25)</f>
        <v/>
      </c>
      <c r="I24" s="10">
        <f>SUM(I25:I25)</f>
        <v/>
      </c>
      <c r="J24" s="10">
        <f>SUM(J25:J25)</f>
        <v/>
      </c>
      <c r="K24" s="10">
        <f>SUM(K25:K25)</f>
        <v/>
      </c>
      <c r="L24" s="10">
        <f>SUM(L25:L25)</f>
        <v/>
      </c>
      <c r="M24" s="10">
        <f>SUM(M25:M25)</f>
        <v/>
      </c>
      <c r="N24" s="10">
        <f>SUM(N25:N25)</f>
        <v/>
      </c>
      <c r="O24" s="10">
        <f>SUM(O25:O25)</f>
        <v/>
      </c>
      <c r="P24" s="10">
        <f>SUM(D24:O24)</f>
        <v/>
      </c>
      <c r="Q24" s="10" t="inlineStr">
        <is>
          <t>-&gt;</t>
        </is>
      </c>
    </row>
    <row r="25" hidden="1" outlineLevel="3" ht="12" customHeight="1">
      <c r="A25" t="inlineStr">
        <is>
          <t xml:space="preserve">      SHOPIFY</t>
        </is>
      </c>
      <c r="B25" s="4" t="n"/>
      <c r="C25" s="4" t="n"/>
      <c r="D25" s="4">
        <f>SUMIFS('g-payment-fees-ltd'!$H:$H,'g-payment-fees-ltd'!$A:$A,D$1,'g-payment-fees-ltd'!$C:$C,TRIM($A25))</f>
        <v/>
      </c>
      <c r="E25" s="4">
        <f>SUMIFS('g-payment-fees-ltd'!$H:$H,'g-payment-fees-ltd'!$A:$A,E$1,'g-payment-fees-ltd'!$C:$C,TRIM($A25))</f>
        <v/>
      </c>
      <c r="F25" s="4">
        <f>SUMIFS('g-payment-fees-ltd'!$H:$H,'g-payment-fees-ltd'!$A:$A,F$1,'g-payment-fees-ltd'!$C:$C,TRIM($A25))</f>
        <v/>
      </c>
      <c r="G25" s="4">
        <f>SUMIFS('g-payment-fees-ltd'!$H:$H,'g-payment-fees-ltd'!$A:$A,G$1,'g-payment-fees-ltd'!$C:$C,TRIM($A25))</f>
        <v/>
      </c>
      <c r="H25" s="4">
        <f>SUMIFS('g-payment-fees-ltd'!$H:$H,'g-payment-fees-ltd'!$A:$A,H$1,'g-payment-fees-ltd'!$C:$C,TRIM($A25))</f>
        <v/>
      </c>
      <c r="I25" s="4">
        <f>SUMIFS('g-payment-fees-ltd'!$H:$H,'g-payment-fees-ltd'!$A:$A,I$1,'g-payment-fees-ltd'!$C:$C,TRIM($A25))</f>
        <v/>
      </c>
      <c r="J25" s="4">
        <f>SUMIFS('g-payment-fees-ltd'!$H:$H,'g-payment-fees-ltd'!$A:$A,J$1,'g-payment-fees-ltd'!$C:$C,TRIM($A25))</f>
        <v/>
      </c>
      <c r="K25" s="4">
        <f>SUMIFS('g-payment-fees-ltd'!$H:$H,'g-payment-fees-ltd'!$A:$A,K$1,'g-payment-fees-ltd'!$C:$C,TRIM($A25))</f>
        <v/>
      </c>
      <c r="L25" s="4">
        <f>SUMIFS('g-payment-fees-ltd'!$H:$H,'g-payment-fees-ltd'!$A:$A,L$1,'g-payment-fees-ltd'!$C:$C,TRIM($A25))</f>
        <v/>
      </c>
      <c r="M25" s="4">
        <f>SUMIFS('g-payment-fees-ltd'!$H:$H,'g-payment-fees-ltd'!$A:$A,M$1,'g-payment-fees-ltd'!$C:$C,TRIM($A25))</f>
        <v/>
      </c>
      <c r="N25" s="4">
        <f>SUMIFS('g-payment-fees-ltd'!$H:$H,'g-payment-fees-ltd'!$A:$A,N$1,'g-payment-fees-ltd'!$C:$C,TRIM($A25))</f>
        <v/>
      </c>
      <c r="O25" s="4">
        <f>SUMIFS('g-payment-fees-ltd'!$H:$H,'g-payment-fees-ltd'!$A:$A,O$1,'g-payment-fees-ltd'!$C:$C,TRIM($A25))</f>
        <v/>
      </c>
      <c r="P25" s="4">
        <f>SUM(D25:O25)</f>
        <v/>
      </c>
      <c r="Q25" s="4" t="inlineStr">
        <is>
          <t>-&gt;</t>
        </is>
      </c>
    </row>
    <row r="26" ht="12" customHeight="1">
      <c r="A26" s="14" t="inlineStr">
        <is>
          <t xml:space="preserve">    Royalties</t>
        </is>
      </c>
      <c r="B26" s="4" t="n"/>
      <c r="C26" s="4" t="n"/>
      <c r="D26" s="4" t="n">
        <v>1101.81</v>
      </c>
      <c r="E26" s="4" t="n">
        <v>1398.57</v>
      </c>
      <c r="F26" s="4" t="n">
        <v>1682.82</v>
      </c>
      <c r="G26" s="4" t="n">
        <v>1400.73</v>
      </c>
      <c r="H26" s="4" t="n">
        <v>1412.72</v>
      </c>
      <c r="I26" s="4" t="n">
        <v>1522.77</v>
      </c>
      <c r="J26" s="4" t="n"/>
      <c r="K26" s="4" t="n"/>
      <c r="L26" s="4" t="n"/>
      <c r="M26" s="4" t="n"/>
      <c r="N26" s="4" t="n"/>
      <c r="O26" s="4" t="n"/>
      <c r="P26" s="4">
        <f>SUM(D26:O26)</f>
        <v/>
      </c>
      <c r="Q26" s="4" t="n"/>
    </row>
    <row r="27" ht="12" customHeight="1"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>
        <f>SUM(D27:O27)</f>
        <v/>
      </c>
      <c r="Q27" s="4" t="n"/>
    </row>
    <row r="28" hidden="1" outlineLevel="2" ht="12" customHeight="1">
      <c r="A28" s="3" t="inlineStr">
        <is>
          <t xml:space="preserve">    % Payment fees / sales</t>
        </is>
      </c>
      <c r="B28" s="13" t="n"/>
      <c r="C28" s="13" t="n"/>
      <c r="D28" s="13">
        <f>IFERROR(D24/D5,0)</f>
        <v/>
      </c>
      <c r="E28" s="13">
        <f>IFERROR(E24/E5,0)</f>
        <v/>
      </c>
      <c r="F28" s="13">
        <f>IFERROR(F24/F5,0)</f>
        <v/>
      </c>
      <c r="G28" s="13">
        <f>IFERROR(G24/G5,0)</f>
        <v/>
      </c>
      <c r="H28" s="13">
        <f>IFERROR(H24/H5,0)</f>
        <v/>
      </c>
      <c r="I28" s="13">
        <f>IFERROR(I24/I5,0)</f>
        <v/>
      </c>
      <c r="J28" s="13">
        <f>IFERROR(J24/J5,0)</f>
        <v/>
      </c>
      <c r="K28" s="13">
        <f>IFERROR(K24/K5,0)</f>
        <v/>
      </c>
      <c r="L28" s="13">
        <f>IFERROR(L24/L5,0)</f>
        <v/>
      </c>
      <c r="M28" s="13">
        <f>IFERROR(M24/M5,0)</f>
        <v/>
      </c>
      <c r="N28" s="13">
        <f>IFERROR(N24/N5,0)</f>
        <v/>
      </c>
      <c r="O28" s="13">
        <f>IFERROR(O24/O5,0)</f>
        <v/>
      </c>
      <c r="P28" s="13">
        <f>IFERROR(P24/P5,0)</f>
        <v/>
      </c>
      <c r="Q28" s="13" t="n"/>
    </row>
    <row r="29" ht="12" customHeight="1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>
        <f>SUM(D29:O29)</f>
        <v/>
      </c>
      <c r="Q29" s="4" t="n"/>
    </row>
    <row r="30" ht="12" customHeight="1">
      <c r="A30" s="15" t="inlineStr">
        <is>
          <t>GROSS MARGIN (SALES-MANUFACTURING)</t>
        </is>
      </c>
      <c r="B30" s="16" t="n"/>
      <c r="C30" s="16" t="n"/>
      <c r="D30" s="16">
        <f>D5-D14</f>
        <v/>
      </c>
      <c r="E30" s="16">
        <f>E5-E14</f>
        <v/>
      </c>
      <c r="F30" s="16">
        <f>F5-F14</f>
        <v/>
      </c>
      <c r="G30" s="16">
        <f>G5-G14</f>
        <v/>
      </c>
      <c r="H30" s="16">
        <f>H5-H14</f>
        <v/>
      </c>
      <c r="I30" s="16">
        <f>I5-I14</f>
        <v/>
      </c>
      <c r="J30" s="16">
        <f>J5-J14</f>
        <v/>
      </c>
      <c r="K30" s="16">
        <f>K5-K14</f>
        <v/>
      </c>
      <c r="L30" s="16">
        <f>L5-L14</f>
        <v/>
      </c>
      <c r="M30" s="16">
        <f>M5-M14</f>
        <v/>
      </c>
      <c r="N30" s="16">
        <f>N5-N14</f>
        <v/>
      </c>
      <c r="O30" s="16">
        <f>O5-O14</f>
        <v/>
      </c>
      <c r="P30" s="16">
        <f>SUM(D30:O30)</f>
        <v/>
      </c>
      <c r="Q30" s="16" t="n"/>
    </row>
    <row r="31" hidden="1" outlineLevel="1" ht="12" customHeight="1">
      <c r="A31" s="3" t="inlineStr">
        <is>
          <t>% gross margin</t>
        </is>
      </c>
      <c r="B31" s="13" t="n"/>
      <c r="C31" s="13" t="n"/>
      <c r="D31" s="13">
        <f>IFERROR(D30/D5,0)</f>
        <v/>
      </c>
      <c r="E31" s="13">
        <f>IFERROR(E30/E5,0)</f>
        <v/>
      </c>
      <c r="F31" s="13">
        <f>IFERROR(F30/F5,0)</f>
        <v/>
      </c>
      <c r="G31" s="13">
        <f>IFERROR(G30/G5,0)</f>
        <v/>
      </c>
      <c r="H31" s="13">
        <f>IFERROR(H30/H5,0)</f>
        <v/>
      </c>
      <c r="I31" s="13">
        <f>IFERROR(I30/I5,0)</f>
        <v/>
      </c>
      <c r="J31" s="13">
        <f>IFERROR(J30/J5,0)</f>
        <v/>
      </c>
      <c r="K31" s="13">
        <f>IFERROR(K30/K5,0)</f>
        <v/>
      </c>
      <c r="L31" s="13">
        <f>IFERROR(L30/L5,0)</f>
        <v/>
      </c>
      <c r="M31" s="13">
        <f>IFERROR(M30/M5,0)</f>
        <v/>
      </c>
      <c r="N31" s="13">
        <f>IFERROR(N30/N5,0)</f>
        <v/>
      </c>
      <c r="O31" s="13">
        <f>IFERROR(O30/O5,0)</f>
        <v/>
      </c>
      <c r="P31" s="13">
        <f>IFERROR(P30/P5,0)</f>
        <v/>
      </c>
      <c r="Q31" s="13" t="n"/>
    </row>
    <row r="32" ht="12" customHeight="1">
      <c r="A32" s="15" t="inlineStr">
        <is>
          <t>Contributive margin (product sales-COGS)</t>
        </is>
      </c>
      <c r="B32" s="16" t="n"/>
      <c r="C32" s="16" t="n"/>
      <c r="D32" s="16">
        <f>D5-D13-D26</f>
        <v/>
      </c>
      <c r="E32" s="16">
        <f>E5-E13-E26</f>
        <v/>
      </c>
      <c r="F32" s="16">
        <f>F5-F13-F26</f>
        <v/>
      </c>
      <c r="G32" s="16">
        <f>G5-G13-G26</f>
        <v/>
      </c>
      <c r="H32" s="16">
        <f>H5-H13-H26</f>
        <v/>
      </c>
      <c r="I32" s="16">
        <f>I5-I13-I26</f>
        <v/>
      </c>
      <c r="J32" s="16">
        <f>J5-J13-J26</f>
        <v/>
      </c>
      <c r="K32" s="16">
        <f>K5-K13-K26</f>
        <v/>
      </c>
      <c r="L32" s="16">
        <f>L5-L13-L26</f>
        <v/>
      </c>
      <c r="M32" s="16">
        <f>M5-M13-M26</f>
        <v/>
      </c>
      <c r="N32" s="16">
        <f>N5-N13-N26</f>
        <v/>
      </c>
      <c r="O32" s="16">
        <f>O5-O13-O26</f>
        <v/>
      </c>
      <c r="P32" s="16">
        <f>SUM(D32:O32)</f>
        <v/>
      </c>
      <c r="Q32" s="16" t="n"/>
    </row>
    <row r="33" hidden="1" outlineLevel="1" ht="12" customHeight="1">
      <c r="A33" s="3" t="inlineStr">
        <is>
          <t>% contributive margin</t>
        </is>
      </c>
      <c r="B33" s="13" t="n"/>
      <c r="C33" s="13" t="n"/>
      <c r="D33" s="13">
        <f>IFERROR(D32/D5,0)</f>
        <v/>
      </c>
      <c r="E33" s="13">
        <f>IFERROR(E32/E5,0)</f>
        <v/>
      </c>
      <c r="F33" s="13">
        <f>IFERROR(F32/F5,0)</f>
        <v/>
      </c>
      <c r="G33" s="13">
        <f>IFERROR(G32/G5,0)</f>
        <v/>
      </c>
      <c r="H33" s="13">
        <f>IFERROR(H32/H5,0)</f>
        <v/>
      </c>
      <c r="I33" s="13">
        <f>IFERROR(I32/I5,0)</f>
        <v/>
      </c>
      <c r="J33" s="13">
        <f>IFERROR(J32/J5,0)</f>
        <v/>
      </c>
      <c r="K33" s="13">
        <f>IFERROR(K32/K5,0)</f>
        <v/>
      </c>
      <c r="L33" s="13">
        <f>IFERROR(L32/L5,0)</f>
        <v/>
      </c>
      <c r="M33" s="13">
        <f>IFERROR(M32/M5,0)</f>
        <v/>
      </c>
      <c r="N33" s="13">
        <f>IFERROR(N32/N5,0)</f>
        <v/>
      </c>
      <c r="O33" s="13">
        <f>IFERROR(O32/O5,0)</f>
        <v/>
      </c>
      <c r="P33" s="13">
        <f>IFERROR(P32/P5,0)</f>
        <v/>
      </c>
      <c r="Q33" s="13" t="n"/>
    </row>
    <row r="34" ht="12" customHeight="1"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>
        <f>SUM(D34:O34)</f>
        <v/>
      </c>
      <c r="Q34" s="4" t="n"/>
    </row>
    <row r="35" outlineLevel="1" ht="12" customHeight="1">
      <c r="A35" s="7" t="inlineStr">
        <is>
          <t xml:space="preserve">  Opex</t>
        </is>
      </c>
      <c r="B35" s="8" t="n"/>
      <c r="C35" s="8" t="n"/>
      <c r="D35" s="8">
        <f>D36+D38+D40+D42</f>
        <v/>
      </c>
      <c r="E35" s="8">
        <f>E36+E38+E40+E42</f>
        <v/>
      </c>
      <c r="F35" s="8">
        <f>F36+F38+F40+F42</f>
        <v/>
      </c>
      <c r="G35" s="8">
        <f>G36+G38+G40+G42</f>
        <v/>
      </c>
      <c r="H35" s="8">
        <f>H36+H38+H40+H42</f>
        <v/>
      </c>
      <c r="I35" s="8">
        <f>I36+I38+I40+I42</f>
        <v/>
      </c>
      <c r="J35" s="8">
        <f>J36+J38+J40+J42</f>
        <v/>
      </c>
      <c r="K35" s="8">
        <f>K36+K38+K40+K42</f>
        <v/>
      </c>
      <c r="L35" s="8">
        <f>L36+L38+L40+L42</f>
        <v/>
      </c>
      <c r="M35" s="8">
        <f>M36+M38+M40+M42</f>
        <v/>
      </c>
      <c r="N35" s="8">
        <f>N36+N38+N40+N42</f>
        <v/>
      </c>
      <c r="O35" s="8">
        <f>O36+O38+O40+O42</f>
        <v/>
      </c>
      <c r="P35" s="8">
        <f>SUM(D35:O35)</f>
        <v/>
      </c>
      <c r="Q35" s="8" t="n"/>
    </row>
    <row r="36" hidden="1" outlineLevel="2" ht="12" customHeight="1">
      <c r="A36" s="9" t="inlineStr">
        <is>
          <t xml:space="preserve">    Shared services</t>
        </is>
      </c>
      <c r="B36" s="10" t="n"/>
      <c r="C36" s="10" t="n"/>
      <c r="D36" s="10">
        <f>SUM(D37:D37)</f>
        <v/>
      </c>
      <c r="E36" s="10">
        <f>SUM(E37:E37)</f>
        <v/>
      </c>
      <c r="F36" s="10">
        <f>SUM(F37:F37)</f>
        <v/>
      </c>
      <c r="G36" s="10">
        <f>SUM(G37:G37)</f>
        <v/>
      </c>
      <c r="H36" s="10">
        <f>SUM(H37:H37)</f>
        <v/>
      </c>
      <c r="I36" s="10">
        <f>SUM(I37:I37)</f>
        <v/>
      </c>
      <c r="J36" s="10">
        <f>SUM(J37:J37)</f>
        <v/>
      </c>
      <c r="K36" s="10">
        <f>SUM(K37:K37)</f>
        <v/>
      </c>
      <c r="L36" s="10">
        <f>SUM(L37:L37)</f>
        <v/>
      </c>
      <c r="M36" s="10">
        <f>SUM(M37:M37)</f>
        <v/>
      </c>
      <c r="N36" s="10">
        <f>SUM(N37:N37)</f>
        <v/>
      </c>
      <c r="O36" s="10">
        <f>SUM(O37:O37)</f>
        <v/>
      </c>
      <c r="P36" s="10">
        <f>SUM(D36:O36)</f>
        <v/>
      </c>
      <c r="Q36" s="10" t="inlineStr">
        <is>
          <t>-&gt;</t>
        </is>
      </c>
    </row>
    <row r="37" hidden="1" outlineLevel="3" ht="12" customHeight="1">
      <c r="A37" t="inlineStr">
        <is>
          <t xml:space="preserve">      SHAREDSERVICESSL</t>
        </is>
      </c>
      <c r="B37" s="4" t="n"/>
      <c r="C37" s="4" t="n"/>
      <c r="D37" s="4">
        <f>SUMIFS('g-expenses-ltd'!$K:$K,'g-expenses-ltd'!$A:$A,D$1,'g-expenses-ltd'!$D:$D,"shared_services",'g-expenses-ltd'!$E:$E,TRIM($A37))</f>
        <v/>
      </c>
      <c r="E37" s="4">
        <f>SUMIFS('g-expenses-ltd'!$K:$K,'g-expenses-ltd'!$A:$A,E$1,'g-expenses-ltd'!$D:$D,"shared_services",'g-expenses-ltd'!$E:$E,TRIM($A37))</f>
        <v/>
      </c>
      <c r="F37" s="4">
        <f>SUMIFS('g-expenses-ltd'!$K:$K,'g-expenses-ltd'!$A:$A,F$1,'g-expenses-ltd'!$D:$D,"shared_services",'g-expenses-ltd'!$E:$E,TRIM($A37))</f>
        <v/>
      </c>
      <c r="G37" s="4">
        <f>SUMIFS('g-expenses-ltd'!$K:$K,'g-expenses-ltd'!$A:$A,G$1,'g-expenses-ltd'!$D:$D,"shared_services",'g-expenses-ltd'!$E:$E,TRIM($A37))</f>
        <v/>
      </c>
      <c r="H37" s="4">
        <f>SUMIFS('g-expenses-ltd'!$K:$K,'g-expenses-ltd'!$A:$A,H$1,'g-expenses-ltd'!$D:$D,"shared_services",'g-expenses-ltd'!$E:$E,TRIM($A37))</f>
        <v/>
      </c>
      <c r="I37" s="4">
        <f>SUMIFS('g-expenses-ltd'!$K:$K,'g-expenses-ltd'!$A:$A,I$1,'g-expenses-ltd'!$D:$D,"shared_services",'g-expenses-ltd'!$E:$E,TRIM($A37))</f>
        <v/>
      </c>
      <c r="J37" s="4">
        <f>SUMIFS('g-expenses-ltd'!$K:$K,'g-expenses-ltd'!$A:$A,J$1,'g-expenses-ltd'!$D:$D,"shared_services",'g-expenses-ltd'!$E:$E,TRIM($A37))</f>
        <v/>
      </c>
      <c r="K37" s="4">
        <f>SUMIFS('g-expenses-ltd'!$K:$K,'g-expenses-ltd'!$A:$A,K$1,'g-expenses-ltd'!$D:$D,"shared_services",'g-expenses-ltd'!$E:$E,TRIM($A37))</f>
        <v/>
      </c>
      <c r="L37" s="4">
        <f>SUMIFS('g-expenses-ltd'!$K:$K,'g-expenses-ltd'!$A:$A,L$1,'g-expenses-ltd'!$D:$D,"shared_services",'g-expenses-ltd'!$E:$E,TRIM($A37))</f>
        <v/>
      </c>
      <c r="M37" s="4">
        <f>SUMIFS('g-expenses-ltd'!$K:$K,'g-expenses-ltd'!$A:$A,M$1,'g-expenses-ltd'!$D:$D,"shared_services",'g-expenses-ltd'!$E:$E,TRIM($A37))</f>
        <v/>
      </c>
      <c r="N37" s="4">
        <f>SUMIFS('g-expenses-ltd'!$K:$K,'g-expenses-ltd'!$A:$A,N$1,'g-expenses-ltd'!$D:$D,"shared_services",'g-expenses-ltd'!$E:$E,TRIM($A37))</f>
        <v/>
      </c>
      <c r="O37" s="4">
        <f>SUMIFS('g-expenses-ltd'!$K:$K,'g-expenses-ltd'!$A:$A,O$1,'g-expenses-ltd'!$D:$D,"shared_services",'g-expenses-ltd'!$E:$E,TRIM($A37))</f>
        <v/>
      </c>
      <c r="P37" s="4">
        <f>SUM(D37:O37)</f>
        <v/>
      </c>
      <c r="Q37" s="4" t="inlineStr">
        <is>
          <t>-&gt;</t>
        </is>
      </c>
    </row>
    <row r="38" hidden="1" outlineLevel="2" ht="12" customHeight="1">
      <c r="A38" s="9" t="inlineStr">
        <is>
          <t xml:space="preserve">    Administration</t>
        </is>
      </c>
      <c r="B38" s="10" t="n"/>
      <c r="C38" s="10" t="n"/>
      <c r="D38" s="10">
        <f>SUM(D39:D39)</f>
        <v/>
      </c>
      <c r="E38" s="10">
        <f>SUM(E39:E39)</f>
        <v/>
      </c>
      <c r="F38" s="10">
        <f>SUM(F39:F39)</f>
        <v/>
      </c>
      <c r="G38" s="10">
        <f>SUM(G39:G39)</f>
        <v/>
      </c>
      <c r="H38" s="10">
        <f>SUM(H39:H39)</f>
        <v/>
      </c>
      <c r="I38" s="10">
        <f>SUM(I39:I39)</f>
        <v/>
      </c>
      <c r="J38" s="10">
        <f>SUM(J39:J39)</f>
        <v/>
      </c>
      <c r="K38" s="10">
        <f>SUM(K39:K39)</f>
        <v/>
      </c>
      <c r="L38" s="10">
        <f>SUM(L39:L39)</f>
        <v/>
      </c>
      <c r="M38" s="10">
        <f>SUM(M39:M39)</f>
        <v/>
      </c>
      <c r="N38" s="10">
        <f>SUM(N39:N39)</f>
        <v/>
      </c>
      <c r="O38" s="10">
        <f>SUM(O39:O39)</f>
        <v/>
      </c>
      <c r="P38" s="10">
        <f>SUM(D38:O38)</f>
        <v/>
      </c>
      <c r="Q38" s="10" t="inlineStr">
        <is>
          <t>-&gt;</t>
        </is>
      </c>
    </row>
    <row r="39" hidden="1" outlineLevel="3" ht="12" customHeight="1">
      <c r="A39" t="inlineStr">
        <is>
          <t xml:space="preserve">      YOURACCOUNTSTAXES</t>
        </is>
      </c>
      <c r="B39" s="4" t="n"/>
      <c r="C39" s="4" t="n"/>
      <c r="D39" s="4">
        <f>SUMIFS('g-expenses-ltd'!$K:$K,'g-expenses-ltd'!$A:$A,D$1,'g-expenses-ltd'!$D:$D,"administration",'g-expenses-ltd'!$E:$E,TRIM($A39))</f>
        <v/>
      </c>
      <c r="E39" s="4">
        <f>SUMIFS('g-expenses-ltd'!$K:$K,'g-expenses-ltd'!$A:$A,E$1,'g-expenses-ltd'!$D:$D,"administration",'g-expenses-ltd'!$E:$E,TRIM($A39))</f>
        <v/>
      </c>
      <c r="F39" s="4">
        <f>SUMIFS('g-expenses-ltd'!$K:$K,'g-expenses-ltd'!$A:$A,F$1,'g-expenses-ltd'!$D:$D,"administration",'g-expenses-ltd'!$E:$E,TRIM($A39))</f>
        <v/>
      </c>
      <c r="G39" s="4">
        <f>SUMIFS('g-expenses-ltd'!$K:$K,'g-expenses-ltd'!$A:$A,G$1,'g-expenses-ltd'!$D:$D,"administration",'g-expenses-ltd'!$E:$E,TRIM($A39))</f>
        <v/>
      </c>
      <c r="H39" s="4">
        <f>SUMIFS('g-expenses-ltd'!$K:$K,'g-expenses-ltd'!$A:$A,H$1,'g-expenses-ltd'!$D:$D,"administration",'g-expenses-ltd'!$E:$E,TRIM($A39))</f>
        <v/>
      </c>
      <c r="I39" s="4">
        <f>SUMIFS('g-expenses-ltd'!$K:$K,'g-expenses-ltd'!$A:$A,I$1,'g-expenses-ltd'!$D:$D,"administration",'g-expenses-ltd'!$E:$E,TRIM($A39))</f>
        <v/>
      </c>
      <c r="J39" s="4">
        <f>SUMIFS('g-expenses-ltd'!$K:$K,'g-expenses-ltd'!$A:$A,J$1,'g-expenses-ltd'!$D:$D,"administration",'g-expenses-ltd'!$E:$E,TRIM($A39))</f>
        <v/>
      </c>
      <c r="K39" s="4">
        <f>SUMIFS('g-expenses-ltd'!$K:$K,'g-expenses-ltd'!$A:$A,K$1,'g-expenses-ltd'!$D:$D,"administration",'g-expenses-ltd'!$E:$E,TRIM($A39))</f>
        <v/>
      </c>
      <c r="L39" s="4">
        <f>SUMIFS('g-expenses-ltd'!$K:$K,'g-expenses-ltd'!$A:$A,L$1,'g-expenses-ltd'!$D:$D,"administration",'g-expenses-ltd'!$E:$E,TRIM($A39))</f>
        <v/>
      </c>
      <c r="M39" s="4">
        <f>SUMIFS('g-expenses-ltd'!$K:$K,'g-expenses-ltd'!$A:$A,M$1,'g-expenses-ltd'!$D:$D,"administration",'g-expenses-ltd'!$E:$E,TRIM($A39))</f>
        <v/>
      </c>
      <c r="N39" s="4">
        <f>SUMIFS('g-expenses-ltd'!$K:$K,'g-expenses-ltd'!$A:$A,N$1,'g-expenses-ltd'!$D:$D,"administration",'g-expenses-ltd'!$E:$E,TRIM($A39))</f>
        <v/>
      </c>
      <c r="O39" s="4">
        <f>SUMIFS('g-expenses-ltd'!$K:$K,'g-expenses-ltd'!$A:$A,O$1,'g-expenses-ltd'!$D:$D,"administration",'g-expenses-ltd'!$E:$E,TRIM($A39))</f>
        <v/>
      </c>
      <c r="P39" s="4">
        <f>SUM(D39:O39)</f>
        <v/>
      </c>
      <c r="Q39" s="4" t="inlineStr">
        <is>
          <t>-&gt;</t>
        </is>
      </c>
    </row>
    <row r="40" hidden="1" outlineLevel="2" ht="12" customHeight="1">
      <c r="A40" s="9" t="inlineStr">
        <is>
          <t xml:space="preserve">    Technology</t>
        </is>
      </c>
      <c r="B40" s="10" t="n"/>
      <c r="C40" s="10" t="n"/>
      <c r="D40" s="10">
        <f>SUM(D41:D41)</f>
        <v/>
      </c>
      <c r="E40" s="10">
        <f>SUM(E41:E41)</f>
        <v/>
      </c>
      <c r="F40" s="10">
        <f>SUM(F41:F41)</f>
        <v/>
      </c>
      <c r="G40" s="10">
        <f>SUM(G41:G41)</f>
        <v/>
      </c>
      <c r="H40" s="10">
        <f>SUM(H41:H41)</f>
        <v/>
      </c>
      <c r="I40" s="10">
        <f>SUM(I41:I41)</f>
        <v/>
      </c>
      <c r="J40" s="10">
        <f>SUM(J41:J41)</f>
        <v/>
      </c>
      <c r="K40" s="10">
        <f>SUM(K41:K41)</f>
        <v/>
      </c>
      <c r="L40" s="10">
        <f>SUM(L41:L41)</f>
        <v/>
      </c>
      <c r="M40" s="10">
        <f>SUM(M41:M41)</f>
        <v/>
      </c>
      <c r="N40" s="10">
        <f>SUM(N41:N41)</f>
        <v/>
      </c>
      <c r="O40" s="10">
        <f>SUM(O41:O41)</f>
        <v/>
      </c>
      <c r="P40" s="10">
        <f>SUM(D40:O40)</f>
        <v/>
      </c>
      <c r="Q40" s="10" t="inlineStr">
        <is>
          <t>-&gt;</t>
        </is>
      </c>
    </row>
    <row r="41" hidden="1" outlineLevel="3" ht="12" customHeight="1">
      <c r="A41" t="inlineStr">
        <is>
          <t xml:space="preserve">      REVER</t>
        </is>
      </c>
      <c r="B41" s="4" t="n"/>
      <c r="C41" s="4" t="n"/>
      <c r="D41" s="4">
        <f>SUMIFS('g-expenses-ltd'!$K:$K,'g-expenses-ltd'!$A:$A,D$1,'g-expenses-ltd'!$D:$D,"technology",'g-expenses-ltd'!$E:$E,TRIM($A41))</f>
        <v/>
      </c>
      <c r="E41" s="4">
        <f>SUMIFS('g-expenses-ltd'!$K:$K,'g-expenses-ltd'!$A:$A,E$1,'g-expenses-ltd'!$D:$D,"technology",'g-expenses-ltd'!$E:$E,TRIM($A41))</f>
        <v/>
      </c>
      <c r="F41" s="4">
        <f>SUMIFS('g-expenses-ltd'!$K:$K,'g-expenses-ltd'!$A:$A,F$1,'g-expenses-ltd'!$D:$D,"technology",'g-expenses-ltd'!$E:$E,TRIM($A41))</f>
        <v/>
      </c>
      <c r="G41" s="4">
        <f>SUMIFS('g-expenses-ltd'!$K:$K,'g-expenses-ltd'!$A:$A,G$1,'g-expenses-ltd'!$D:$D,"technology",'g-expenses-ltd'!$E:$E,TRIM($A41))</f>
        <v/>
      </c>
      <c r="H41" s="4">
        <f>SUMIFS('g-expenses-ltd'!$K:$K,'g-expenses-ltd'!$A:$A,H$1,'g-expenses-ltd'!$D:$D,"technology",'g-expenses-ltd'!$E:$E,TRIM($A41))</f>
        <v/>
      </c>
      <c r="I41" s="4">
        <f>SUMIFS('g-expenses-ltd'!$K:$K,'g-expenses-ltd'!$A:$A,I$1,'g-expenses-ltd'!$D:$D,"technology",'g-expenses-ltd'!$E:$E,TRIM($A41))</f>
        <v/>
      </c>
      <c r="J41" s="4">
        <f>SUMIFS('g-expenses-ltd'!$K:$K,'g-expenses-ltd'!$A:$A,J$1,'g-expenses-ltd'!$D:$D,"technology",'g-expenses-ltd'!$E:$E,TRIM($A41))</f>
        <v/>
      </c>
      <c r="K41" s="4">
        <f>SUMIFS('g-expenses-ltd'!$K:$K,'g-expenses-ltd'!$A:$A,K$1,'g-expenses-ltd'!$D:$D,"technology",'g-expenses-ltd'!$E:$E,TRIM($A41))</f>
        <v/>
      </c>
      <c r="L41" s="4">
        <f>SUMIFS('g-expenses-ltd'!$K:$K,'g-expenses-ltd'!$A:$A,L$1,'g-expenses-ltd'!$D:$D,"technology",'g-expenses-ltd'!$E:$E,TRIM($A41))</f>
        <v/>
      </c>
      <c r="M41" s="4">
        <f>SUMIFS('g-expenses-ltd'!$K:$K,'g-expenses-ltd'!$A:$A,M$1,'g-expenses-ltd'!$D:$D,"technology",'g-expenses-ltd'!$E:$E,TRIM($A41))</f>
        <v/>
      </c>
      <c r="N41" s="4">
        <f>SUMIFS('g-expenses-ltd'!$K:$K,'g-expenses-ltd'!$A:$A,N$1,'g-expenses-ltd'!$D:$D,"technology",'g-expenses-ltd'!$E:$E,TRIM($A41))</f>
        <v/>
      </c>
      <c r="O41" s="4">
        <f>SUMIFS('g-expenses-ltd'!$K:$K,'g-expenses-ltd'!$A:$A,O$1,'g-expenses-ltd'!$D:$D,"technology",'g-expenses-ltd'!$E:$E,TRIM($A41))</f>
        <v/>
      </c>
      <c r="P41" s="4">
        <f>SUM(D41:O41)</f>
        <v/>
      </c>
      <c r="Q41" s="4" t="inlineStr">
        <is>
          <t>-&gt;</t>
        </is>
      </c>
    </row>
    <row r="42" hidden="1" outlineLevel="2" ht="12" customHeight="1">
      <c r="A42" s="9" t="inlineStr">
        <is>
          <t xml:space="preserve">    Uncategorized Expenses</t>
        </is>
      </c>
      <c r="B42" s="10" t="n"/>
      <c r="C42" s="10" t="n"/>
      <c r="D42" s="10">
        <f>SUMIFS('g-expenses-ltd'!$K:$K,'g-expenses-ltd'!$A:$A,D$1,'g-expenses-ltd'!$D:$D,"otros_gastos")</f>
        <v/>
      </c>
      <c r="E42" s="10">
        <f>SUMIFS('g-expenses-ltd'!$K:$K,'g-expenses-ltd'!$A:$A,E$1,'g-expenses-ltd'!$D:$D,"otros_gastos")</f>
        <v/>
      </c>
      <c r="F42" s="10">
        <f>SUMIFS('g-expenses-ltd'!$K:$K,'g-expenses-ltd'!$A:$A,F$1,'g-expenses-ltd'!$D:$D,"otros_gastos")</f>
        <v/>
      </c>
      <c r="G42" s="10">
        <f>SUMIFS('g-expenses-ltd'!$K:$K,'g-expenses-ltd'!$A:$A,G$1,'g-expenses-ltd'!$D:$D,"otros_gastos")</f>
        <v/>
      </c>
      <c r="H42" s="10">
        <f>SUMIFS('g-expenses-ltd'!$K:$K,'g-expenses-ltd'!$A:$A,H$1,'g-expenses-ltd'!$D:$D,"otros_gastos")</f>
        <v/>
      </c>
      <c r="I42" s="10">
        <f>SUMIFS('g-expenses-ltd'!$K:$K,'g-expenses-ltd'!$A:$A,I$1,'g-expenses-ltd'!$D:$D,"otros_gastos")</f>
        <v/>
      </c>
      <c r="J42" s="10">
        <f>SUMIFS('g-expenses-ltd'!$K:$K,'g-expenses-ltd'!$A:$A,J$1,'g-expenses-ltd'!$D:$D,"otros_gastos")</f>
        <v/>
      </c>
      <c r="K42" s="10">
        <f>SUMIFS('g-expenses-ltd'!$K:$K,'g-expenses-ltd'!$A:$A,K$1,'g-expenses-ltd'!$D:$D,"otros_gastos")</f>
        <v/>
      </c>
      <c r="L42" s="10">
        <f>SUMIFS('g-expenses-ltd'!$K:$K,'g-expenses-ltd'!$A:$A,L$1,'g-expenses-ltd'!$D:$D,"otros_gastos")</f>
        <v/>
      </c>
      <c r="M42" s="10">
        <f>SUMIFS('g-expenses-ltd'!$K:$K,'g-expenses-ltd'!$A:$A,M$1,'g-expenses-ltd'!$D:$D,"otros_gastos")</f>
        <v/>
      </c>
      <c r="N42" s="10">
        <f>SUMIFS('g-expenses-ltd'!$K:$K,'g-expenses-ltd'!$A:$A,N$1,'g-expenses-ltd'!$D:$D,"otros_gastos")</f>
        <v/>
      </c>
      <c r="O42" s="10">
        <f>SUMIFS('g-expenses-ltd'!$K:$K,'g-expenses-ltd'!$A:$A,O$1,'g-expenses-ltd'!$D:$D,"otros_gastos")</f>
        <v/>
      </c>
      <c r="P42" s="10">
        <f>SUM(D42:O42)</f>
        <v/>
      </c>
      <c r="Q42" s="10" t="inlineStr">
        <is>
          <t>-&gt;</t>
        </is>
      </c>
    </row>
    <row r="43" hidden="1" outlineLevel="2" ht="12" customHeight="1">
      <c r="A43" s="9" t="inlineStr">
        <is>
          <t xml:space="preserve">  Currency Adjustment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>
        <f>SUM(D43:O43)</f>
        <v/>
      </c>
      <c r="Q43" s="10" t="n"/>
    </row>
    <row r="44" ht="12" customHeight="1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>
        <f>SUM(D44:O44)</f>
        <v/>
      </c>
      <c r="Q44" s="4" t="n"/>
    </row>
    <row r="45" ht="12" customHeight="1">
      <c r="A45" s="15" t="inlineStr">
        <is>
          <t>PROFIT</t>
        </is>
      </c>
      <c r="B45" s="16" t="n"/>
      <c r="C45" s="16" t="n"/>
      <c r="D45" s="16">
        <f>D4-D13-D35-D43</f>
        <v/>
      </c>
      <c r="E45" s="16">
        <f>E4-E13-E35-E43</f>
        <v/>
      </c>
      <c r="F45" s="16">
        <f>F4-F13-F35-F43</f>
        <v/>
      </c>
      <c r="G45" s="16">
        <f>G4-G13-G35-G43</f>
        <v/>
      </c>
      <c r="H45" s="16">
        <f>H4-H13-H35-H43</f>
        <v/>
      </c>
      <c r="I45" s="16">
        <f>I4-I13-I35-I43</f>
        <v/>
      </c>
      <c r="J45" s="16">
        <f>J4-J13-J35-J43</f>
        <v/>
      </c>
      <c r="K45" s="16">
        <f>K4-K13-K35-K43</f>
        <v/>
      </c>
      <c r="L45" s="16">
        <f>L4-L13-L35-L43</f>
        <v/>
      </c>
      <c r="M45" s="16">
        <f>M4-M13-M35-M43</f>
        <v/>
      </c>
      <c r="N45" s="16">
        <f>N4-N13-N35-N43</f>
        <v/>
      </c>
      <c r="O45" s="16">
        <f>O4-O13-O35-O43</f>
        <v/>
      </c>
      <c r="P45" s="16">
        <f>SUM(D45:O45)</f>
        <v/>
      </c>
      <c r="Q45" s="16" t="n"/>
    </row>
    <row r="46" hidden="1" outlineLevel="1" ht="12" customHeight="1">
      <c r="A46" s="3" t="inlineStr">
        <is>
          <t>% profit / product sales</t>
        </is>
      </c>
      <c r="B46" s="13" t="n"/>
      <c r="C46" s="13" t="n"/>
      <c r="D46" s="13">
        <f>IFERROR(D45/D5,0)</f>
        <v/>
      </c>
      <c r="E46" s="13">
        <f>IFERROR(E45/E5,0)</f>
        <v/>
      </c>
      <c r="F46" s="13">
        <f>IFERROR(F45/F5,0)</f>
        <v/>
      </c>
      <c r="G46" s="13">
        <f>IFERROR(G45/G5,0)</f>
        <v/>
      </c>
      <c r="H46" s="13">
        <f>IFERROR(H45/H5,0)</f>
        <v/>
      </c>
      <c r="I46" s="13">
        <f>IFERROR(I45/I5,0)</f>
        <v/>
      </c>
      <c r="J46" s="13">
        <f>IFERROR(J45/J5,0)</f>
        <v/>
      </c>
      <c r="K46" s="13">
        <f>IFERROR(K45/K5,0)</f>
        <v/>
      </c>
      <c r="L46" s="13">
        <f>IFERROR(L45/L5,0)</f>
        <v/>
      </c>
      <c r="M46" s="13">
        <f>IFERROR(M45/M5,0)</f>
        <v/>
      </c>
      <c r="N46" s="13">
        <f>IFERROR(N45/N5,0)</f>
        <v/>
      </c>
      <c r="O46" s="13">
        <f>IFERROR(O45/O5,0)</f>
        <v/>
      </c>
      <c r="P46" s="13">
        <f>IFERROR(P45/P5,0)</f>
        <v/>
      </c>
      <c r="Q46" s="13" t="n"/>
    </row>
    <row r="47"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17" t="inlineStr">
        <is>
          <t>Stock inicial marcos</t>
        </is>
      </c>
      <c r="B48" s="4" t="n"/>
      <c r="C48" s="4" t="n"/>
      <c r="D48" s="4" t="n">
        <v>23091.21</v>
      </c>
      <c r="E48" s="4" t="n">
        <v>21126.09</v>
      </c>
      <c r="F48" s="4" t="n">
        <v>18763.8</v>
      </c>
      <c r="G48" s="4" t="n">
        <v>27638.48</v>
      </c>
      <c r="H48" s="4" t="n">
        <v>25595.01</v>
      </c>
      <c r="I48" s="4" t="n">
        <v>23296.11</v>
      </c>
      <c r="J48" s="4" t="n">
        <v>37841.32</v>
      </c>
      <c r="K48" s="4" t="n"/>
      <c r="L48" s="4" t="n"/>
      <c r="M48" s="4" t="n"/>
      <c r="N48" s="4" t="n"/>
      <c r="O48" s="4" t="n"/>
      <c r="P48" s="4">
        <f>SUM(D48:O48)</f>
        <v/>
      </c>
      <c r="Q48" s="4" t="n"/>
    </row>
    <row r="49">
      <c r="A49" s="17" t="inlineStr">
        <is>
          <t>Stock final marcos</t>
        </is>
      </c>
      <c r="B49" s="4" t="n"/>
      <c r="C49" s="4" t="n"/>
      <c r="D49" s="4" t="n">
        <v>21126.09</v>
      </c>
      <c r="E49" s="4" t="n">
        <v>18763.8</v>
      </c>
      <c r="F49" s="4" t="n">
        <v>27638.48</v>
      </c>
      <c r="G49" s="4" t="n">
        <v>25595.01</v>
      </c>
      <c r="H49" s="4" t="n">
        <v>23296.11</v>
      </c>
      <c r="I49" s="4" t="n">
        <v>37841.32</v>
      </c>
      <c r="J49" s="4" t="n">
        <v>35729.9</v>
      </c>
      <c r="K49" s="4" t="n"/>
      <c r="L49" s="4" t="n"/>
      <c r="M49" s="4" t="n"/>
      <c r="N49" s="4" t="n"/>
      <c r="O49" s="4" t="n"/>
      <c r="P49" s="4">
        <f>SUM(D49:O49)</f>
        <v/>
      </c>
      <c r="Q49" s="4" t="n"/>
    </row>
  </sheetData>
  <mergeCells count="2">
    <mergeCell ref="A3:C3"/>
    <mergeCell ref="A2:C2"/>
  </mergeCells>
  <hyperlinks>
    <hyperlink ref="Q6" location="'i-shopify-ltd'!A1" display="-&gt;"/>
    <hyperlink ref="Q7" location="'i-shopify-ltd'!A1" display="-&gt;"/>
    <hyperlink ref="Q14" location="'g-expenses-ltd'!A1" display="-&gt;"/>
    <hyperlink ref="Q15" location="'g-expenses-ltd'!A1" display="-&gt;"/>
    <hyperlink ref="Q20" location="'g-expenses-ltd'!A1" display="-&gt;"/>
    <hyperlink ref="Q21" location="'g-expenses-ltd'!A1" display="-&gt;"/>
    <hyperlink ref="Q24" location="'g-payment-fees-ltd'!A1" display="-&gt;"/>
    <hyperlink ref="Q25" location="'g-payment-fees-ltd'!A1" display="-&gt;"/>
    <hyperlink ref="Q36" location="'g-expenses-ltd'!A1" display="-&gt;"/>
    <hyperlink ref="Q37" location="'g-expenses-ltd'!A1" display="-&gt;"/>
    <hyperlink ref="Q38" location="'g-expenses-ltd'!A1" display="-&gt;"/>
    <hyperlink ref="Q39" location="'g-expenses-ltd'!A1" display="-&gt;"/>
    <hyperlink ref="Q40" location="'g-expenses-ltd'!A1" display="-&gt;"/>
    <hyperlink ref="Q41" location="'g-expenses-ltd'!A1" display="-&gt;"/>
    <hyperlink ref="Q42" location="'g-expenses-ltd'!A1" display="-&gt;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18" t="inlineStr">
        <is>
          <t>&lt;- Volver a P&amp;G-LTD</t>
        </is>
      </c>
    </row>
    <row r="2" ht="12" customHeight="1">
      <c r="A2" s="19" t="inlineStr">
        <is>
          <t>key</t>
        </is>
      </c>
      <c r="B2" s="19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LTD</t>
        </is>
      </c>
    </row>
    <row r="4" ht="12" customHeight="1">
      <c r="A4" t="inlineStr">
        <is>
          <t>reporting_currency</t>
        </is>
      </c>
      <c r="B4" t="inlineStr">
        <is>
          <t>GBP</t>
        </is>
      </c>
    </row>
    <row r="5" ht="12" customHeight="1">
      <c r="A5" t="inlineStr">
        <is>
          <t>year</t>
        </is>
      </c>
      <c r="B5" t="n">
        <v>2026</v>
      </c>
    </row>
    <row r="6" ht="12" customHeight="1">
      <c r="A6" t="inlineStr">
        <is>
          <t>generated_at_utc</t>
        </is>
      </c>
      <c r="B6" t="inlineStr">
        <is>
          <t>2026-07-31T07:47:59Z</t>
        </is>
      </c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</cols>
  <sheetData>
    <row r="1" ht="12" customHeight="1">
      <c r="A1" s="18" t="inlineStr">
        <is>
          <t>&lt;- Volver a P&amp;G-LTD</t>
        </is>
      </c>
    </row>
    <row r="2" ht="12" customHeight="1">
      <c r="A2" s="19" t="inlineStr">
        <is>
          <t>yyyymm</t>
        </is>
      </c>
      <c r="B2" s="19" t="inlineStr">
        <is>
          <t>entity</t>
        </is>
      </c>
      <c r="C2" s="19" t="inlineStr">
        <is>
          <t>line_item</t>
        </is>
      </c>
      <c r="D2" s="19" t="inlineStr">
        <is>
          <t>detail</t>
        </is>
      </c>
      <c r="E2" s="19" t="inlineStr">
        <is>
          <t>amount_original</t>
        </is>
      </c>
      <c r="F2" s="19" t="inlineStr">
        <is>
          <t>currency_original</t>
        </is>
      </c>
      <c r="G2" s="19" t="inlineStr">
        <is>
          <t>reporting_currency</t>
        </is>
      </c>
      <c r="H2" s="19" t="inlineStr">
        <is>
          <t>fx_rate</t>
        </is>
      </c>
      <c r="I2" s="19" t="inlineStr">
        <is>
          <t>amount_reporting</t>
        </is>
      </c>
      <c r="J2" s="19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LTD</t>
        </is>
      </c>
      <c r="C3" t="inlineStr">
        <is>
          <t>GB</t>
        </is>
      </c>
      <c r="D3" t="inlineStr">
        <is>
          <t>GB</t>
        </is>
      </c>
      <c r="E3" s="4" t="n">
        <v>15834.87</v>
      </c>
      <c r="F3" t="inlineStr">
        <is>
          <t>GBP</t>
        </is>
      </c>
      <c r="G3" t="inlineStr">
        <is>
          <t>GBP</t>
        </is>
      </c>
      <c r="H3" s="20" t="n">
        <v>1</v>
      </c>
      <c r="I3" s="4" t="n">
        <v>15834.87</v>
      </c>
      <c r="J3" t="inlineStr">
        <is>
          <t>finance.ventas_pyg</t>
        </is>
      </c>
    </row>
    <row r="4" ht="12" customHeight="1">
      <c r="A4" t="inlineStr">
        <is>
          <t>202602</t>
        </is>
      </c>
      <c r="B4" t="inlineStr">
        <is>
          <t>LTD</t>
        </is>
      </c>
      <c r="C4" t="inlineStr">
        <is>
          <t>GB</t>
        </is>
      </c>
      <c r="D4" t="inlineStr">
        <is>
          <t>GB</t>
        </is>
      </c>
      <c r="E4" s="4" t="n">
        <v>19429.25</v>
      </c>
      <c r="F4" t="inlineStr">
        <is>
          <t>GBP</t>
        </is>
      </c>
      <c r="G4" t="inlineStr">
        <is>
          <t>GBP</t>
        </is>
      </c>
      <c r="H4" s="20" t="n">
        <v>1</v>
      </c>
      <c r="I4" s="4" t="n">
        <v>19429.25</v>
      </c>
      <c r="J4" t="inlineStr">
        <is>
          <t>finance.ventas_pyg</t>
        </is>
      </c>
    </row>
    <row r="5" ht="12" customHeight="1">
      <c r="A5" t="inlineStr">
        <is>
          <t>202603</t>
        </is>
      </c>
      <c r="B5" t="inlineStr">
        <is>
          <t>LTD</t>
        </is>
      </c>
      <c r="C5" t="inlineStr">
        <is>
          <t>GB</t>
        </is>
      </c>
      <c r="D5" t="inlineStr">
        <is>
          <t>GB</t>
        </is>
      </c>
      <c r="E5" s="4" t="n">
        <v>22434.6</v>
      </c>
      <c r="F5" t="inlineStr">
        <is>
          <t>GBP</t>
        </is>
      </c>
      <c r="G5" t="inlineStr">
        <is>
          <t>GBP</t>
        </is>
      </c>
      <c r="H5" s="20" t="n">
        <v>1</v>
      </c>
      <c r="I5" s="4" t="n">
        <v>22434.6</v>
      </c>
      <c r="J5" t="inlineStr">
        <is>
          <t>finance.ventas_pyg</t>
        </is>
      </c>
    </row>
    <row r="6" ht="12" customHeight="1">
      <c r="A6" t="inlineStr">
        <is>
          <t>202604</t>
        </is>
      </c>
      <c r="B6" t="inlineStr">
        <is>
          <t>LTD</t>
        </is>
      </c>
      <c r="C6" t="inlineStr">
        <is>
          <t>GB</t>
        </is>
      </c>
      <c r="D6" t="inlineStr">
        <is>
          <t>GB</t>
        </is>
      </c>
      <c r="E6" s="4" t="n">
        <v>18428.09</v>
      </c>
      <c r="F6" t="inlineStr">
        <is>
          <t>GBP</t>
        </is>
      </c>
      <c r="G6" t="inlineStr">
        <is>
          <t>GBP</t>
        </is>
      </c>
      <c r="H6" s="20" t="n">
        <v>1</v>
      </c>
      <c r="I6" s="4" t="n">
        <v>18428.09</v>
      </c>
      <c r="J6" t="inlineStr">
        <is>
          <t>finance.ventas_pyg</t>
        </is>
      </c>
    </row>
    <row r="7" ht="12" customHeight="1">
      <c r="A7" t="inlineStr">
        <is>
          <t>202605</t>
        </is>
      </c>
      <c r="B7" t="inlineStr">
        <is>
          <t>LTD</t>
        </is>
      </c>
      <c r="C7" t="inlineStr">
        <is>
          <t>GB</t>
        </is>
      </c>
      <c r="D7" t="inlineStr">
        <is>
          <t>GB</t>
        </is>
      </c>
      <c r="E7" s="4" t="n">
        <v>19722.14</v>
      </c>
      <c r="F7" t="inlineStr">
        <is>
          <t>GBP</t>
        </is>
      </c>
      <c r="G7" t="inlineStr">
        <is>
          <t>GBP</t>
        </is>
      </c>
      <c r="H7" s="20" t="n">
        <v>1</v>
      </c>
      <c r="I7" s="4" t="n">
        <v>19722.14</v>
      </c>
      <c r="J7" t="inlineStr">
        <is>
          <t>finance.ventas_pyg</t>
        </is>
      </c>
    </row>
    <row r="8" ht="12" customHeight="1">
      <c r="A8" t="inlineStr">
        <is>
          <t>202606</t>
        </is>
      </c>
      <c r="B8" t="inlineStr">
        <is>
          <t>LTD</t>
        </is>
      </c>
      <c r="C8" t="inlineStr">
        <is>
          <t>GB</t>
        </is>
      </c>
      <c r="D8" t="inlineStr">
        <is>
          <t>GB</t>
        </is>
      </c>
      <c r="E8" s="4" t="n">
        <v>20311</v>
      </c>
      <c r="F8" t="inlineStr">
        <is>
          <t>GBP</t>
        </is>
      </c>
      <c r="G8" t="inlineStr">
        <is>
          <t>GBP</t>
        </is>
      </c>
      <c r="H8" s="20" t="n">
        <v>1</v>
      </c>
      <c r="I8" s="4" t="n">
        <v>20311</v>
      </c>
      <c r="J8" t="inlineStr">
        <is>
          <t>finance.ventas_pyg</t>
        </is>
      </c>
    </row>
    <row r="9" ht="12" customHeight="1">
      <c r="A9" t="inlineStr">
        <is>
          <t>202607</t>
        </is>
      </c>
      <c r="B9" t="inlineStr">
        <is>
          <t>LTD</t>
        </is>
      </c>
      <c r="C9" t="inlineStr">
        <is>
          <t>GB</t>
        </is>
      </c>
      <c r="D9" t="inlineStr">
        <is>
          <t>GB</t>
        </is>
      </c>
      <c r="E9" s="4" t="n">
        <v>18341.96</v>
      </c>
      <c r="F9" t="inlineStr">
        <is>
          <t>GBP</t>
        </is>
      </c>
      <c r="G9" t="inlineStr">
        <is>
          <t>GBP</t>
        </is>
      </c>
      <c r="H9" s="20" t="n">
        <v>1</v>
      </c>
      <c r="I9" s="4" t="n">
        <v>18341.96</v>
      </c>
      <c r="J9" t="inlineStr">
        <is>
          <t>finance.ventas_pyg</t>
        </is>
      </c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9" customWidth="1" min="8" max="8"/>
    <col width="20" customWidth="1" min="9" max="9"/>
    <col width="14" customWidth="1" min="10" max="10"/>
    <col width="18" customWidth="1" min="11" max="11"/>
    <col width="14" customWidth="1" min="12" max="12"/>
    <col width="16" customWidth="1" min="13" max="13"/>
    <col hidden="1" width="14" customWidth="1" min="14" max="14"/>
  </cols>
  <sheetData>
    <row r="1" ht="12" customHeight="1">
      <c r="A1" s="18" t="inlineStr">
        <is>
          <t>&lt;- Volver a P&amp;G-LTD</t>
        </is>
      </c>
    </row>
    <row r="2" ht="12" customHeight="1">
      <c r="A2" s="19" t="inlineStr">
        <is>
          <t>yyyymm</t>
        </is>
      </c>
      <c r="B2" s="19" t="inlineStr">
        <is>
          <t>entity</t>
        </is>
      </c>
      <c r="C2" s="19" t="inlineStr">
        <is>
          <t>category</t>
        </is>
      </c>
      <c r="D2" s="19" t="inlineStr">
        <is>
          <t>subcategory</t>
        </is>
      </c>
      <c r="E2" s="19" t="inlineStr">
        <is>
          <t>supplier_code</t>
        </is>
      </c>
      <c r="F2" s="19" t="inlineStr">
        <is>
          <t>detail</t>
        </is>
      </c>
      <c r="G2" s="19" t="inlineStr">
        <is>
          <t>amount_original</t>
        </is>
      </c>
      <c r="H2" s="19" t="inlineStr">
        <is>
          <t>currency_original</t>
        </is>
      </c>
      <c r="I2" s="19" t="inlineStr">
        <is>
          <t>reporting_currency</t>
        </is>
      </c>
      <c r="J2" s="19" t="inlineStr">
        <is>
          <t>fx_rate</t>
        </is>
      </c>
      <c r="K2" s="19" t="inlineStr">
        <is>
          <t>amount_reporting</t>
        </is>
      </c>
      <c r="L2" s="19" t="inlineStr">
        <is>
          <t>source</t>
        </is>
      </c>
      <c r="M2" s="19" t="inlineStr">
        <is>
          <t>invoice_number</t>
        </is>
      </c>
      <c r="N2" s="19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LTD</t>
        </is>
      </c>
      <c r="C3" t="inlineStr">
        <is>
          <t>cogs</t>
        </is>
      </c>
      <c r="D3" t="inlineStr">
        <is>
          <t>manufacturing</t>
        </is>
      </c>
      <c r="E3" t="inlineStr">
        <is>
          <t>JONDO</t>
        </is>
      </c>
      <c r="F3" t="inlineStr">
        <is>
          <t>manufacturing</t>
        </is>
      </c>
      <c r="G3" s="4" t="n">
        <v>44.06</v>
      </c>
      <c r="H3" t="inlineStr">
        <is>
          <t>USD</t>
        </is>
      </c>
      <c r="I3" t="inlineStr">
        <is>
          <t>GBP</t>
        </is>
      </c>
      <c r="J3" s="20" t="n">
        <v>0.72673882</v>
      </c>
      <c r="K3" s="4" t="n">
        <v>32.02</v>
      </c>
      <c r="L3" t="inlineStr">
        <is>
          <t>documents</t>
        </is>
      </c>
      <c r="M3" s="21" t="inlineStr">
        <is>
          <t>AS-94763</t>
        </is>
      </c>
      <c r="N3" t="inlineStr">
        <is>
          <t>https://drive.google.com/file/d/1cTgaMj9sTIzsq-u1jiYa5Er28IMK1dZU/view?usp=drivesdk</t>
        </is>
      </c>
    </row>
    <row r="4" ht="12" customHeight="1">
      <c r="A4" t="inlineStr">
        <is>
          <t>202601</t>
        </is>
      </c>
      <c r="B4" t="inlineStr">
        <is>
          <t>LTD</t>
        </is>
      </c>
      <c r="C4" t="inlineStr">
        <is>
          <t>cogs</t>
        </is>
      </c>
      <c r="D4" t="inlineStr">
        <is>
          <t>manufacturing</t>
        </is>
      </c>
      <c r="E4" t="inlineStr">
        <is>
          <t>JONDO</t>
        </is>
      </c>
      <c r="F4" t="inlineStr">
        <is>
          <t>manufacturing</t>
        </is>
      </c>
      <c r="G4" s="4" t="n">
        <v>36.41</v>
      </c>
      <c r="H4" t="inlineStr">
        <is>
          <t>USD</t>
        </is>
      </c>
      <c r="I4" t="inlineStr">
        <is>
          <t>GBP</t>
        </is>
      </c>
      <c r="J4" s="20" t="n">
        <v>0.72673882</v>
      </c>
      <c r="K4" s="4" t="n">
        <v>26.46</v>
      </c>
      <c r="L4" t="inlineStr">
        <is>
          <t>documents</t>
        </is>
      </c>
      <c r="M4" s="21" t="inlineStr">
        <is>
          <t>AS-94832</t>
        </is>
      </c>
      <c r="N4" t="inlineStr">
        <is>
          <t>https://drive.google.com/file/d/1oIxZGoxdpgPeDPb-AglCjV1eQY29eNxQ/view?usp=drivesdk</t>
        </is>
      </c>
    </row>
    <row r="5" ht="12" customHeight="1">
      <c r="A5" t="inlineStr">
        <is>
          <t>202601</t>
        </is>
      </c>
      <c r="B5" t="inlineStr">
        <is>
          <t>LTD</t>
        </is>
      </c>
      <c r="C5" t="inlineStr">
        <is>
          <t>cogs</t>
        </is>
      </c>
      <c r="D5" t="inlineStr">
        <is>
          <t>manufacturing</t>
        </is>
      </c>
      <c r="E5" t="inlineStr">
        <is>
          <t>JONDO</t>
        </is>
      </c>
      <c r="F5" t="inlineStr">
        <is>
          <t>manufacturing</t>
        </is>
      </c>
      <c r="G5" s="4" t="n">
        <v>50.72</v>
      </c>
      <c r="H5" t="inlineStr">
        <is>
          <t>USD</t>
        </is>
      </c>
      <c r="I5" t="inlineStr">
        <is>
          <t>GBP</t>
        </is>
      </c>
      <c r="J5" s="20" t="n">
        <v>0.72673882</v>
      </c>
      <c r="K5" s="4" t="n">
        <v>36.86</v>
      </c>
      <c r="L5" t="inlineStr">
        <is>
          <t>documents</t>
        </is>
      </c>
      <c r="M5" s="21" t="inlineStr">
        <is>
          <t>AS-95021</t>
        </is>
      </c>
      <c r="N5" t="inlineStr">
        <is>
          <t>https://drive.google.com/file/d/1sld1KDeg28NmlMctYu0WHfY-5pVcNNTk/view?usp=drivesdk</t>
        </is>
      </c>
    </row>
    <row r="6" ht="12" customHeight="1">
      <c r="A6" t="inlineStr">
        <is>
          <t>202601</t>
        </is>
      </c>
      <c r="B6" t="inlineStr">
        <is>
          <t>LTD</t>
        </is>
      </c>
      <c r="C6" t="inlineStr">
        <is>
          <t>cogs</t>
        </is>
      </c>
      <c r="D6" t="inlineStr">
        <is>
          <t>manufacturing</t>
        </is>
      </c>
      <c r="E6" t="inlineStr">
        <is>
          <t>JONDO</t>
        </is>
      </c>
      <c r="F6" t="inlineStr">
        <is>
          <t>manufacturing</t>
        </is>
      </c>
      <c r="G6" s="4" t="n">
        <v>93.04000000000001</v>
      </c>
      <c r="H6" t="inlineStr">
        <is>
          <t>USD</t>
        </is>
      </c>
      <c r="I6" t="inlineStr">
        <is>
          <t>GBP</t>
        </is>
      </c>
      <c r="J6" s="20" t="n">
        <v>0.72673882</v>
      </c>
      <c r="K6" s="4" t="n">
        <v>67.62</v>
      </c>
      <c r="L6" t="inlineStr">
        <is>
          <t>documents</t>
        </is>
      </c>
      <c r="M6" s="21" t="inlineStr">
        <is>
          <t>AS-95024</t>
        </is>
      </c>
      <c r="N6" t="inlineStr">
        <is>
          <t>https://drive.google.com/file/d/1L7ZoeAFj0k4DrjcJkiRFm52nrtXOGnjy/view?usp=drivesdk</t>
        </is>
      </c>
    </row>
    <row r="7" ht="12" customHeight="1">
      <c r="A7" t="inlineStr">
        <is>
          <t>202601</t>
        </is>
      </c>
      <c r="B7" t="inlineStr">
        <is>
          <t>LTD</t>
        </is>
      </c>
      <c r="C7" t="inlineStr">
        <is>
          <t>cogs</t>
        </is>
      </c>
      <c r="D7" t="inlineStr">
        <is>
          <t>manufacturing</t>
        </is>
      </c>
      <c r="E7" t="inlineStr">
        <is>
          <t>JONDO</t>
        </is>
      </c>
      <c r="F7" t="inlineStr">
        <is>
          <t>manufacturing</t>
        </is>
      </c>
      <c r="G7" s="4" t="n">
        <v>42.06</v>
      </c>
      <c r="H7" t="inlineStr">
        <is>
          <t>USD</t>
        </is>
      </c>
      <c r="I7" t="inlineStr">
        <is>
          <t>GBP</t>
        </is>
      </c>
      <c r="J7" s="20" t="n">
        <v>0.72673882</v>
      </c>
      <c r="K7" s="4" t="n">
        <v>30.57</v>
      </c>
      <c r="L7" t="inlineStr">
        <is>
          <t>documents</t>
        </is>
      </c>
      <c r="M7" s="21" t="inlineStr">
        <is>
          <t>AS-95158</t>
        </is>
      </c>
      <c r="N7" t="inlineStr">
        <is>
          <t>https://drive.google.com/file/d/13ZHbIuhsN15tZ6BY8ILwdOryQBL8Fjpq/view?usp=drivesdk</t>
        </is>
      </c>
    </row>
    <row r="8" ht="12" customHeight="1">
      <c r="A8" t="inlineStr">
        <is>
          <t>202601</t>
        </is>
      </c>
      <c r="B8" t="inlineStr">
        <is>
          <t>LTD</t>
        </is>
      </c>
      <c r="C8" t="inlineStr">
        <is>
          <t>cogs</t>
        </is>
      </c>
      <c r="D8" t="inlineStr">
        <is>
          <t>manufacturing</t>
        </is>
      </c>
      <c r="E8" t="inlineStr">
        <is>
          <t>JONDO</t>
        </is>
      </c>
      <c r="F8" t="inlineStr">
        <is>
          <t>manufacturing</t>
        </is>
      </c>
      <c r="G8" s="4" t="n">
        <v>143.2</v>
      </c>
      <c r="H8" t="inlineStr">
        <is>
          <t>USD</t>
        </is>
      </c>
      <c r="I8" t="inlineStr">
        <is>
          <t>GBP</t>
        </is>
      </c>
      <c r="J8" s="20" t="n">
        <v>0.72673882</v>
      </c>
      <c r="K8" s="4" t="n">
        <v>104.07</v>
      </c>
      <c r="L8" t="inlineStr">
        <is>
          <t>documents</t>
        </is>
      </c>
      <c r="M8" s="21" t="inlineStr">
        <is>
          <t>AS-95275</t>
        </is>
      </c>
      <c r="N8" t="inlineStr">
        <is>
          <t>https://drive.google.com/file/d/1y_RFAjzt2Mv7iUalA1-JR_xB9KsErUvb/view?usp=drivesdk</t>
        </is>
      </c>
    </row>
    <row r="9" ht="12" customHeight="1">
      <c r="A9" t="inlineStr">
        <is>
          <t>202601</t>
        </is>
      </c>
      <c r="B9" t="inlineStr">
        <is>
          <t>LTD</t>
        </is>
      </c>
      <c r="C9" t="inlineStr">
        <is>
          <t>cogs</t>
        </is>
      </c>
      <c r="D9" t="inlineStr">
        <is>
          <t>manufacturing</t>
        </is>
      </c>
      <c r="E9" t="inlineStr">
        <is>
          <t>JONDO</t>
        </is>
      </c>
      <c r="F9" t="inlineStr">
        <is>
          <t>manufacturing</t>
        </is>
      </c>
      <c r="G9" s="4" t="n">
        <v>15.64</v>
      </c>
      <c r="H9" t="inlineStr">
        <is>
          <t>USD</t>
        </is>
      </c>
      <c r="I9" t="inlineStr">
        <is>
          <t>GBP</t>
        </is>
      </c>
      <c r="J9" s="20" t="n">
        <v>0.72673882</v>
      </c>
      <c r="K9" s="4" t="n">
        <v>11.37</v>
      </c>
      <c r="L9" t="inlineStr">
        <is>
          <t>documents</t>
        </is>
      </c>
      <c r="M9" s="21" t="inlineStr">
        <is>
          <t>AS-95319</t>
        </is>
      </c>
      <c r="N9" t="inlineStr">
        <is>
          <t>https://drive.google.com/file/d/1OyW5YuspPu6miBlQuirvcBZEjyCHCESv/view?usp=drivesdk</t>
        </is>
      </c>
    </row>
    <row r="10" ht="12" customHeight="1">
      <c r="A10" t="inlineStr">
        <is>
          <t>202601</t>
        </is>
      </c>
      <c r="B10" t="inlineStr">
        <is>
          <t>LTD</t>
        </is>
      </c>
      <c r="C10" t="inlineStr">
        <is>
          <t>cogs</t>
        </is>
      </c>
      <c r="D10" t="inlineStr">
        <is>
          <t>manufacturing</t>
        </is>
      </c>
      <c r="E10" t="inlineStr">
        <is>
          <t>JONDO</t>
        </is>
      </c>
      <c r="F10" t="inlineStr">
        <is>
          <t>manufacturing</t>
        </is>
      </c>
      <c r="G10" s="4" t="n">
        <v>24.54</v>
      </c>
      <c r="H10" t="inlineStr">
        <is>
          <t>USD</t>
        </is>
      </c>
      <c r="I10" t="inlineStr">
        <is>
          <t>GBP</t>
        </is>
      </c>
      <c r="J10" s="20" t="n">
        <v>0.72673882</v>
      </c>
      <c r="K10" s="4" t="n">
        <v>17.83</v>
      </c>
      <c r="L10" t="inlineStr">
        <is>
          <t>documents</t>
        </is>
      </c>
      <c r="M10" s="21" t="inlineStr">
        <is>
          <t>AS-95383</t>
        </is>
      </c>
      <c r="N10" t="inlineStr">
        <is>
          <t>https://drive.google.com/file/d/1nMW9vfUjHEeOxPMurVPmI2qivgS-jnF9/view?usp=drivesdk</t>
        </is>
      </c>
    </row>
    <row r="11" ht="12" customHeight="1">
      <c r="A11" t="inlineStr">
        <is>
          <t>202601</t>
        </is>
      </c>
      <c r="B11" t="inlineStr">
        <is>
          <t>LTD</t>
        </is>
      </c>
      <c r="C11" t="inlineStr">
        <is>
          <t>cogs</t>
        </is>
      </c>
      <c r="D11" t="inlineStr">
        <is>
          <t>manufacturing</t>
        </is>
      </c>
      <c r="E11" t="inlineStr">
        <is>
          <t>JONDO</t>
        </is>
      </c>
      <c r="F11" t="inlineStr">
        <is>
          <t>manufacturing</t>
        </is>
      </c>
      <c r="G11" s="4" t="n">
        <v>93.04000000000001</v>
      </c>
      <c r="H11" t="inlineStr">
        <is>
          <t>USD</t>
        </is>
      </c>
      <c r="I11" t="inlineStr">
        <is>
          <t>GBP</t>
        </is>
      </c>
      <c r="J11" s="20" t="n">
        <v>0.72673882</v>
      </c>
      <c r="K11" s="4" t="n">
        <v>67.62</v>
      </c>
      <c r="L11" t="inlineStr">
        <is>
          <t>documents</t>
        </is>
      </c>
      <c r="M11" s="21" t="inlineStr">
        <is>
          <t>AS-95462</t>
        </is>
      </c>
      <c r="N11" t="inlineStr">
        <is>
          <t>https://drive.google.com/file/d/1BWJbTsvyK62cL9QfpBCxTvKjyCpXo3ni/view?usp=drivesdk</t>
        </is>
      </c>
    </row>
    <row r="12" ht="12" customHeight="1">
      <c r="A12" t="inlineStr">
        <is>
          <t>202601</t>
        </is>
      </c>
      <c r="B12" t="inlineStr">
        <is>
          <t>LTD</t>
        </is>
      </c>
      <c r="C12" t="inlineStr">
        <is>
          <t>cogs</t>
        </is>
      </c>
      <c r="D12" t="inlineStr">
        <is>
          <t>manufacturing</t>
        </is>
      </c>
      <c r="E12" t="inlineStr">
        <is>
          <t>JONDO</t>
        </is>
      </c>
      <c r="F12" t="inlineStr">
        <is>
          <t>manufacturing</t>
        </is>
      </c>
      <c r="G12" s="4" t="n">
        <v>93.04000000000001</v>
      </c>
      <c r="H12" t="inlineStr">
        <is>
          <t>USD</t>
        </is>
      </c>
      <c r="I12" t="inlineStr">
        <is>
          <t>GBP</t>
        </is>
      </c>
      <c r="J12" s="20" t="n">
        <v>0.72673882</v>
      </c>
      <c r="K12" s="4" t="n">
        <v>67.62</v>
      </c>
      <c r="L12" t="inlineStr">
        <is>
          <t>documents</t>
        </is>
      </c>
      <c r="M12" s="21" t="inlineStr">
        <is>
          <t>AS-95630</t>
        </is>
      </c>
      <c r="N12" t="inlineStr">
        <is>
          <t>https://drive.google.com/file/d/1T41S4LX4_TpjSsqHL5rijp0du_Xjvz44/view?usp=drivesdk</t>
        </is>
      </c>
    </row>
    <row r="13" ht="12" customHeight="1">
      <c r="A13" t="inlineStr">
        <is>
          <t>202601</t>
        </is>
      </c>
      <c r="B13" t="inlineStr">
        <is>
          <t>LTD</t>
        </is>
      </c>
      <c r="C13" t="inlineStr">
        <is>
          <t>cogs</t>
        </is>
      </c>
      <c r="D13" t="inlineStr">
        <is>
          <t>manufacturing</t>
        </is>
      </c>
      <c r="E13" t="inlineStr">
        <is>
          <t>JONDO</t>
        </is>
      </c>
      <c r="F13" t="inlineStr">
        <is>
          <t>manufacturing</t>
        </is>
      </c>
      <c r="G13" s="4" t="n">
        <v>93.04000000000001</v>
      </c>
      <c r="H13" t="inlineStr">
        <is>
          <t>USD</t>
        </is>
      </c>
      <c r="I13" t="inlineStr">
        <is>
          <t>GBP</t>
        </is>
      </c>
      <c r="J13" s="20" t="n">
        <v>0.72673882</v>
      </c>
      <c r="K13" s="4" t="n">
        <v>67.62</v>
      </c>
      <c r="L13" t="inlineStr">
        <is>
          <t>documents</t>
        </is>
      </c>
      <c r="M13" s="21" t="inlineStr">
        <is>
          <t>AS-95636</t>
        </is>
      </c>
      <c r="N13" t="inlineStr">
        <is>
          <t>https://drive.google.com/file/d/1WLRdlpIyyvWA2inP5kzpvap1dktr4RZP/view?usp=drivesdk</t>
        </is>
      </c>
    </row>
    <row r="14" ht="12" customHeight="1">
      <c r="A14" t="inlineStr">
        <is>
          <t>202601</t>
        </is>
      </c>
      <c r="B14" t="inlineStr">
        <is>
          <t>LTD</t>
        </is>
      </c>
      <c r="C14" t="inlineStr">
        <is>
          <t>cogs</t>
        </is>
      </c>
      <c r="D14" t="inlineStr">
        <is>
          <t>manufacturing</t>
        </is>
      </c>
      <c r="E14" t="inlineStr">
        <is>
          <t>JONDO</t>
        </is>
      </c>
      <c r="F14" t="inlineStr">
        <is>
          <t>manufacturing</t>
        </is>
      </c>
      <c r="G14" s="4" t="n">
        <v>36.41</v>
      </c>
      <c r="H14" t="inlineStr">
        <is>
          <t>USD</t>
        </is>
      </c>
      <c r="I14" t="inlineStr">
        <is>
          <t>GBP</t>
        </is>
      </c>
      <c r="J14" s="20" t="n">
        <v>0.72673882</v>
      </c>
      <c r="K14" s="4" t="n">
        <v>26.46</v>
      </c>
      <c r="L14" t="inlineStr">
        <is>
          <t>documents</t>
        </is>
      </c>
      <c r="M14" s="21" t="inlineStr">
        <is>
          <t>AS-95652</t>
        </is>
      </c>
      <c r="N14" t="inlineStr">
        <is>
          <t>https://drive.google.com/file/d/19Ds70MHlzQPyTQGekHEjO8VNnPwfWSnG/view?usp=drivesdk</t>
        </is>
      </c>
    </row>
    <row r="15" ht="12" customHeight="1">
      <c r="A15" t="inlineStr">
        <is>
          <t>202601</t>
        </is>
      </c>
      <c r="B15" t="inlineStr">
        <is>
          <t>LTD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JONDO</t>
        </is>
      </c>
      <c r="F15" t="inlineStr">
        <is>
          <t>manufacturing</t>
        </is>
      </c>
      <c r="G15" s="4" t="n">
        <v>80.88</v>
      </c>
      <c r="H15" t="inlineStr">
        <is>
          <t>USD</t>
        </is>
      </c>
      <c r="I15" t="inlineStr">
        <is>
          <t>GBP</t>
        </is>
      </c>
      <c r="J15" s="20" t="n">
        <v>0.72673882</v>
      </c>
      <c r="K15" s="4" t="n">
        <v>58.78</v>
      </c>
      <c r="L15" t="inlineStr">
        <is>
          <t>documents</t>
        </is>
      </c>
      <c r="M15" s="21" t="inlineStr">
        <is>
          <t>AS-95716</t>
        </is>
      </c>
      <c r="N15" t="inlineStr">
        <is>
          <t>https://drive.google.com/file/d/1zP_ruzDEMP7tcv3xlc2HRJ1_jje-Utwu/view?usp=drivesdk</t>
        </is>
      </c>
    </row>
    <row r="16" ht="12" customHeight="1">
      <c r="A16" t="inlineStr">
        <is>
          <t>202601</t>
        </is>
      </c>
      <c r="B16" t="inlineStr">
        <is>
          <t>LTD</t>
        </is>
      </c>
      <c r="C16" t="inlineStr">
        <is>
          <t>cogs</t>
        </is>
      </c>
      <c r="D16" t="inlineStr">
        <is>
          <t>manufacturing</t>
        </is>
      </c>
      <c r="E16" t="inlineStr">
        <is>
          <t>JONDO</t>
        </is>
      </c>
      <c r="F16" t="inlineStr">
        <is>
          <t>manufacturing</t>
        </is>
      </c>
      <c r="G16" s="4" t="n">
        <v>182.02</v>
      </c>
      <c r="H16" t="inlineStr">
        <is>
          <t>USD</t>
        </is>
      </c>
      <c r="I16" t="inlineStr">
        <is>
          <t>GBP</t>
        </is>
      </c>
      <c r="J16" s="20" t="n">
        <v>0.72673882</v>
      </c>
      <c r="K16" s="4" t="n">
        <v>132.28</v>
      </c>
      <c r="L16" t="inlineStr">
        <is>
          <t>documents</t>
        </is>
      </c>
      <c r="M16" s="21" t="inlineStr">
        <is>
          <t>AS-95748</t>
        </is>
      </c>
      <c r="N16" t="inlineStr">
        <is>
          <t>https://drive.google.com/file/d/12-OnSt4oL9AJCZeW6Nsk-hZU-jeJ1XNx/view?usp=drivesdk</t>
        </is>
      </c>
    </row>
    <row r="17" ht="12" customHeight="1">
      <c r="A17" t="inlineStr">
        <is>
          <t>202601</t>
        </is>
      </c>
      <c r="B17" t="inlineStr">
        <is>
          <t>LTD</t>
        </is>
      </c>
      <c r="C17" t="inlineStr">
        <is>
          <t>cogs</t>
        </is>
      </c>
      <c r="D17" t="inlineStr">
        <is>
          <t>manufacturing</t>
        </is>
      </c>
      <c r="E17" t="inlineStr">
        <is>
          <t>JONDO</t>
        </is>
      </c>
      <c r="F17" t="inlineStr">
        <is>
          <t>manufacturing</t>
        </is>
      </c>
      <c r="G17" s="4" t="n">
        <v>20.5</v>
      </c>
      <c r="H17" t="inlineStr">
        <is>
          <t>USD</t>
        </is>
      </c>
      <c r="I17" t="inlineStr">
        <is>
          <t>GBP</t>
        </is>
      </c>
      <c r="J17" s="20" t="n">
        <v>0.72673882</v>
      </c>
      <c r="K17" s="4" t="n">
        <v>14.9</v>
      </c>
      <c r="L17" t="inlineStr">
        <is>
          <t>documents</t>
        </is>
      </c>
      <c r="M17" s="21" t="inlineStr">
        <is>
          <t>AS-95763</t>
        </is>
      </c>
      <c r="N17" t="inlineStr">
        <is>
          <t>https://drive.google.com/file/d/1IqI0DS5TubEqbeiwdZWr2KdJ8A_sB7-7/view?usp=drivesdk</t>
        </is>
      </c>
    </row>
    <row r="18" ht="12" customHeight="1">
      <c r="A18" t="inlineStr">
        <is>
          <t>202601</t>
        </is>
      </c>
      <c r="B18" t="inlineStr">
        <is>
          <t>LTD</t>
        </is>
      </c>
      <c r="C18" t="inlineStr">
        <is>
          <t>cogs</t>
        </is>
      </c>
      <c r="D18" t="inlineStr">
        <is>
          <t>manufacturing</t>
        </is>
      </c>
      <c r="E18" t="inlineStr">
        <is>
          <t>JONDO</t>
        </is>
      </c>
      <c r="F18" t="inlineStr">
        <is>
          <t>manufacturing</t>
        </is>
      </c>
      <c r="G18" s="4" t="n">
        <v>15.64</v>
      </c>
      <c r="H18" t="inlineStr">
        <is>
          <t>USD</t>
        </is>
      </c>
      <c r="I18" t="inlineStr">
        <is>
          <t>GBP</t>
        </is>
      </c>
      <c r="J18" s="20" t="n">
        <v>0.72673882</v>
      </c>
      <c r="K18" s="4" t="n">
        <v>11.37</v>
      </c>
      <c r="L18" t="inlineStr">
        <is>
          <t>documents</t>
        </is>
      </c>
      <c r="M18" s="21" t="inlineStr">
        <is>
          <t>AS-95778</t>
        </is>
      </c>
      <c r="N18" t="inlineStr">
        <is>
          <t>https://drive.google.com/file/d/1Wzf_0d27_QQKn09fePaqHmt9lH2L5i1x/view?usp=drivesdk</t>
        </is>
      </c>
    </row>
    <row r="19" ht="12" customHeight="1">
      <c r="A19" t="inlineStr">
        <is>
          <t>202601</t>
        </is>
      </c>
      <c r="B19" t="inlineStr">
        <is>
          <t>LTD</t>
        </is>
      </c>
      <c r="C19" t="inlineStr">
        <is>
          <t>cogs</t>
        </is>
      </c>
      <c r="D19" t="inlineStr">
        <is>
          <t>manufacturing</t>
        </is>
      </c>
      <c r="E19" t="inlineStr">
        <is>
          <t>JONDO</t>
        </is>
      </c>
      <c r="F19" t="inlineStr">
        <is>
          <t>manufacturing</t>
        </is>
      </c>
      <c r="G19" s="4" t="n">
        <v>112.44</v>
      </c>
      <c r="H19" t="inlineStr">
        <is>
          <t>USD</t>
        </is>
      </c>
      <c r="I19" t="inlineStr">
        <is>
          <t>GBP</t>
        </is>
      </c>
      <c r="J19" s="20" t="n">
        <v>0.72673882</v>
      </c>
      <c r="K19" s="4" t="n">
        <v>81.70999999999999</v>
      </c>
      <c r="L19" t="inlineStr">
        <is>
          <t>documents</t>
        </is>
      </c>
      <c r="M19" s="21" t="inlineStr">
        <is>
          <t>AS-96078</t>
        </is>
      </c>
      <c r="N19" t="inlineStr">
        <is>
          <t>https://drive.google.com/file/d/1wDNuMLZrYtqaZCEGfLXcbbpdt71O7et-/view?usp=drivesdk</t>
        </is>
      </c>
    </row>
    <row r="20" ht="12" customHeight="1">
      <c r="A20" t="inlineStr">
        <is>
          <t>202601</t>
        </is>
      </c>
      <c r="B20" t="inlineStr">
        <is>
          <t>LTD</t>
        </is>
      </c>
      <c r="C20" t="inlineStr">
        <is>
          <t>cogs</t>
        </is>
      </c>
      <c r="D20" t="inlineStr">
        <is>
          <t>manufacturing</t>
        </is>
      </c>
      <c r="E20" t="inlineStr">
        <is>
          <t>JONDO</t>
        </is>
      </c>
      <c r="F20" t="inlineStr">
        <is>
          <t>manufacturing</t>
        </is>
      </c>
      <c r="G20" s="4" t="n">
        <v>44.06</v>
      </c>
      <c r="H20" t="inlineStr">
        <is>
          <t>USD</t>
        </is>
      </c>
      <c r="I20" t="inlineStr">
        <is>
          <t>GBP</t>
        </is>
      </c>
      <c r="J20" s="20" t="n">
        <v>0.72673882</v>
      </c>
      <c r="K20" s="4" t="n">
        <v>32.02</v>
      </c>
      <c r="L20" t="inlineStr">
        <is>
          <t>documents</t>
        </is>
      </c>
      <c r="M20" s="21" t="inlineStr">
        <is>
          <t>AS-96170</t>
        </is>
      </c>
      <c r="N20" t="inlineStr">
        <is>
          <t>https://drive.google.com/file/d/1VxTsEAT2Y_7gPT8-KktdLPajUlnpmLVI/view?usp=drivesdk</t>
        </is>
      </c>
    </row>
    <row r="21" ht="12" customHeight="1">
      <c r="A21" t="inlineStr">
        <is>
          <t>202601</t>
        </is>
      </c>
      <c r="B21" t="inlineStr">
        <is>
          <t>LTD</t>
        </is>
      </c>
      <c r="C21" t="inlineStr">
        <is>
          <t>cogs</t>
        </is>
      </c>
      <c r="D21" t="inlineStr">
        <is>
          <t>manufacturing</t>
        </is>
      </c>
      <c r="E21" t="inlineStr">
        <is>
          <t>JONDO</t>
        </is>
      </c>
      <c r="F21" t="inlineStr">
        <is>
          <t>manufacturing</t>
        </is>
      </c>
      <c r="G21" s="4" t="n">
        <v>214.8</v>
      </c>
      <c r="H21" t="inlineStr">
        <is>
          <t>USD</t>
        </is>
      </c>
      <c r="I21" t="inlineStr">
        <is>
          <t>GBP</t>
        </is>
      </c>
      <c r="J21" s="20" t="n">
        <v>0.72673882</v>
      </c>
      <c r="K21" s="4" t="n">
        <v>156.1</v>
      </c>
      <c r="L21" t="inlineStr">
        <is>
          <t>documents</t>
        </is>
      </c>
      <c r="M21" s="21" t="inlineStr">
        <is>
          <t>AS-96234</t>
        </is>
      </c>
      <c r="N21" t="inlineStr">
        <is>
          <t>https://drive.google.com/file/d/1Qw1sA5nEwhoQbOW8ZCah4hdcjIt18Wea/view?usp=drivesdk</t>
        </is>
      </c>
    </row>
    <row r="22" ht="12" customHeight="1">
      <c r="A22" t="inlineStr">
        <is>
          <t>202601</t>
        </is>
      </c>
      <c r="B22" t="inlineStr">
        <is>
          <t>LTD</t>
        </is>
      </c>
      <c r="C22" t="inlineStr">
        <is>
          <t>cogs</t>
        </is>
      </c>
      <c r="D22" t="inlineStr">
        <is>
          <t>manufacturing</t>
        </is>
      </c>
      <c r="E22" t="inlineStr">
        <is>
          <t>JONDO</t>
        </is>
      </c>
      <c r="F22" t="inlineStr">
        <is>
          <t>manufacturing</t>
        </is>
      </c>
      <c r="G22" s="4" t="n">
        <v>44.06</v>
      </c>
      <c r="H22" t="inlineStr">
        <is>
          <t>USD</t>
        </is>
      </c>
      <c r="I22" t="inlineStr">
        <is>
          <t>GBP</t>
        </is>
      </c>
      <c r="J22" s="20" t="n">
        <v>0.72673882</v>
      </c>
      <c r="K22" s="4" t="n">
        <v>32.02</v>
      </c>
      <c r="L22" t="inlineStr">
        <is>
          <t>documents</t>
        </is>
      </c>
      <c r="M22" s="21" t="inlineStr">
        <is>
          <t>AS-96246</t>
        </is>
      </c>
      <c r="N22" t="inlineStr">
        <is>
          <t>https://drive.google.com/file/d/14oYKgtEHlw1B4wAMvq3Cy3zHh9FUAcvd/view?usp=drivesdk</t>
        </is>
      </c>
    </row>
    <row r="23" ht="12" customHeight="1">
      <c r="A23" t="inlineStr">
        <is>
          <t>202601</t>
        </is>
      </c>
      <c r="B23" t="inlineStr">
        <is>
          <t>LTD</t>
        </is>
      </c>
      <c r="C23" t="inlineStr">
        <is>
          <t>cogs</t>
        </is>
      </c>
      <c r="D23" t="inlineStr">
        <is>
          <t>manufacturing</t>
        </is>
      </c>
      <c r="E23" t="inlineStr">
        <is>
          <t>JONDO</t>
        </is>
      </c>
      <c r="F23" t="inlineStr">
        <is>
          <t>manufacturing</t>
        </is>
      </c>
      <c r="G23" s="4" t="n">
        <v>20.5</v>
      </c>
      <c r="H23" t="inlineStr">
        <is>
          <t>USD</t>
        </is>
      </c>
      <c r="I23" t="inlineStr">
        <is>
          <t>GBP</t>
        </is>
      </c>
      <c r="J23" s="20" t="n">
        <v>0.72673882</v>
      </c>
      <c r="K23" s="4" t="n">
        <v>14.9</v>
      </c>
      <c r="L23" t="inlineStr">
        <is>
          <t>documents</t>
        </is>
      </c>
      <c r="M23" s="21" t="inlineStr">
        <is>
          <t>AS-96512</t>
        </is>
      </c>
      <c r="N23" t="inlineStr">
        <is>
          <t>https://drive.google.com/file/d/1tZvG8Qkr285pw0p3UVP_4nrHb55TEnad/view?usp=drivesdk</t>
        </is>
      </c>
    </row>
    <row r="24" ht="12" customHeight="1">
      <c r="A24" t="inlineStr">
        <is>
          <t>202601</t>
        </is>
      </c>
      <c r="B24" t="inlineStr">
        <is>
          <t>LTD</t>
        </is>
      </c>
      <c r="C24" t="inlineStr">
        <is>
          <t>cogs</t>
        </is>
      </c>
      <c r="D24" t="inlineStr">
        <is>
          <t>manufacturing</t>
        </is>
      </c>
      <c r="E24" t="inlineStr">
        <is>
          <t>JONDO</t>
        </is>
      </c>
      <c r="F24" t="inlineStr">
        <is>
          <t>manufacturing</t>
        </is>
      </c>
      <c r="G24" s="4" t="n">
        <v>93.04000000000001</v>
      </c>
      <c r="H24" t="inlineStr">
        <is>
          <t>USD</t>
        </is>
      </c>
      <c r="I24" t="inlineStr">
        <is>
          <t>GBP</t>
        </is>
      </c>
      <c r="J24" s="20" t="n">
        <v>0.72673882</v>
      </c>
      <c r="K24" s="4" t="n">
        <v>67.62</v>
      </c>
      <c r="L24" t="inlineStr">
        <is>
          <t>documents</t>
        </is>
      </c>
      <c r="M24" s="21" t="inlineStr">
        <is>
          <t>AS-96838</t>
        </is>
      </c>
      <c r="N24" t="inlineStr">
        <is>
          <t>https://drive.google.com/file/d/1kSeP0IRoDaS31JgE1VFXPOwX2_JXQjyx/view?usp=drivesdk</t>
        </is>
      </c>
    </row>
    <row r="25" ht="12" customHeight="1">
      <c r="A25" t="inlineStr">
        <is>
          <t>202601</t>
        </is>
      </c>
      <c r="B25" t="inlineStr">
        <is>
          <t>LTD</t>
        </is>
      </c>
      <c r="C25" t="inlineStr">
        <is>
          <t>cogs</t>
        </is>
      </c>
      <c r="D25" t="inlineStr">
        <is>
          <t>manufacturing</t>
        </is>
      </c>
      <c r="E25" t="inlineStr">
        <is>
          <t>JONDO</t>
        </is>
      </c>
      <c r="F25" t="inlineStr">
        <is>
          <t>manufacturing</t>
        </is>
      </c>
      <c r="G25" s="4" t="n">
        <v>84.12</v>
      </c>
      <c r="H25" t="inlineStr">
        <is>
          <t>USD</t>
        </is>
      </c>
      <c r="I25" t="inlineStr">
        <is>
          <t>GBP</t>
        </is>
      </c>
      <c r="J25" s="20" t="n">
        <v>0.72673882</v>
      </c>
      <c r="K25" s="4" t="n">
        <v>61.13</v>
      </c>
      <c r="L25" t="inlineStr">
        <is>
          <t>documents</t>
        </is>
      </c>
      <c r="M25" s="21" t="inlineStr">
        <is>
          <t>AS-97012</t>
        </is>
      </c>
      <c r="N25" t="inlineStr">
        <is>
          <t>https://drive.google.com/file/d/12daSfdaOVWBdy-yTWlaRpApVlxl1Asqq/view?usp=drivesdk</t>
        </is>
      </c>
    </row>
    <row r="26" ht="12" customHeight="1">
      <c r="A26" t="inlineStr">
        <is>
          <t>202601</t>
        </is>
      </c>
      <c r="B26" t="inlineStr">
        <is>
          <t>LTD</t>
        </is>
      </c>
      <c r="C26" t="inlineStr">
        <is>
          <t>cogs</t>
        </is>
      </c>
      <c r="D26" t="inlineStr">
        <is>
          <t>manufacturing</t>
        </is>
      </c>
      <c r="E26" t="inlineStr">
        <is>
          <t>JONDO</t>
        </is>
      </c>
      <c r="F26" t="inlineStr">
        <is>
          <t>manufacturing</t>
        </is>
      </c>
      <c r="G26" s="4" t="n">
        <v>93.04000000000001</v>
      </c>
      <c r="H26" t="inlineStr">
        <is>
          <t>USD</t>
        </is>
      </c>
      <c r="I26" t="inlineStr">
        <is>
          <t>GBP</t>
        </is>
      </c>
      <c r="J26" s="20" t="n">
        <v>0.72673882</v>
      </c>
      <c r="K26" s="4" t="n">
        <v>67.62</v>
      </c>
      <c r="L26" t="inlineStr">
        <is>
          <t>documents</t>
        </is>
      </c>
      <c r="M26" s="21" t="inlineStr">
        <is>
          <t>AS-97038</t>
        </is>
      </c>
      <c r="N26" t="inlineStr">
        <is>
          <t>https://drive.google.com/file/d/1ipbssICwv_CNawuFNAdNkhIngIPBE-su/view?usp=drivesdk</t>
        </is>
      </c>
    </row>
    <row r="27" ht="12" customHeight="1">
      <c r="A27" t="inlineStr">
        <is>
          <t>202601</t>
        </is>
      </c>
      <c r="B27" t="inlineStr">
        <is>
          <t>LTD</t>
        </is>
      </c>
      <c r="C27" t="inlineStr">
        <is>
          <t>cogs</t>
        </is>
      </c>
      <c r="D27" t="inlineStr">
        <is>
          <t>manufacturing</t>
        </is>
      </c>
      <c r="E27" t="inlineStr">
        <is>
          <t>PROCO</t>
        </is>
      </c>
      <c r="F27" t="inlineStr">
        <is>
          <t>manufacturing</t>
        </is>
      </c>
      <c r="G27" s="4" t="n">
        <v>4754.19</v>
      </c>
      <c r="H27" t="inlineStr">
        <is>
          <t>GBP</t>
        </is>
      </c>
      <c r="I27" t="inlineStr">
        <is>
          <t>GBP</t>
        </is>
      </c>
      <c r="J27" s="20" t="n">
        <v>1</v>
      </c>
      <c r="K27" s="4" t="n">
        <v>4754.19</v>
      </c>
      <c r="L27" t="inlineStr">
        <is>
          <t>documents</t>
        </is>
      </c>
      <c r="M27" s="21" t="inlineStr">
        <is>
          <t>6032421</t>
        </is>
      </c>
      <c r="N27" t="inlineStr">
        <is>
          <t>https://drive.google.com/file/d/1WO-DW4XapqiPAW8ic_8DMJZOdSrmj1HB/view?usp=drivesdk</t>
        </is>
      </c>
    </row>
    <row r="28" ht="12" customHeight="1">
      <c r="A28" t="inlineStr">
        <is>
          <t>202601</t>
        </is>
      </c>
      <c r="B28" t="inlineStr">
        <is>
          <t>LTD</t>
        </is>
      </c>
      <c r="C28" t="inlineStr">
        <is>
          <t>cogs</t>
        </is>
      </c>
      <c r="D28" t="inlineStr">
        <is>
          <t>logistics</t>
        </is>
      </c>
      <c r="E28" t="inlineStr">
        <is>
          <t>PROCO</t>
        </is>
      </c>
      <c r="F28" t="inlineStr">
        <is>
          <t>logistics</t>
        </is>
      </c>
      <c r="G28" s="4" t="n">
        <v>1255.05</v>
      </c>
      <c r="H28" t="inlineStr">
        <is>
          <t>GBP</t>
        </is>
      </c>
      <c r="I28" t="inlineStr">
        <is>
          <t>GBP</t>
        </is>
      </c>
      <c r="J28" s="20" t="n">
        <v>1</v>
      </c>
      <c r="K28" s="4" t="n">
        <v>1255.05</v>
      </c>
      <c r="L28" t="inlineStr">
        <is>
          <t>documents</t>
        </is>
      </c>
      <c r="M28" s="21" t="inlineStr">
        <is>
          <t>6032421</t>
        </is>
      </c>
      <c r="N28" t="inlineStr">
        <is>
          <t>https://drive.google.com/file/d/1WO-DW4XapqiPAW8ic_8DMJZOdSrmj1HB/view?usp=drivesdk</t>
        </is>
      </c>
    </row>
    <row r="29" ht="12" customHeight="1">
      <c r="A29" t="inlineStr">
        <is>
          <t>202601</t>
        </is>
      </c>
      <c r="B29" t="inlineStr">
        <is>
          <t>LTD</t>
        </is>
      </c>
      <c r="C29" t="inlineStr">
        <is>
          <t>opex</t>
        </is>
      </c>
      <c r="D29" t="inlineStr">
        <is>
          <t>shared_services</t>
        </is>
      </c>
      <c r="E29" t="inlineStr">
        <is>
          <t>SHAREDSERVICESSL</t>
        </is>
      </c>
      <c r="F29" t="inlineStr">
        <is>
          <t>invoice</t>
        </is>
      </c>
      <c r="G29" s="4" t="n">
        <v>10732.87</v>
      </c>
      <c r="H29" t="inlineStr">
        <is>
          <t>EUR</t>
        </is>
      </c>
      <c r="I29" t="inlineStr">
        <is>
          <t>GBP</t>
        </is>
      </c>
      <c r="J29" s="20" t="n">
        <v>0.8662</v>
      </c>
      <c r="K29" s="4" t="n">
        <v>9296.809999999999</v>
      </c>
      <c r="L29" t="inlineStr">
        <is>
          <t>documents</t>
        </is>
      </c>
      <c r="M29" s="21" t="inlineStr">
        <is>
          <t>2026-0010</t>
        </is>
      </c>
      <c r="N29" t="inlineStr">
        <is>
          <t>https://drive.google.com/file/d/1DVbcrKI34TY_XRmPCWYxFfktOzy1Bqmr/view?usp=drivesdk</t>
        </is>
      </c>
    </row>
    <row r="30" ht="12" customHeight="1">
      <c r="A30" t="inlineStr">
        <is>
          <t>202601</t>
        </is>
      </c>
      <c r="B30" t="inlineStr">
        <is>
          <t>LTD</t>
        </is>
      </c>
      <c r="C30" t="inlineStr">
        <is>
          <t>opex</t>
        </is>
      </c>
      <c r="D30" t="inlineStr">
        <is>
          <t>administration</t>
        </is>
      </c>
      <c r="E30" t="inlineStr">
        <is>
          <t>YOURACCOUNTSTAXES</t>
        </is>
      </c>
      <c r="F30" t="inlineStr">
        <is>
          <t>invoice</t>
        </is>
      </c>
      <c r="G30" s="4" t="n">
        <v>26.5</v>
      </c>
      <c r="H30" t="inlineStr">
        <is>
          <t>GBP</t>
        </is>
      </c>
      <c r="I30" t="inlineStr">
        <is>
          <t>GBP</t>
        </is>
      </c>
      <c r="J30" s="20" t="n">
        <v>1</v>
      </c>
      <c r="K30" s="4" t="n">
        <v>26.5</v>
      </c>
      <c r="L30" t="inlineStr">
        <is>
          <t>documents</t>
        </is>
      </c>
      <c r="M30" s="21" t="inlineStr">
        <is>
          <t>INV-0679_PERIODIFICADA_1_12</t>
        </is>
      </c>
      <c r="N30" t="inlineStr">
        <is>
          <t>https://drive.google.com/file/d/1n3uOf_jbqFYt5zJTiDDfZSbSjOCzEMHL/view?usp=drivesdk</t>
        </is>
      </c>
    </row>
    <row r="31" ht="12" customHeight="1">
      <c r="A31" t="inlineStr">
        <is>
          <t>202601</t>
        </is>
      </c>
      <c r="B31" t="inlineStr">
        <is>
          <t>LTD</t>
        </is>
      </c>
      <c r="C31" t="inlineStr">
        <is>
          <t>opex</t>
        </is>
      </c>
      <c r="D31" t="inlineStr">
        <is>
          <t>administration</t>
        </is>
      </c>
      <c r="E31" t="inlineStr">
        <is>
          <t>YOURACCOUNTSTAXES</t>
        </is>
      </c>
      <c r="F31" t="inlineStr">
        <is>
          <t>invoice</t>
        </is>
      </c>
      <c r="G31" s="4" t="n">
        <v>103.67</v>
      </c>
      <c r="H31" t="inlineStr">
        <is>
          <t>GBP</t>
        </is>
      </c>
      <c r="I31" t="inlineStr">
        <is>
          <t>GBP</t>
        </is>
      </c>
      <c r="J31" s="20" t="n">
        <v>1</v>
      </c>
      <c r="K31" s="4" t="n">
        <v>103.67</v>
      </c>
      <c r="L31" t="inlineStr">
        <is>
          <t>documents</t>
        </is>
      </c>
      <c r="M31" s="21" t="inlineStr">
        <is>
          <t>INV-0682_PERIODIFICADA_1_12</t>
        </is>
      </c>
      <c r="N31" t="inlineStr">
        <is>
          <t>https://drive.google.com/file/d/1CIuzkH_u1gHARcMpknCAJ9pI5qmqqobY/view?usp=drivesdk</t>
        </is>
      </c>
    </row>
    <row r="32" ht="12" customHeight="1">
      <c r="A32" t="inlineStr">
        <is>
          <t>202602</t>
        </is>
      </c>
      <c r="B32" t="inlineStr">
        <is>
          <t>LTD</t>
        </is>
      </c>
      <c r="C32" t="inlineStr">
        <is>
          <t>cogs</t>
        </is>
      </c>
      <c r="D32" t="inlineStr">
        <is>
          <t>manufacturing</t>
        </is>
      </c>
      <c r="E32" t="inlineStr">
        <is>
          <t>JONDO</t>
        </is>
      </c>
      <c r="F32" t="inlineStr">
        <is>
          <t>manufacturing</t>
        </is>
      </c>
      <c r="G32" s="4" t="n">
        <v>15.64</v>
      </c>
      <c r="H32" t="inlineStr">
        <is>
          <t>USD</t>
        </is>
      </c>
      <c r="I32" t="inlineStr">
        <is>
          <t>GBP</t>
        </is>
      </c>
      <c r="J32" s="20" t="n">
        <v>0.74231258</v>
      </c>
      <c r="K32" s="4" t="n">
        <v>11.61</v>
      </c>
      <c r="L32" t="inlineStr">
        <is>
          <t>documents</t>
        </is>
      </c>
      <c r="M32" s="21" t="inlineStr">
        <is>
          <t>AS-97196</t>
        </is>
      </c>
      <c r="N32" t="inlineStr">
        <is>
          <t>https://drive.google.com/file/d/1z2ShmClela43bUW-vTcb2pcrB7Qwu6gE/view?usp=drivesdk</t>
        </is>
      </c>
    </row>
    <row r="33" ht="12" customHeight="1">
      <c r="A33" t="inlineStr">
        <is>
          <t>202602</t>
        </is>
      </c>
      <c r="B33" t="inlineStr">
        <is>
          <t>LTD</t>
        </is>
      </c>
      <c r="C33" t="inlineStr">
        <is>
          <t>cogs</t>
        </is>
      </c>
      <c r="D33" t="inlineStr">
        <is>
          <t>manufacturing</t>
        </is>
      </c>
      <c r="E33" t="inlineStr">
        <is>
          <t>JONDO</t>
        </is>
      </c>
      <c r="F33" t="inlineStr">
        <is>
          <t>manufacturing</t>
        </is>
      </c>
      <c r="G33" s="4" t="n">
        <v>28.4</v>
      </c>
      <c r="H33" t="inlineStr">
        <is>
          <t>USD</t>
        </is>
      </c>
      <c r="I33" t="inlineStr">
        <is>
          <t>GBP</t>
        </is>
      </c>
      <c r="J33" s="20" t="n">
        <v>0.74231258</v>
      </c>
      <c r="K33" s="4" t="n">
        <v>21.08</v>
      </c>
      <c r="L33" t="inlineStr">
        <is>
          <t>documents</t>
        </is>
      </c>
      <c r="M33" s="21" t="inlineStr">
        <is>
          <t>AS-97254</t>
        </is>
      </c>
      <c r="N33" t="inlineStr">
        <is>
          <t>https://drive.google.com/file/d/1-yGn3xRRsCE-8T-jXa2ZANZ3lXnMlnU1/view?usp=drivesdk</t>
        </is>
      </c>
    </row>
    <row r="34" ht="12" customHeight="1">
      <c r="A34" t="inlineStr">
        <is>
          <t>202602</t>
        </is>
      </c>
      <c r="B34" t="inlineStr">
        <is>
          <t>LTD</t>
        </is>
      </c>
      <c r="C34" t="inlineStr">
        <is>
          <t>cogs</t>
        </is>
      </c>
      <c r="D34" t="inlineStr">
        <is>
          <t>manufacturing</t>
        </is>
      </c>
      <c r="E34" t="inlineStr">
        <is>
          <t>JONDO</t>
        </is>
      </c>
      <c r="F34" t="inlineStr">
        <is>
          <t>manufacturing</t>
        </is>
      </c>
      <c r="G34" s="4" t="n">
        <v>36.82</v>
      </c>
      <c r="H34" t="inlineStr">
        <is>
          <t>USD</t>
        </is>
      </c>
      <c r="I34" t="inlineStr">
        <is>
          <t>GBP</t>
        </is>
      </c>
      <c r="J34" s="20" t="n">
        <v>0.74231258</v>
      </c>
      <c r="K34" s="4" t="n">
        <v>27.33</v>
      </c>
      <c r="L34" t="inlineStr">
        <is>
          <t>documents</t>
        </is>
      </c>
      <c r="M34" s="21" t="inlineStr">
        <is>
          <t>AS-97464</t>
        </is>
      </c>
      <c r="N34" t="inlineStr">
        <is>
          <t>https://drive.google.com/file/d/1-NkdlGvZLusGXUX04m43SkJkiaNTkBXH/view?usp=drivesdk</t>
        </is>
      </c>
    </row>
    <row r="35" ht="12" customHeight="1">
      <c r="A35" t="inlineStr">
        <is>
          <t>202602</t>
        </is>
      </c>
      <c r="B35" t="inlineStr">
        <is>
          <t>LTD</t>
        </is>
      </c>
      <c r="C35" t="inlineStr">
        <is>
          <t>cogs</t>
        </is>
      </c>
      <c r="D35" t="inlineStr">
        <is>
          <t>manufacturing</t>
        </is>
      </c>
      <c r="E35" t="inlineStr">
        <is>
          <t>JONDO</t>
        </is>
      </c>
      <c r="F35" t="inlineStr">
        <is>
          <t>manufacturing</t>
        </is>
      </c>
      <c r="G35" s="4" t="n">
        <v>56.8</v>
      </c>
      <c r="H35" t="inlineStr">
        <is>
          <t>USD</t>
        </is>
      </c>
      <c r="I35" t="inlineStr">
        <is>
          <t>GBP</t>
        </is>
      </c>
      <c r="J35" s="20" t="n">
        <v>0.74231258</v>
      </c>
      <c r="K35" s="4" t="n">
        <v>42.16</v>
      </c>
      <c r="L35" t="inlineStr">
        <is>
          <t>documents</t>
        </is>
      </c>
      <c r="M35" s="21" t="inlineStr">
        <is>
          <t>AS-97516</t>
        </is>
      </c>
      <c r="N35" t="inlineStr">
        <is>
          <t>https://drive.google.com/file/d/14Kv6de85keqbrh_ImJOpxC57rdB8Nml-/view?usp=drivesdk</t>
        </is>
      </c>
    </row>
    <row r="36" ht="12" customHeight="1">
      <c r="A36" t="inlineStr">
        <is>
          <t>202602</t>
        </is>
      </c>
      <c r="B36" t="inlineStr">
        <is>
          <t>LTD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JONDO</t>
        </is>
      </c>
      <c r="F36" t="inlineStr">
        <is>
          <t>manufacturing</t>
        </is>
      </c>
      <c r="G36" s="4" t="n">
        <v>36.41</v>
      </c>
      <c r="H36" t="inlineStr">
        <is>
          <t>USD</t>
        </is>
      </c>
      <c r="I36" t="inlineStr">
        <is>
          <t>GBP</t>
        </is>
      </c>
      <c r="J36" s="20" t="n">
        <v>0.74231258</v>
      </c>
      <c r="K36" s="4" t="n">
        <v>27.03</v>
      </c>
      <c r="L36" t="inlineStr">
        <is>
          <t>documents</t>
        </is>
      </c>
      <c r="M36" s="21" t="inlineStr">
        <is>
          <t>AS-97520</t>
        </is>
      </c>
      <c r="N36" t="inlineStr">
        <is>
          <t>https://drive.google.com/file/d/1mwHXLhoynWBHDPYgvA1Qh5oQ_Pj7aqp4/view?usp=drivesdk</t>
        </is>
      </c>
    </row>
    <row r="37" ht="12" customHeight="1">
      <c r="A37" t="inlineStr">
        <is>
          <t>202602</t>
        </is>
      </c>
      <c r="B37" t="inlineStr">
        <is>
          <t>LTD</t>
        </is>
      </c>
      <c r="C37" t="inlineStr">
        <is>
          <t>cogs</t>
        </is>
      </c>
      <c r="D37" t="inlineStr">
        <is>
          <t>manufacturing</t>
        </is>
      </c>
      <c r="E37" t="inlineStr">
        <is>
          <t>JONDO</t>
        </is>
      </c>
      <c r="F37" t="inlineStr">
        <is>
          <t>manufacturing</t>
        </is>
      </c>
      <c r="G37" s="4" t="n">
        <v>56.22</v>
      </c>
      <c r="H37" t="inlineStr">
        <is>
          <t>USD</t>
        </is>
      </c>
      <c r="I37" t="inlineStr">
        <is>
          <t>GBP</t>
        </is>
      </c>
      <c r="J37" s="20" t="n">
        <v>0.74231258</v>
      </c>
      <c r="K37" s="4" t="n">
        <v>41.73</v>
      </c>
      <c r="L37" t="inlineStr">
        <is>
          <t>documents</t>
        </is>
      </c>
      <c r="M37" s="21" t="inlineStr">
        <is>
          <t>AS-97602</t>
        </is>
      </c>
      <c r="N37" t="inlineStr">
        <is>
          <t>https://drive.google.com/file/d/1gR9CgliEJupvg6aabwQrw3bszdfJQUA2/view?usp=drivesdk</t>
        </is>
      </c>
    </row>
    <row r="38" ht="12" customHeight="1">
      <c r="A38" t="inlineStr">
        <is>
          <t>202602</t>
        </is>
      </c>
      <c r="B38" t="inlineStr">
        <is>
          <t>LTD</t>
        </is>
      </c>
      <c r="C38" t="inlineStr">
        <is>
          <t>cogs</t>
        </is>
      </c>
      <c r="D38" t="inlineStr">
        <is>
          <t>manufacturing</t>
        </is>
      </c>
      <c r="E38" t="inlineStr">
        <is>
          <t>JONDO</t>
        </is>
      </c>
      <c r="F38" t="inlineStr">
        <is>
          <t>manufacturing</t>
        </is>
      </c>
      <c r="G38" s="4" t="n">
        <v>182.02</v>
      </c>
      <c r="H38" t="inlineStr">
        <is>
          <t>USD</t>
        </is>
      </c>
      <c r="I38" t="inlineStr">
        <is>
          <t>GBP</t>
        </is>
      </c>
      <c r="J38" s="20" t="n">
        <v>0.74231258</v>
      </c>
      <c r="K38" s="4" t="n">
        <v>135.12</v>
      </c>
      <c r="L38" t="inlineStr">
        <is>
          <t>documents</t>
        </is>
      </c>
      <c r="M38" s="21" t="inlineStr">
        <is>
          <t>AS-98142</t>
        </is>
      </c>
      <c r="N38" t="inlineStr">
        <is>
          <t>https://drive.google.com/file/d/18wgtpL_Ix0DraaeKhnVN5Yc5zMx0gfNt/view?usp=drivesdk</t>
        </is>
      </c>
    </row>
    <row r="39" ht="12" customHeight="1">
      <c r="A39" t="inlineStr">
        <is>
          <t>202602</t>
        </is>
      </c>
      <c r="B39" t="inlineStr">
        <is>
          <t>LTD</t>
        </is>
      </c>
      <c r="C39" t="inlineStr">
        <is>
          <t>cogs</t>
        </is>
      </c>
      <c r="D39" t="inlineStr">
        <is>
          <t>manufacturing</t>
        </is>
      </c>
      <c r="E39" t="inlineStr">
        <is>
          <t>JONDO</t>
        </is>
      </c>
      <c r="F39" t="inlineStr">
        <is>
          <t>manufacturing</t>
        </is>
      </c>
      <c r="G39" s="4" t="n">
        <v>42.06</v>
      </c>
      <c r="H39" t="inlineStr">
        <is>
          <t>USD</t>
        </is>
      </c>
      <c r="I39" t="inlineStr">
        <is>
          <t>GBP</t>
        </is>
      </c>
      <c r="J39" s="20" t="n">
        <v>0.74231258</v>
      </c>
      <c r="K39" s="4" t="n">
        <v>31.22</v>
      </c>
      <c r="L39" t="inlineStr">
        <is>
          <t>documents</t>
        </is>
      </c>
      <c r="M39" s="21" t="inlineStr">
        <is>
          <t>AS-98380</t>
        </is>
      </c>
      <c r="N39" t="inlineStr">
        <is>
          <t>https://drive.google.com/file/d/16WCK7LMlNJ1SA8hTr9sh0RTKdxYuzOOj/view?usp=drivesdk</t>
        </is>
      </c>
    </row>
    <row r="40" ht="12" customHeight="1">
      <c r="A40" t="inlineStr">
        <is>
          <t>202602</t>
        </is>
      </c>
      <c r="B40" t="inlineStr">
        <is>
          <t>LTD</t>
        </is>
      </c>
      <c r="C40" t="inlineStr">
        <is>
          <t>cogs</t>
        </is>
      </c>
      <c r="D40" t="inlineStr">
        <is>
          <t>manufacturing</t>
        </is>
      </c>
      <c r="E40" t="inlineStr">
        <is>
          <t>JONDO</t>
        </is>
      </c>
      <c r="F40" t="inlineStr">
        <is>
          <t>manufacturing</t>
        </is>
      </c>
      <c r="G40" s="4" t="n">
        <v>36.41</v>
      </c>
      <c r="H40" t="inlineStr">
        <is>
          <t>USD</t>
        </is>
      </c>
      <c r="I40" t="inlineStr">
        <is>
          <t>GBP</t>
        </is>
      </c>
      <c r="J40" s="20" t="n">
        <v>0.74231258</v>
      </c>
      <c r="K40" s="4" t="n">
        <v>27.03</v>
      </c>
      <c r="L40" t="inlineStr">
        <is>
          <t>documents</t>
        </is>
      </c>
      <c r="M40" s="21" t="inlineStr">
        <is>
          <t>AS-98382</t>
        </is>
      </c>
      <c r="N40" t="inlineStr">
        <is>
          <t>https://drive.google.com/file/d/1m_hZoeF7mnj1sjA7HqOewotwB0qPKy4D/view?usp=drivesdk</t>
        </is>
      </c>
    </row>
    <row r="41" ht="12" customHeight="1">
      <c r="A41" t="inlineStr">
        <is>
          <t>202602</t>
        </is>
      </c>
      <c r="B41" t="inlineStr">
        <is>
          <t>LTD</t>
        </is>
      </c>
      <c r="C41" t="inlineStr">
        <is>
          <t>cogs</t>
        </is>
      </c>
      <c r="D41" t="inlineStr">
        <is>
          <t>manufacturing</t>
        </is>
      </c>
      <c r="E41" t="inlineStr">
        <is>
          <t>JONDO</t>
        </is>
      </c>
      <c r="F41" t="inlineStr">
        <is>
          <t>manufacturing</t>
        </is>
      </c>
      <c r="G41" s="4" t="n">
        <v>24.54</v>
      </c>
      <c r="H41" t="inlineStr">
        <is>
          <t>USD</t>
        </is>
      </c>
      <c r="I41" t="inlineStr">
        <is>
          <t>GBP</t>
        </is>
      </c>
      <c r="J41" s="20" t="n">
        <v>0.74231258</v>
      </c>
      <c r="K41" s="4" t="n">
        <v>18.22</v>
      </c>
      <c r="L41" t="inlineStr">
        <is>
          <t>documents</t>
        </is>
      </c>
      <c r="M41" s="21" t="inlineStr">
        <is>
          <t>AS-98403</t>
        </is>
      </c>
      <c r="N41" t="inlineStr">
        <is>
          <t>https://drive.google.com/file/d/1lko37nObfSfkjyh3XJSPQ-9HkcajcYM5/view?usp=drivesdk</t>
        </is>
      </c>
    </row>
    <row r="42" ht="12" customHeight="1">
      <c r="A42" t="inlineStr">
        <is>
          <t>202602</t>
        </is>
      </c>
      <c r="B42" t="inlineStr">
        <is>
          <t>LTD</t>
        </is>
      </c>
      <c r="C42" t="inlineStr">
        <is>
          <t>cogs</t>
        </is>
      </c>
      <c r="D42" t="inlineStr">
        <is>
          <t>manufacturing</t>
        </is>
      </c>
      <c r="E42" t="inlineStr">
        <is>
          <t>JONDO</t>
        </is>
      </c>
      <c r="F42" t="inlineStr">
        <is>
          <t>manufacturing</t>
        </is>
      </c>
      <c r="G42" s="4" t="n">
        <v>71.59999999999999</v>
      </c>
      <c r="H42" t="inlineStr">
        <is>
          <t>USD</t>
        </is>
      </c>
      <c r="I42" t="inlineStr">
        <is>
          <t>GBP</t>
        </is>
      </c>
      <c r="J42" s="20" t="n">
        <v>0.74231258</v>
      </c>
      <c r="K42" s="4" t="n">
        <v>53.15</v>
      </c>
      <c r="L42" t="inlineStr">
        <is>
          <t>documents</t>
        </is>
      </c>
      <c r="M42" s="21" t="inlineStr">
        <is>
          <t>AS-98524</t>
        </is>
      </c>
      <c r="N42" t="inlineStr">
        <is>
          <t>https://drive.google.com/file/d/1pQbRirka8GpZOXPr2ddHLAfhOlWi3xvz/view?usp=drivesdk</t>
        </is>
      </c>
    </row>
    <row r="43" ht="12" customHeight="1">
      <c r="A43" t="inlineStr">
        <is>
          <t>202602</t>
        </is>
      </c>
      <c r="B43" t="inlineStr">
        <is>
          <t>LTD</t>
        </is>
      </c>
      <c r="C43" t="inlineStr">
        <is>
          <t>cogs</t>
        </is>
      </c>
      <c r="D43" t="inlineStr">
        <is>
          <t>manufacturing</t>
        </is>
      </c>
      <c r="E43" t="inlineStr">
        <is>
          <t>JONDO</t>
        </is>
      </c>
      <c r="F43" t="inlineStr">
        <is>
          <t>manufacturing</t>
        </is>
      </c>
      <c r="G43" s="4" t="n">
        <v>71.59999999999999</v>
      </c>
      <c r="H43" t="inlineStr">
        <is>
          <t>USD</t>
        </is>
      </c>
      <c r="I43" t="inlineStr">
        <is>
          <t>GBP</t>
        </is>
      </c>
      <c r="J43" s="20" t="n">
        <v>0.74231258</v>
      </c>
      <c r="K43" s="4" t="n">
        <v>53.15</v>
      </c>
      <c r="L43" t="inlineStr">
        <is>
          <t>documents</t>
        </is>
      </c>
      <c r="M43" s="21" t="inlineStr">
        <is>
          <t>AS-98544</t>
        </is>
      </c>
      <c r="N43" t="inlineStr">
        <is>
          <t>https://drive.google.com/file/d/19w6pnXyuBTQjCd8b3o6eKT17hCjMiE-W/view?usp=drivesdk</t>
        </is>
      </c>
    </row>
    <row r="44" ht="12" customHeight="1">
      <c r="A44" t="inlineStr">
        <is>
          <t>202602</t>
        </is>
      </c>
      <c r="B44" t="inlineStr">
        <is>
          <t>LTD</t>
        </is>
      </c>
      <c r="C44" t="inlineStr">
        <is>
          <t>cogs</t>
        </is>
      </c>
      <c r="D44" t="inlineStr">
        <is>
          <t>manufacturing</t>
        </is>
      </c>
      <c r="E44" t="inlineStr">
        <is>
          <t>JONDO</t>
        </is>
      </c>
      <c r="F44" t="inlineStr">
        <is>
          <t>manufacturing</t>
        </is>
      </c>
      <c r="G44" s="4" t="n">
        <v>44.06</v>
      </c>
      <c r="H44" t="inlineStr">
        <is>
          <t>USD</t>
        </is>
      </c>
      <c r="I44" t="inlineStr">
        <is>
          <t>GBP</t>
        </is>
      </c>
      <c r="J44" s="20" t="n">
        <v>0.74231258</v>
      </c>
      <c r="K44" s="4" t="n">
        <v>32.71</v>
      </c>
      <c r="L44" t="inlineStr">
        <is>
          <t>documents</t>
        </is>
      </c>
      <c r="M44" s="21" t="inlineStr">
        <is>
          <t>AS-98563</t>
        </is>
      </c>
      <c r="N44" t="inlineStr">
        <is>
          <t>https://drive.google.com/file/d/119xbszT9MRCL7obqdTeJCKp5GpdneYVY/view?usp=drivesdk</t>
        </is>
      </c>
    </row>
    <row r="45" ht="12" customHeight="1">
      <c r="A45" t="inlineStr">
        <is>
          <t>202602</t>
        </is>
      </c>
      <c r="B45" t="inlineStr">
        <is>
          <t>LTD</t>
        </is>
      </c>
      <c r="C45" t="inlineStr">
        <is>
          <t>cogs</t>
        </is>
      </c>
      <c r="D45" t="inlineStr">
        <is>
          <t>manufacturing</t>
        </is>
      </c>
      <c r="E45" t="inlineStr">
        <is>
          <t>JONDO</t>
        </is>
      </c>
      <c r="F45" t="inlineStr">
        <is>
          <t>manufacturing</t>
        </is>
      </c>
      <c r="G45" s="4" t="n">
        <v>28.4</v>
      </c>
      <c r="H45" t="inlineStr">
        <is>
          <t>USD</t>
        </is>
      </c>
      <c r="I45" t="inlineStr">
        <is>
          <t>GBP</t>
        </is>
      </c>
      <c r="J45" s="20" t="n">
        <v>0.74231258</v>
      </c>
      <c r="K45" s="4" t="n">
        <v>21.08</v>
      </c>
      <c r="L45" t="inlineStr">
        <is>
          <t>documents</t>
        </is>
      </c>
      <c r="M45" s="21" t="inlineStr">
        <is>
          <t>AS-98567</t>
        </is>
      </c>
      <c r="N45" t="inlineStr">
        <is>
          <t>https://drive.google.com/file/d/1MFjQFLyJqvx5yAWAc_AAveY2DzsxSbkO/view?usp=drivesdk</t>
        </is>
      </c>
    </row>
    <row r="46" ht="12" customHeight="1">
      <c r="A46" t="inlineStr">
        <is>
          <t>202602</t>
        </is>
      </c>
      <c r="B46" t="inlineStr">
        <is>
          <t>LTD</t>
        </is>
      </c>
      <c r="C46" t="inlineStr">
        <is>
          <t>cogs</t>
        </is>
      </c>
      <c r="D46" t="inlineStr">
        <is>
          <t>manufacturing</t>
        </is>
      </c>
      <c r="E46" t="inlineStr">
        <is>
          <t>JONDO</t>
        </is>
      </c>
      <c r="F46" t="inlineStr">
        <is>
          <t>manufacturing</t>
        </is>
      </c>
      <c r="G46" s="4" t="n">
        <v>63.91</v>
      </c>
      <c r="H46" t="inlineStr">
        <is>
          <t>USD</t>
        </is>
      </c>
      <c r="I46" t="inlineStr">
        <is>
          <t>GBP</t>
        </is>
      </c>
      <c r="J46" s="20" t="n">
        <v>0.74231258</v>
      </c>
      <c r="K46" s="4" t="n">
        <v>47.44</v>
      </c>
      <c r="L46" t="inlineStr">
        <is>
          <t>documents</t>
        </is>
      </c>
      <c r="M46" s="21" t="inlineStr">
        <is>
          <t>AS-98978</t>
        </is>
      </c>
      <c r="N46" t="inlineStr">
        <is>
          <t>https://drive.google.com/file/d/1EGU0eMrVgdXIV0o0psYd-vesgsKzy8wg/view?usp=drivesdk</t>
        </is>
      </c>
    </row>
    <row r="47" ht="12" customHeight="1">
      <c r="A47" t="inlineStr">
        <is>
          <t>202602</t>
        </is>
      </c>
      <c r="B47" t="inlineStr">
        <is>
          <t>LTD</t>
        </is>
      </c>
      <c r="C47" t="inlineStr">
        <is>
          <t>cogs</t>
        </is>
      </c>
      <c r="D47" t="inlineStr">
        <is>
          <t>manufacturing</t>
        </is>
      </c>
      <c r="E47" t="inlineStr">
        <is>
          <t>JONDO</t>
        </is>
      </c>
      <c r="F47" t="inlineStr">
        <is>
          <t>manufacturing</t>
        </is>
      </c>
      <c r="G47" s="4" t="n">
        <v>36.41</v>
      </c>
      <c r="H47" t="inlineStr">
        <is>
          <t>USD</t>
        </is>
      </c>
      <c r="I47" t="inlineStr">
        <is>
          <t>GBP</t>
        </is>
      </c>
      <c r="J47" s="20" t="n">
        <v>0.74231258</v>
      </c>
      <c r="K47" s="4" t="n">
        <v>27.03</v>
      </c>
      <c r="L47" t="inlineStr">
        <is>
          <t>documents</t>
        </is>
      </c>
      <c r="M47" s="21" t="inlineStr">
        <is>
          <t>AS-99094</t>
        </is>
      </c>
      <c r="N47" t="inlineStr">
        <is>
          <t>https://drive.google.com/file/d/188JrZ8ux_a9_Ip2aOmADCtPKmy7wBQj0/view?usp=drivesdk</t>
        </is>
      </c>
    </row>
    <row r="48" ht="12" customHeight="1">
      <c r="A48" t="inlineStr">
        <is>
          <t>202602</t>
        </is>
      </c>
      <c r="B48" t="inlineStr">
        <is>
          <t>LTD</t>
        </is>
      </c>
      <c r="C48" t="inlineStr">
        <is>
          <t>cogs</t>
        </is>
      </c>
      <c r="D48" t="inlineStr">
        <is>
          <t>manufacturing</t>
        </is>
      </c>
      <c r="E48" t="inlineStr">
        <is>
          <t>JONDO</t>
        </is>
      </c>
      <c r="F48" t="inlineStr">
        <is>
          <t>manufacturing</t>
        </is>
      </c>
      <c r="G48" s="4" t="n">
        <v>44.06</v>
      </c>
      <c r="H48" t="inlineStr">
        <is>
          <t>USD</t>
        </is>
      </c>
      <c r="I48" t="inlineStr">
        <is>
          <t>GBP</t>
        </is>
      </c>
      <c r="J48" s="20" t="n">
        <v>0.74231258</v>
      </c>
      <c r="K48" s="4" t="n">
        <v>32.71</v>
      </c>
      <c r="L48" t="inlineStr">
        <is>
          <t>documents</t>
        </is>
      </c>
      <c r="M48" s="21" t="inlineStr">
        <is>
          <t>AS-99179</t>
        </is>
      </c>
      <c r="N48" t="inlineStr">
        <is>
          <t>https://drive.google.com/file/d/1CYVXlsz1cZylIEE_FnK0-bDsegHXy0lC/view?usp=drivesdk</t>
        </is>
      </c>
    </row>
    <row r="49" ht="12" customHeight="1">
      <c r="A49" t="inlineStr">
        <is>
          <t>202602</t>
        </is>
      </c>
      <c r="B49" t="inlineStr">
        <is>
          <t>LTD</t>
        </is>
      </c>
      <c r="C49" t="inlineStr">
        <is>
          <t>cogs</t>
        </is>
      </c>
      <c r="D49" t="inlineStr">
        <is>
          <t>manufacturing</t>
        </is>
      </c>
      <c r="E49" t="inlineStr">
        <is>
          <t>JONDO</t>
        </is>
      </c>
      <c r="F49" t="inlineStr">
        <is>
          <t>manufacturing</t>
        </is>
      </c>
      <c r="G49" s="4" t="n">
        <v>42.06</v>
      </c>
      <c r="H49" t="inlineStr">
        <is>
          <t>USD</t>
        </is>
      </c>
      <c r="I49" t="inlineStr">
        <is>
          <t>GBP</t>
        </is>
      </c>
      <c r="J49" s="20" t="n">
        <v>0.74231258</v>
      </c>
      <c r="K49" s="4" t="n">
        <v>31.22</v>
      </c>
      <c r="L49" t="inlineStr">
        <is>
          <t>documents</t>
        </is>
      </c>
      <c r="M49" s="21" t="inlineStr">
        <is>
          <t>AS-99349</t>
        </is>
      </c>
      <c r="N49" t="inlineStr">
        <is>
          <t>https://drive.google.com/file/d/1u-NxRqm2pZqxIZ4jxPovnCnRMSBW61bs/view?usp=drivesdk</t>
        </is>
      </c>
    </row>
    <row r="50" ht="12" customHeight="1">
      <c r="A50" t="inlineStr">
        <is>
          <t>202602</t>
        </is>
      </c>
      <c r="B50" t="inlineStr">
        <is>
          <t>LTD</t>
        </is>
      </c>
      <c r="C50" t="inlineStr">
        <is>
          <t>cogs</t>
        </is>
      </c>
      <c r="D50" t="inlineStr">
        <is>
          <t>manufacturing</t>
        </is>
      </c>
      <c r="E50" t="inlineStr">
        <is>
          <t>JONDO</t>
        </is>
      </c>
      <c r="F50" t="inlineStr">
        <is>
          <t>manufacturing</t>
        </is>
      </c>
      <c r="G50" s="4" t="n">
        <v>44.06</v>
      </c>
      <c r="H50" t="inlineStr">
        <is>
          <t>USD</t>
        </is>
      </c>
      <c r="I50" t="inlineStr">
        <is>
          <t>GBP</t>
        </is>
      </c>
      <c r="J50" s="20" t="n">
        <v>0.74231258</v>
      </c>
      <c r="K50" s="4" t="n">
        <v>32.71</v>
      </c>
      <c r="L50" t="inlineStr">
        <is>
          <t>documents</t>
        </is>
      </c>
      <c r="M50" s="21" t="inlineStr">
        <is>
          <t>AS-99356</t>
        </is>
      </c>
      <c r="N50" t="inlineStr">
        <is>
          <t>https://drive.google.com/file/d/1aZO2DUv7EnGbzTuaqe1zcL_0vcIT-IsR/view?usp=drivesdk</t>
        </is>
      </c>
    </row>
    <row r="51" ht="12" customHeight="1">
      <c r="A51" t="inlineStr">
        <is>
          <t>202602</t>
        </is>
      </c>
      <c r="B51" t="inlineStr">
        <is>
          <t>LTD</t>
        </is>
      </c>
      <c r="C51" t="inlineStr">
        <is>
          <t>cogs</t>
        </is>
      </c>
      <c r="D51" t="inlineStr">
        <is>
          <t>manufacturing</t>
        </is>
      </c>
      <c r="E51" t="inlineStr">
        <is>
          <t>JONDO</t>
        </is>
      </c>
      <c r="F51" t="inlineStr">
        <is>
          <t>manufacturing</t>
        </is>
      </c>
      <c r="G51" s="4" t="n">
        <v>36.41</v>
      </c>
      <c r="H51" t="inlineStr">
        <is>
          <t>USD</t>
        </is>
      </c>
      <c r="I51" t="inlineStr">
        <is>
          <t>GBP</t>
        </is>
      </c>
      <c r="J51" s="20" t="n">
        <v>0.74231258</v>
      </c>
      <c r="K51" s="4" t="n">
        <v>27.03</v>
      </c>
      <c r="L51" t="inlineStr">
        <is>
          <t>documents</t>
        </is>
      </c>
      <c r="M51" s="21" t="inlineStr">
        <is>
          <t>AS-99390</t>
        </is>
      </c>
      <c r="N51" t="inlineStr">
        <is>
          <t>https://drive.google.com/file/d/1bb4D0frLw6tv0YR0_K_0bz4GyPMaST00/view?usp=drivesdk</t>
        </is>
      </c>
    </row>
    <row r="52" ht="12" customHeight="1">
      <c r="A52" t="inlineStr">
        <is>
          <t>202602</t>
        </is>
      </c>
      <c r="B52" t="inlineStr">
        <is>
          <t>LTD</t>
        </is>
      </c>
      <c r="C52" t="inlineStr">
        <is>
          <t>cogs</t>
        </is>
      </c>
      <c r="D52" t="inlineStr">
        <is>
          <t>manufacturing</t>
        </is>
      </c>
      <c r="E52" t="inlineStr">
        <is>
          <t>JONDO</t>
        </is>
      </c>
      <c r="F52" t="inlineStr">
        <is>
          <t>manufacturing</t>
        </is>
      </c>
      <c r="G52" s="4" t="n">
        <v>20.5</v>
      </c>
      <c r="H52" t="inlineStr">
        <is>
          <t>USD</t>
        </is>
      </c>
      <c r="I52" t="inlineStr">
        <is>
          <t>GBP</t>
        </is>
      </c>
      <c r="J52" s="20" t="n">
        <v>0.74231258</v>
      </c>
      <c r="K52" s="4" t="n">
        <v>15.22</v>
      </c>
      <c r="L52" t="inlineStr">
        <is>
          <t>documents</t>
        </is>
      </c>
      <c r="M52" s="21" t="inlineStr">
        <is>
          <t>AS-99509</t>
        </is>
      </c>
      <c r="N52" t="inlineStr">
        <is>
          <t>https://drive.google.com/file/d/1A7IKjrdSctavHx5vvWMoTR2X3YvCVcqK/view?usp=drivesdk</t>
        </is>
      </c>
    </row>
    <row r="53" ht="12" customHeight="1">
      <c r="A53" t="inlineStr">
        <is>
          <t>202602</t>
        </is>
      </c>
      <c r="B53" t="inlineStr">
        <is>
          <t>LTD</t>
        </is>
      </c>
      <c r="C53" t="inlineStr">
        <is>
          <t>cogs</t>
        </is>
      </c>
      <c r="D53" t="inlineStr">
        <is>
          <t>manufacturing</t>
        </is>
      </c>
      <c r="E53" t="inlineStr">
        <is>
          <t>JONDO</t>
        </is>
      </c>
      <c r="F53" t="inlineStr">
        <is>
          <t>manufacturing</t>
        </is>
      </c>
      <c r="G53" s="4" t="n">
        <v>112.44</v>
      </c>
      <c r="H53" t="inlineStr">
        <is>
          <t>USD</t>
        </is>
      </c>
      <c r="I53" t="inlineStr">
        <is>
          <t>GBP</t>
        </is>
      </c>
      <c r="J53" s="20" t="n">
        <v>0.74231258</v>
      </c>
      <c r="K53" s="4" t="n">
        <v>83.47</v>
      </c>
      <c r="L53" t="inlineStr">
        <is>
          <t>documents</t>
        </is>
      </c>
      <c r="M53" s="21" t="inlineStr">
        <is>
          <t>AS-99616</t>
        </is>
      </c>
      <c r="N53" t="inlineStr">
        <is>
          <t>https://drive.google.com/file/d/1Fr7EpLc4_w_y7t7ZSWM8qyk01zEjoINy/view?usp=drivesdk</t>
        </is>
      </c>
    </row>
    <row r="54" ht="12" customHeight="1">
      <c r="A54" t="inlineStr">
        <is>
          <t>202602</t>
        </is>
      </c>
      <c r="B54" t="inlineStr">
        <is>
          <t>LTD</t>
        </is>
      </c>
      <c r="C54" t="inlineStr">
        <is>
          <t>cogs</t>
        </is>
      </c>
      <c r="D54" t="inlineStr">
        <is>
          <t>manufacturing</t>
        </is>
      </c>
      <c r="E54" t="inlineStr">
        <is>
          <t>JONDO</t>
        </is>
      </c>
      <c r="F54" t="inlineStr">
        <is>
          <t>manufacturing</t>
        </is>
      </c>
      <c r="G54" s="4" t="n">
        <v>71.59999999999999</v>
      </c>
      <c r="H54" t="inlineStr">
        <is>
          <t>USD</t>
        </is>
      </c>
      <c r="I54" t="inlineStr">
        <is>
          <t>GBP</t>
        </is>
      </c>
      <c r="J54" s="20" t="n">
        <v>0.74231258</v>
      </c>
      <c r="K54" s="4" t="n">
        <v>53.15</v>
      </c>
      <c r="L54" t="inlineStr">
        <is>
          <t>documents</t>
        </is>
      </c>
      <c r="M54" s="21" t="inlineStr">
        <is>
          <t>AS-99632</t>
        </is>
      </c>
      <c r="N54" t="inlineStr">
        <is>
          <t>https://drive.google.com/file/d/1J665leZvteRH41FHARz4EBF_bjAJjDa0/view?usp=drivesdk</t>
        </is>
      </c>
    </row>
    <row r="55" ht="12" customHeight="1">
      <c r="A55" t="inlineStr">
        <is>
          <t>202602</t>
        </is>
      </c>
      <c r="B55" t="inlineStr">
        <is>
          <t>LTD</t>
        </is>
      </c>
      <c r="C55" t="inlineStr">
        <is>
          <t>cogs</t>
        </is>
      </c>
      <c r="D55" t="inlineStr">
        <is>
          <t>manufacturing</t>
        </is>
      </c>
      <c r="E55" t="inlineStr">
        <is>
          <t>JONDO</t>
        </is>
      </c>
      <c r="F55" t="inlineStr">
        <is>
          <t>manufacturing</t>
        </is>
      </c>
      <c r="G55" s="4" t="n">
        <v>93.04000000000001</v>
      </c>
      <c r="H55" t="inlineStr">
        <is>
          <t>USD</t>
        </is>
      </c>
      <c r="I55" t="inlineStr">
        <is>
          <t>GBP</t>
        </is>
      </c>
      <c r="J55" s="20" t="n">
        <v>0.74231258</v>
      </c>
      <c r="K55" s="4" t="n">
        <v>69.06</v>
      </c>
      <c r="L55" t="inlineStr">
        <is>
          <t>documents</t>
        </is>
      </c>
      <c r="M55" s="21" t="inlineStr">
        <is>
          <t>AS-99779</t>
        </is>
      </c>
      <c r="N55" t="inlineStr">
        <is>
          <t>https://drive.google.com/file/d/1FQOlw_0RiHG8QnYV4OF9UIi82z0ERrol/view?usp=drivesdk</t>
        </is>
      </c>
    </row>
    <row r="56" ht="12" customHeight="1">
      <c r="A56" t="inlineStr">
        <is>
          <t>202602</t>
        </is>
      </c>
      <c r="B56" t="inlineStr">
        <is>
          <t>LTD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JONDO</t>
        </is>
      </c>
      <c r="F56" t="inlineStr">
        <is>
          <t>manufacturing</t>
        </is>
      </c>
      <c r="G56" s="4" t="n">
        <v>28.4</v>
      </c>
      <c r="H56" t="inlineStr">
        <is>
          <t>USD</t>
        </is>
      </c>
      <c r="I56" t="inlineStr">
        <is>
          <t>GBP</t>
        </is>
      </c>
      <c r="J56" s="20" t="n">
        <v>0.74231258</v>
      </c>
      <c r="K56" s="4" t="n">
        <v>21.08</v>
      </c>
      <c r="L56" t="inlineStr">
        <is>
          <t>documents</t>
        </is>
      </c>
      <c r="M56" s="21" t="inlineStr">
        <is>
          <t>AS-99780</t>
        </is>
      </c>
      <c r="N56" t="inlineStr">
        <is>
          <t>https://drive.google.com/file/d/1buNB3TxMmADuGJ_Rck7CIzzoNcvTA1jx/view?usp=drivesdk</t>
        </is>
      </c>
    </row>
    <row r="57" ht="12" customHeight="1">
      <c r="A57" t="inlineStr">
        <is>
          <t>202602</t>
        </is>
      </c>
      <c r="B57" t="inlineStr">
        <is>
          <t>LTD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JONDO</t>
        </is>
      </c>
      <c r="F57" t="inlineStr">
        <is>
          <t>manufacturing</t>
        </is>
      </c>
      <c r="G57" s="4" t="n">
        <v>93.04000000000001</v>
      </c>
      <c r="H57" t="inlineStr">
        <is>
          <t>USD</t>
        </is>
      </c>
      <c r="I57" t="inlineStr">
        <is>
          <t>GBP</t>
        </is>
      </c>
      <c r="J57" s="20" t="n">
        <v>0.74231258</v>
      </c>
      <c r="K57" s="4" t="n">
        <v>69.06</v>
      </c>
      <c r="L57" t="inlineStr">
        <is>
          <t>documents</t>
        </is>
      </c>
      <c r="M57" s="21" t="inlineStr">
        <is>
          <t>AS-99822</t>
        </is>
      </c>
      <c r="N57" t="inlineStr">
        <is>
          <t>https://drive.google.com/file/d/13CovCArR8TTPaWcDahlSrtlE8_ddFvC9/view?usp=drivesdk</t>
        </is>
      </c>
    </row>
    <row r="58" ht="12" customHeight="1">
      <c r="A58" t="inlineStr">
        <is>
          <t>202602</t>
        </is>
      </c>
      <c r="B58" t="inlineStr">
        <is>
          <t>LTD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JONDO</t>
        </is>
      </c>
      <c r="F58" t="inlineStr">
        <is>
          <t>manufacturing</t>
        </is>
      </c>
      <c r="G58" s="4" t="n">
        <v>36.41</v>
      </c>
      <c r="H58" t="inlineStr">
        <is>
          <t>USD</t>
        </is>
      </c>
      <c r="I58" t="inlineStr">
        <is>
          <t>GBP</t>
        </is>
      </c>
      <c r="J58" s="20" t="n">
        <v>0.74231258</v>
      </c>
      <c r="K58" s="4" t="n">
        <v>27.03</v>
      </c>
      <c r="L58" t="inlineStr">
        <is>
          <t>documents</t>
        </is>
      </c>
      <c r="M58" s="21" t="inlineStr">
        <is>
          <t>AS-99880</t>
        </is>
      </c>
      <c r="N58" t="inlineStr">
        <is>
          <t>https://drive.google.com/file/d/1dzNdT4yHYiEpXxRJX5SXJetVjDxt8rjH/view?usp=drivesdk</t>
        </is>
      </c>
    </row>
    <row r="59" ht="12" customHeight="1">
      <c r="A59" t="inlineStr">
        <is>
          <t>202602</t>
        </is>
      </c>
      <c r="B59" t="inlineStr">
        <is>
          <t>LTD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JONDO</t>
        </is>
      </c>
      <c r="F59" t="inlineStr">
        <is>
          <t>manufacturing</t>
        </is>
      </c>
      <c r="G59" s="4" t="n">
        <v>42.06</v>
      </c>
      <c r="H59" t="inlineStr">
        <is>
          <t>USD</t>
        </is>
      </c>
      <c r="I59" t="inlineStr">
        <is>
          <t>GBP</t>
        </is>
      </c>
      <c r="J59" s="20" t="n">
        <v>0.74231258</v>
      </c>
      <c r="K59" s="4" t="n">
        <v>31.22</v>
      </c>
      <c r="L59" t="inlineStr">
        <is>
          <t>documents</t>
        </is>
      </c>
      <c r="M59" s="21" t="inlineStr">
        <is>
          <t>AS-99886</t>
        </is>
      </c>
      <c r="N59" t="inlineStr">
        <is>
          <t>https://drive.google.com/file/d/177tCIVVwMHTZIZRxNRTPK0fTuc-di7MS/view?usp=drivesdk</t>
        </is>
      </c>
    </row>
    <row r="60" ht="12" customHeight="1">
      <c r="A60" t="inlineStr">
        <is>
          <t>202602</t>
        </is>
      </c>
      <c r="B60" t="inlineStr">
        <is>
          <t>LTD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JONDO</t>
        </is>
      </c>
      <c r="F60" t="inlineStr">
        <is>
          <t>manufacturing</t>
        </is>
      </c>
      <c r="G60" s="4" t="n">
        <v>71.59999999999999</v>
      </c>
      <c r="H60" t="inlineStr">
        <is>
          <t>USD</t>
        </is>
      </c>
      <c r="I60" t="inlineStr">
        <is>
          <t>GBP</t>
        </is>
      </c>
      <c r="J60" s="20" t="n">
        <v>0.74231258</v>
      </c>
      <c r="K60" s="4" t="n">
        <v>53.15</v>
      </c>
      <c r="L60" t="inlineStr">
        <is>
          <t>documents</t>
        </is>
      </c>
      <c r="M60" s="21" t="inlineStr">
        <is>
          <t>AS-99899</t>
        </is>
      </c>
      <c r="N60" t="inlineStr">
        <is>
          <t>https://drive.google.com/file/d/1vTGjWxyT3P7m_LD9TVvGvT59-h229ubs/view?usp=drivesdk</t>
        </is>
      </c>
    </row>
    <row r="61" ht="12" customHeight="1">
      <c r="A61" t="inlineStr">
        <is>
          <t>202602</t>
        </is>
      </c>
      <c r="B61" t="inlineStr">
        <is>
          <t>LTD</t>
        </is>
      </c>
      <c r="C61" t="inlineStr">
        <is>
          <t>cogs</t>
        </is>
      </c>
      <c r="D61" t="inlineStr">
        <is>
          <t>logistics</t>
        </is>
      </c>
      <c r="E61" t="inlineStr">
        <is>
          <t>PROCO</t>
        </is>
      </c>
      <c r="F61" t="inlineStr">
        <is>
          <t>logistics</t>
        </is>
      </c>
      <c r="G61" s="4" t="n">
        <v>1670.3</v>
      </c>
      <c r="H61" t="inlineStr">
        <is>
          <t>GBP</t>
        </is>
      </c>
      <c r="I61" t="inlineStr">
        <is>
          <t>GBP</t>
        </is>
      </c>
      <c r="J61" s="20" t="n">
        <v>1</v>
      </c>
      <c r="K61" s="4" t="n">
        <v>1670.3</v>
      </c>
      <c r="L61" t="inlineStr">
        <is>
          <t>documents</t>
        </is>
      </c>
      <c r="M61" s="21" t="inlineStr">
        <is>
          <t>6033326</t>
        </is>
      </c>
      <c r="N61" t="inlineStr">
        <is>
          <t>https://drive.google.com/file/d/1rpih0MGtiiho53ABBb6RFSia9ocS5ewI/view?usp=drivesdk</t>
        </is>
      </c>
    </row>
    <row r="62" ht="12" customHeight="1">
      <c r="A62" t="inlineStr">
        <is>
          <t>202602</t>
        </is>
      </c>
      <c r="B62" t="inlineStr">
        <is>
          <t>LTD</t>
        </is>
      </c>
      <c r="C62" t="inlineStr">
        <is>
          <t>cogs</t>
        </is>
      </c>
      <c r="D62" t="inlineStr">
        <is>
          <t>manufacturing</t>
        </is>
      </c>
      <c r="E62" t="inlineStr">
        <is>
          <t>PROCO</t>
        </is>
      </c>
      <c r="F62" t="inlineStr">
        <is>
          <t>manufacturing</t>
        </is>
      </c>
      <c r="G62" s="4" t="n">
        <v>4593.8</v>
      </c>
      <c r="H62" t="inlineStr">
        <is>
          <t>GBP</t>
        </is>
      </c>
      <c r="I62" t="inlineStr">
        <is>
          <t>GBP</t>
        </is>
      </c>
      <c r="J62" s="20" t="n">
        <v>1</v>
      </c>
      <c r="K62" s="4" t="n">
        <v>4593.8</v>
      </c>
      <c r="L62" t="inlineStr">
        <is>
          <t>documents</t>
        </is>
      </c>
      <c r="M62" s="21" t="inlineStr">
        <is>
          <t>6033326</t>
        </is>
      </c>
      <c r="N62" t="inlineStr">
        <is>
          <t>https://drive.google.com/file/d/1rpih0MGtiiho53ABBb6RFSia9ocS5ewI/view?usp=drivesdk</t>
        </is>
      </c>
    </row>
    <row r="63" ht="12" customHeight="1">
      <c r="A63" t="inlineStr">
        <is>
          <t>202602</t>
        </is>
      </c>
      <c r="B63" t="inlineStr">
        <is>
          <t>LTD</t>
        </is>
      </c>
      <c r="C63" t="inlineStr">
        <is>
          <t>opex</t>
        </is>
      </c>
      <c r="D63" t="inlineStr">
        <is>
          <t>shared_services</t>
        </is>
      </c>
      <c r="E63" t="inlineStr">
        <is>
          <t>SHAREDSERVICESSL</t>
        </is>
      </c>
      <c r="F63" t="inlineStr">
        <is>
          <t>invoice</t>
        </is>
      </c>
      <c r="G63" s="4" t="n">
        <v>13068.98</v>
      </c>
      <c r="H63" t="inlineStr">
        <is>
          <t>EUR</t>
        </is>
      </c>
      <c r="I63" t="inlineStr">
        <is>
          <t>GBP</t>
        </is>
      </c>
      <c r="J63" s="20" t="n">
        <v>0.8763</v>
      </c>
      <c r="K63" s="4" t="n">
        <v>11452.35</v>
      </c>
      <c r="L63" t="inlineStr">
        <is>
          <t>documents</t>
        </is>
      </c>
      <c r="M63" s="21" t="inlineStr">
        <is>
          <t>2026-0015</t>
        </is>
      </c>
      <c r="N63" t="inlineStr">
        <is>
          <t>https://drive.google.com/file/d/1pNRISEZAlDdg2kXsh98mNhDndQFk42mV/view?usp=drivesdk</t>
        </is>
      </c>
    </row>
    <row r="64" ht="12" customHeight="1">
      <c r="A64" t="inlineStr">
        <is>
          <t>202602</t>
        </is>
      </c>
      <c r="B64" t="inlineStr">
        <is>
          <t>LTD</t>
        </is>
      </c>
      <c r="C64" t="inlineStr">
        <is>
          <t>opex</t>
        </is>
      </c>
      <c r="D64" t="inlineStr">
        <is>
          <t>administration</t>
        </is>
      </c>
      <c r="E64" t="inlineStr">
        <is>
          <t>YOURACCOUNTSTAXES</t>
        </is>
      </c>
      <c r="F64" t="inlineStr">
        <is>
          <t>invoice</t>
        </is>
      </c>
      <c r="G64" s="4" t="n">
        <v>26.5</v>
      </c>
      <c r="H64" t="inlineStr">
        <is>
          <t>GBP</t>
        </is>
      </c>
      <c r="I64" t="inlineStr">
        <is>
          <t>GBP</t>
        </is>
      </c>
      <c r="J64" s="20" t="n">
        <v>1</v>
      </c>
      <c r="K64" s="4" t="n">
        <v>26.5</v>
      </c>
      <c r="L64" t="inlineStr">
        <is>
          <t>documents</t>
        </is>
      </c>
      <c r="M64" s="21" t="inlineStr">
        <is>
          <t>INV-0679_PERIODIFICADA_2_12</t>
        </is>
      </c>
      <c r="N64" t="inlineStr">
        <is>
          <t>https://drive.google.com/file/d/1nzOKra7y7jGR4FYuKDhpUSUhEqubGgof/view?usp=drivesdk</t>
        </is>
      </c>
    </row>
    <row r="65" ht="12" customHeight="1">
      <c r="A65" t="inlineStr">
        <is>
          <t>202602</t>
        </is>
      </c>
      <c r="B65" t="inlineStr">
        <is>
          <t>LTD</t>
        </is>
      </c>
      <c r="C65" t="inlineStr">
        <is>
          <t>opex</t>
        </is>
      </c>
      <c r="D65" t="inlineStr">
        <is>
          <t>administration</t>
        </is>
      </c>
      <c r="E65" t="inlineStr">
        <is>
          <t>YOURACCOUNTSTAXES</t>
        </is>
      </c>
      <c r="F65" t="inlineStr">
        <is>
          <t>invoice</t>
        </is>
      </c>
      <c r="G65" s="4" t="n">
        <v>55</v>
      </c>
      <c r="H65" t="inlineStr">
        <is>
          <t>GBP</t>
        </is>
      </c>
      <c r="I65" t="inlineStr">
        <is>
          <t>GBP</t>
        </is>
      </c>
      <c r="J65" s="20" t="n">
        <v>1</v>
      </c>
      <c r="K65" s="4" t="n">
        <v>55</v>
      </c>
      <c r="L65" t="inlineStr">
        <is>
          <t>documents</t>
        </is>
      </c>
      <c r="M65" s="21" t="inlineStr">
        <is>
          <t>INV-0681_PERIODIFICADA_1_12</t>
        </is>
      </c>
      <c r="N65" t="inlineStr">
        <is>
          <t>https://drive.google.com/file/d/15tq2MF_O05gx-y3VBFK4eRPCaHDrEmog/view?usp=drivesdk</t>
        </is>
      </c>
    </row>
    <row r="66" ht="12" customHeight="1">
      <c r="A66" t="inlineStr">
        <is>
          <t>202602</t>
        </is>
      </c>
      <c r="B66" t="inlineStr">
        <is>
          <t>LTD</t>
        </is>
      </c>
      <c r="C66" t="inlineStr">
        <is>
          <t>opex</t>
        </is>
      </c>
      <c r="D66" t="inlineStr">
        <is>
          <t>administration</t>
        </is>
      </c>
      <c r="E66" t="inlineStr">
        <is>
          <t>YOURACCOUNTSTAXES</t>
        </is>
      </c>
      <c r="F66" t="inlineStr">
        <is>
          <t>invoice</t>
        </is>
      </c>
      <c r="G66" s="4" t="n">
        <v>103.67</v>
      </c>
      <c r="H66" t="inlineStr">
        <is>
          <t>GBP</t>
        </is>
      </c>
      <c r="I66" t="inlineStr">
        <is>
          <t>GBP</t>
        </is>
      </c>
      <c r="J66" s="20" t="n">
        <v>1</v>
      </c>
      <c r="K66" s="4" t="n">
        <v>103.67</v>
      </c>
      <c r="L66" t="inlineStr">
        <is>
          <t>documents</t>
        </is>
      </c>
      <c r="M66" s="21" t="inlineStr">
        <is>
          <t>INV-0682_PERIODIFICADA_2_12</t>
        </is>
      </c>
      <c r="N66" t="inlineStr">
        <is>
          <t>https://drive.google.com/file/d/14rmjOK-9JvSS6fOl1YvTZ2GbZNnpQ6WO/view?usp=drivesdk</t>
        </is>
      </c>
    </row>
    <row r="67" ht="12" customHeight="1">
      <c r="A67" t="inlineStr">
        <is>
          <t>202603</t>
        </is>
      </c>
      <c r="B67" t="inlineStr">
        <is>
          <t>LTD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JONDO</t>
        </is>
      </c>
      <c r="F67" t="inlineStr">
        <is>
          <t>invoice</t>
        </is>
      </c>
      <c r="G67" s="4" t="n">
        <v>34.08</v>
      </c>
      <c r="H67" t="inlineStr">
        <is>
          <t>USD</t>
        </is>
      </c>
      <c r="I67" t="inlineStr">
        <is>
          <t>GBP</t>
        </is>
      </c>
      <c r="J67" s="20" t="n">
        <v>0.7552009</v>
      </c>
      <c r="K67" s="4" t="n">
        <v>25.74</v>
      </c>
      <c r="L67" t="inlineStr">
        <is>
          <t>documents</t>
        </is>
      </c>
      <c r="M67" s="21" t="inlineStr">
        <is>
          <t>AS-100037</t>
        </is>
      </c>
      <c r="N67" t="inlineStr">
        <is>
          <t>https://drive.google.com/file/d/1BbO_L0AfWA_e4-vcgmAPDKVBywq_z0ek/view?usp=drivesdk</t>
        </is>
      </c>
    </row>
    <row r="68" ht="12" customHeight="1">
      <c r="A68" t="inlineStr">
        <is>
          <t>202603</t>
        </is>
      </c>
      <c r="B68" t="inlineStr">
        <is>
          <t>LTD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JONDO</t>
        </is>
      </c>
      <c r="F68" t="inlineStr">
        <is>
          <t>invoice</t>
        </is>
      </c>
      <c r="G68" s="4" t="n">
        <v>101.54</v>
      </c>
      <c r="H68" t="inlineStr">
        <is>
          <t>USD</t>
        </is>
      </c>
      <c r="I68" t="inlineStr">
        <is>
          <t>GBP</t>
        </is>
      </c>
      <c r="J68" s="20" t="n">
        <v>0.7552009</v>
      </c>
      <c r="K68" s="4" t="n">
        <v>76.68000000000001</v>
      </c>
      <c r="L68" t="inlineStr">
        <is>
          <t>documents</t>
        </is>
      </c>
      <c r="M68" s="21" t="inlineStr">
        <is>
          <t>AS-100054</t>
        </is>
      </c>
      <c r="N68" t="inlineStr">
        <is>
          <t>https://drive.google.com/file/d/165HRmZ2g0WdfskzbrtHzXV6ALXimYaIu/view?usp=drivesdk</t>
        </is>
      </c>
    </row>
    <row r="69" ht="12" customHeight="1">
      <c r="A69" t="inlineStr">
        <is>
          <t>202603</t>
        </is>
      </c>
      <c r="B69" t="inlineStr">
        <is>
          <t>LTD</t>
        </is>
      </c>
      <c r="C69" t="inlineStr">
        <is>
          <t>cogs</t>
        </is>
      </c>
      <c r="D69" t="inlineStr">
        <is>
          <t>manufacturing</t>
        </is>
      </c>
      <c r="E69" t="inlineStr">
        <is>
          <t>JONDO</t>
        </is>
      </c>
      <c r="F69" t="inlineStr">
        <is>
          <t>invoice</t>
        </is>
      </c>
      <c r="G69" s="4" t="n">
        <v>85.92</v>
      </c>
      <c r="H69" t="inlineStr">
        <is>
          <t>USD</t>
        </is>
      </c>
      <c r="I69" t="inlineStr">
        <is>
          <t>GBP</t>
        </is>
      </c>
      <c r="J69" s="20" t="n">
        <v>0.7552009</v>
      </c>
      <c r="K69" s="4" t="n">
        <v>64.89</v>
      </c>
      <c r="L69" t="inlineStr">
        <is>
          <t>documents</t>
        </is>
      </c>
      <c r="M69" s="21" t="inlineStr">
        <is>
          <t>AS-100099</t>
        </is>
      </c>
      <c r="N69" t="inlineStr">
        <is>
          <t>https://drive.google.com/file/d/1Z_5d0QXG3Bn3aTm5JVNpjt8qPQMwGt21/view?usp=drivesdk</t>
        </is>
      </c>
    </row>
    <row r="70" ht="12" customHeight="1">
      <c r="A70" t="inlineStr">
        <is>
          <t>202603</t>
        </is>
      </c>
      <c r="B70" t="inlineStr">
        <is>
          <t>LTD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JONDO</t>
        </is>
      </c>
      <c r="F70" t="inlineStr">
        <is>
          <t>invoice</t>
        </is>
      </c>
      <c r="G70" s="4" t="n">
        <v>43.69</v>
      </c>
      <c r="H70" t="inlineStr">
        <is>
          <t>USD</t>
        </is>
      </c>
      <c r="I70" t="inlineStr">
        <is>
          <t>GBP</t>
        </is>
      </c>
      <c r="J70" s="20" t="n">
        <v>0.7552009</v>
      </c>
      <c r="K70" s="4" t="n">
        <v>32.99</v>
      </c>
      <c r="L70" t="inlineStr">
        <is>
          <t>documents</t>
        </is>
      </c>
      <c r="M70" s="21" t="inlineStr">
        <is>
          <t>AS-100109</t>
        </is>
      </c>
      <c r="N70" t="inlineStr">
        <is>
          <t>https://drive.google.com/file/d/1CHjm3mQctRUQYqbv6zXs3SonHgln2nD3/view?usp=drivesdk</t>
        </is>
      </c>
    </row>
    <row r="71" ht="12" customHeight="1">
      <c r="A71" t="inlineStr">
        <is>
          <t>202603</t>
        </is>
      </c>
      <c r="B71" t="inlineStr">
        <is>
          <t>LTD</t>
        </is>
      </c>
      <c r="C71" t="inlineStr">
        <is>
          <t>cogs</t>
        </is>
      </c>
      <c r="D71" t="inlineStr">
        <is>
          <t>manufacturing</t>
        </is>
      </c>
      <c r="E71" t="inlineStr">
        <is>
          <t>JONDO</t>
        </is>
      </c>
      <c r="F71" t="inlineStr">
        <is>
          <t>invoice</t>
        </is>
      </c>
      <c r="G71" s="4" t="n">
        <v>29.45</v>
      </c>
      <c r="H71" t="inlineStr">
        <is>
          <t>USD</t>
        </is>
      </c>
      <c r="I71" t="inlineStr">
        <is>
          <t>GBP</t>
        </is>
      </c>
      <c r="J71" s="20" t="n">
        <v>0.7552009</v>
      </c>
      <c r="K71" s="4" t="n">
        <v>22.24</v>
      </c>
      <c r="L71" t="inlineStr">
        <is>
          <t>documents</t>
        </is>
      </c>
      <c r="M71" s="21" t="inlineStr">
        <is>
          <t>AS-100157</t>
        </is>
      </c>
      <c r="N71" t="inlineStr">
        <is>
          <t>https://drive.google.com/file/d/1IhZUZEwe2_BBXikCjpL1GKXdK4xEetaE/view?usp=drivesdk</t>
        </is>
      </c>
    </row>
    <row r="72" ht="12" customHeight="1">
      <c r="A72" t="inlineStr">
        <is>
          <t>202603</t>
        </is>
      </c>
      <c r="B72" t="inlineStr">
        <is>
          <t>LTD</t>
        </is>
      </c>
      <c r="C72" t="inlineStr">
        <is>
          <t>cogs</t>
        </is>
      </c>
      <c r="D72" t="inlineStr">
        <is>
          <t>manufacturing</t>
        </is>
      </c>
      <c r="E72" t="inlineStr">
        <is>
          <t>JONDO</t>
        </is>
      </c>
      <c r="F72" t="inlineStr">
        <is>
          <t>invoice</t>
        </is>
      </c>
      <c r="G72" s="4" t="n">
        <v>43.69</v>
      </c>
      <c r="H72" t="inlineStr">
        <is>
          <t>USD</t>
        </is>
      </c>
      <c r="I72" t="inlineStr">
        <is>
          <t>GBP</t>
        </is>
      </c>
      <c r="J72" s="20" t="n">
        <v>0.7552009</v>
      </c>
      <c r="K72" s="4" t="n">
        <v>32.99</v>
      </c>
      <c r="L72" t="inlineStr">
        <is>
          <t>documents</t>
        </is>
      </c>
      <c r="M72" s="21" t="inlineStr">
        <is>
          <t>AS-100239</t>
        </is>
      </c>
      <c r="N72" t="inlineStr">
        <is>
          <t>https://drive.google.com/file/d/1AsgQ8_PjOJrvqTYcsPYEKolunIYlfV4Q/view?usp=drivesdk</t>
        </is>
      </c>
    </row>
    <row r="73" ht="12" customHeight="1">
      <c r="A73" t="inlineStr">
        <is>
          <t>202603</t>
        </is>
      </c>
      <c r="B73" t="inlineStr">
        <is>
          <t>LTD</t>
        </is>
      </c>
      <c r="C73" t="inlineStr">
        <is>
          <t>cogs</t>
        </is>
      </c>
      <c r="D73" t="inlineStr">
        <is>
          <t>manufacturing</t>
        </is>
      </c>
      <c r="E73" t="inlineStr">
        <is>
          <t>JONDO</t>
        </is>
      </c>
      <c r="F73" t="inlineStr">
        <is>
          <t>invoice</t>
        </is>
      </c>
      <c r="G73" s="4" t="n">
        <v>24.6</v>
      </c>
      <c r="H73" t="inlineStr">
        <is>
          <t>USD</t>
        </is>
      </c>
      <c r="I73" t="inlineStr">
        <is>
          <t>GBP</t>
        </is>
      </c>
      <c r="J73" s="20" t="n">
        <v>0.7552009</v>
      </c>
      <c r="K73" s="4" t="n">
        <v>18.58</v>
      </c>
      <c r="L73" t="inlineStr">
        <is>
          <t>documents</t>
        </is>
      </c>
      <c r="M73" s="21" t="inlineStr">
        <is>
          <t>AS-100248</t>
        </is>
      </c>
      <c r="N73" t="inlineStr">
        <is>
          <t>https://drive.google.com/file/d/1hksJO_fnTPFDMp-4j1XZWpegWgO2Ailq/view?usp=drivesdk</t>
        </is>
      </c>
    </row>
    <row r="74" ht="12" customHeight="1">
      <c r="A74" t="inlineStr">
        <is>
          <t>202603</t>
        </is>
      </c>
      <c r="B74" t="inlineStr">
        <is>
          <t>LTD</t>
        </is>
      </c>
      <c r="C74" t="inlineStr">
        <is>
          <t>cogs</t>
        </is>
      </c>
      <c r="D74" t="inlineStr">
        <is>
          <t>manufacturing</t>
        </is>
      </c>
      <c r="E74" t="inlineStr">
        <is>
          <t>JONDO</t>
        </is>
      </c>
      <c r="F74" t="inlineStr">
        <is>
          <t>invoice</t>
        </is>
      </c>
      <c r="G74" s="4" t="n">
        <v>37.54</v>
      </c>
      <c r="H74" t="inlineStr">
        <is>
          <t>USD</t>
        </is>
      </c>
      <c r="I74" t="inlineStr">
        <is>
          <t>GBP</t>
        </is>
      </c>
      <c r="J74" s="20" t="n">
        <v>0.7552009</v>
      </c>
      <c r="K74" s="4" t="n">
        <v>28.35</v>
      </c>
      <c r="L74" t="inlineStr">
        <is>
          <t>documents</t>
        </is>
      </c>
      <c r="M74" s="21" t="inlineStr">
        <is>
          <t>AS-100286</t>
        </is>
      </c>
      <c r="N74" t="inlineStr">
        <is>
          <t>https://drive.google.com/file/d/1NdybY9fRXHw9j82a5s65MgztyJPOsoin/view?usp=drivesdk</t>
        </is>
      </c>
    </row>
    <row r="75" ht="12" customHeight="1">
      <c r="A75" t="inlineStr">
        <is>
          <t>202603</t>
        </is>
      </c>
      <c r="B75" t="inlineStr">
        <is>
          <t>LTD</t>
        </is>
      </c>
      <c r="C75" t="inlineStr">
        <is>
          <t>cogs</t>
        </is>
      </c>
      <c r="D75" t="inlineStr">
        <is>
          <t>manufacturing</t>
        </is>
      </c>
      <c r="E75" t="inlineStr">
        <is>
          <t>JONDO</t>
        </is>
      </c>
      <c r="F75" t="inlineStr">
        <is>
          <t>invoice</t>
        </is>
      </c>
      <c r="G75" s="4" t="n">
        <v>218.42</v>
      </c>
      <c r="H75" t="inlineStr">
        <is>
          <t>USD</t>
        </is>
      </c>
      <c r="I75" t="inlineStr">
        <is>
          <t>GBP</t>
        </is>
      </c>
      <c r="J75" s="20" t="n">
        <v>0.7552009</v>
      </c>
      <c r="K75" s="4" t="n">
        <v>164.95</v>
      </c>
      <c r="L75" t="inlineStr">
        <is>
          <t>documents</t>
        </is>
      </c>
      <c r="M75" s="21" t="inlineStr">
        <is>
          <t>AS-100339</t>
        </is>
      </c>
      <c r="N75" t="inlineStr">
        <is>
          <t>https://drive.google.com/file/d/1TxyFOoXyfr9p89UtdqAEbWxywM7AezVv/view?usp=drivesdk</t>
        </is>
      </c>
    </row>
    <row r="76" ht="12" customHeight="1">
      <c r="A76" t="inlineStr">
        <is>
          <t>202603</t>
        </is>
      </c>
      <c r="B76" t="inlineStr">
        <is>
          <t>LTD</t>
        </is>
      </c>
      <c r="C76" t="inlineStr">
        <is>
          <t>cogs</t>
        </is>
      </c>
      <c r="D76" t="inlineStr">
        <is>
          <t>manufacturing</t>
        </is>
      </c>
      <c r="E76" t="inlineStr">
        <is>
          <t>JONDO</t>
        </is>
      </c>
      <c r="F76" t="inlineStr">
        <is>
          <t>invoice</t>
        </is>
      </c>
      <c r="G76" s="4" t="n">
        <v>223.3</v>
      </c>
      <c r="H76" t="inlineStr">
        <is>
          <t>USD</t>
        </is>
      </c>
      <c r="I76" t="inlineStr">
        <is>
          <t>GBP</t>
        </is>
      </c>
      <c r="J76" s="20" t="n">
        <v>0.7552009</v>
      </c>
      <c r="K76" s="4" t="n">
        <v>168.64</v>
      </c>
      <c r="L76" t="inlineStr">
        <is>
          <t>documents</t>
        </is>
      </c>
      <c r="M76" s="21" t="inlineStr">
        <is>
          <t>AS-100443</t>
        </is>
      </c>
      <c r="N76" t="inlineStr">
        <is>
          <t>https://drive.google.com/file/d/1tbELKs8Gm6ALpTiDWY6M4Ga_pPzHHQLH/view?usp=drivesdk</t>
        </is>
      </c>
    </row>
    <row r="77" ht="12" customHeight="1">
      <c r="A77" t="inlineStr">
        <is>
          <t>202603</t>
        </is>
      </c>
      <c r="B77" t="inlineStr">
        <is>
          <t>LTD</t>
        </is>
      </c>
      <c r="C77" t="inlineStr">
        <is>
          <t>cogs</t>
        </is>
      </c>
      <c r="D77" t="inlineStr">
        <is>
          <t>manufacturing</t>
        </is>
      </c>
      <c r="E77" t="inlineStr">
        <is>
          <t>JONDO</t>
        </is>
      </c>
      <c r="F77" t="inlineStr">
        <is>
          <t>invoice</t>
        </is>
      </c>
      <c r="G77" s="4" t="n">
        <v>18.77</v>
      </c>
      <c r="H77" t="inlineStr">
        <is>
          <t>USD</t>
        </is>
      </c>
      <c r="I77" t="inlineStr">
        <is>
          <t>GBP</t>
        </is>
      </c>
      <c r="J77" s="20" t="n">
        <v>0.7552009</v>
      </c>
      <c r="K77" s="4" t="n">
        <v>14.18</v>
      </c>
      <c r="L77" t="inlineStr">
        <is>
          <t>documents</t>
        </is>
      </c>
      <c r="M77" s="21" t="inlineStr">
        <is>
          <t>AS-100562</t>
        </is>
      </c>
      <c r="N77" t="inlineStr">
        <is>
          <t>https://drive.google.com/file/d/1m6t-40HqBc7x03IlnYO4vz-lkfI1VO3t/view?usp=drivesdk</t>
        </is>
      </c>
    </row>
    <row r="78" ht="12" customHeight="1">
      <c r="A78" t="inlineStr">
        <is>
          <t>202603</t>
        </is>
      </c>
      <c r="B78" t="inlineStr">
        <is>
          <t>LTD</t>
        </is>
      </c>
      <c r="C78" t="inlineStr">
        <is>
          <t>cogs</t>
        </is>
      </c>
      <c r="D78" t="inlineStr">
        <is>
          <t>manufacturing</t>
        </is>
      </c>
      <c r="E78" t="inlineStr">
        <is>
          <t>JONDO</t>
        </is>
      </c>
      <c r="F78" t="inlineStr">
        <is>
          <t>invoice</t>
        </is>
      </c>
      <c r="G78" s="4" t="n">
        <v>67.45999999999999</v>
      </c>
      <c r="H78" t="inlineStr">
        <is>
          <t>USD</t>
        </is>
      </c>
      <c r="I78" t="inlineStr">
        <is>
          <t>GBP</t>
        </is>
      </c>
      <c r="J78" s="20" t="n">
        <v>0.7552009</v>
      </c>
      <c r="K78" s="4" t="n">
        <v>50.95</v>
      </c>
      <c r="L78" t="inlineStr">
        <is>
          <t>documents</t>
        </is>
      </c>
      <c r="M78" s="21" t="inlineStr">
        <is>
          <t>AS-100662</t>
        </is>
      </c>
      <c r="N78" t="inlineStr">
        <is>
          <t>https://drive.google.com/file/d/1velP298axM7FnOlEsW9xXp43RNAtbDk_/view?usp=drivesdk</t>
        </is>
      </c>
    </row>
    <row r="79" ht="12" customHeight="1">
      <c r="A79" t="inlineStr">
        <is>
          <t>202603</t>
        </is>
      </c>
      <c r="B79" t="inlineStr">
        <is>
          <t>LTD</t>
        </is>
      </c>
      <c r="C79" t="inlineStr">
        <is>
          <t>cogs</t>
        </is>
      </c>
      <c r="D79" t="inlineStr">
        <is>
          <t>manufacturing</t>
        </is>
      </c>
      <c r="E79" t="inlineStr">
        <is>
          <t>JONDO</t>
        </is>
      </c>
      <c r="F79" t="inlineStr">
        <is>
          <t>invoice</t>
        </is>
      </c>
      <c r="G79" s="4" t="n">
        <v>202.39</v>
      </c>
      <c r="H79" t="inlineStr">
        <is>
          <t>USD</t>
        </is>
      </c>
      <c r="I79" t="inlineStr">
        <is>
          <t>GBP</t>
        </is>
      </c>
      <c r="J79" s="20" t="n">
        <v>0.7552009</v>
      </c>
      <c r="K79" s="4" t="n">
        <v>152.85</v>
      </c>
      <c r="L79" t="inlineStr">
        <is>
          <t>documents</t>
        </is>
      </c>
      <c r="M79" s="21" t="inlineStr">
        <is>
          <t>AS-100690</t>
        </is>
      </c>
      <c r="N79" t="inlineStr">
        <is>
          <t>https://drive.google.com/file/d/1NkTeSsIU2g7Noh0t4qFauRZ7p4F2FIag/view?usp=drivesdk</t>
        </is>
      </c>
    </row>
    <row r="80" ht="12" customHeight="1">
      <c r="A80" t="inlineStr">
        <is>
          <t>202603</t>
        </is>
      </c>
      <c r="B80" t="inlineStr">
        <is>
          <t>LTD</t>
        </is>
      </c>
      <c r="C80" t="inlineStr">
        <is>
          <t>cogs</t>
        </is>
      </c>
      <c r="D80" t="inlineStr">
        <is>
          <t>manufacturing</t>
        </is>
      </c>
      <c r="E80" t="inlineStr">
        <is>
          <t>JONDO</t>
        </is>
      </c>
      <c r="F80" t="inlineStr">
        <is>
          <t>invoice</t>
        </is>
      </c>
      <c r="G80" s="4" t="n">
        <v>75.06999999999999</v>
      </c>
      <c r="H80" t="inlineStr">
        <is>
          <t>USD</t>
        </is>
      </c>
      <c r="I80" t="inlineStr">
        <is>
          <t>GBP</t>
        </is>
      </c>
      <c r="J80" s="20" t="n">
        <v>0.7552009</v>
      </c>
      <c r="K80" s="4" t="n">
        <v>56.69</v>
      </c>
      <c r="L80" t="inlineStr">
        <is>
          <t>documents</t>
        </is>
      </c>
      <c r="M80" s="21" t="inlineStr">
        <is>
          <t>AS-100702</t>
        </is>
      </c>
      <c r="N80" t="inlineStr">
        <is>
          <t>https://drive.google.com/file/d/1cyz-3ccDZAAUV3hMKT7TsExQQ2SYAq82/view?usp=drivesdk</t>
        </is>
      </c>
    </row>
    <row r="81" ht="12" customHeight="1">
      <c r="A81" t="inlineStr">
        <is>
          <t>202603</t>
        </is>
      </c>
      <c r="B81" t="inlineStr">
        <is>
          <t>LTD</t>
        </is>
      </c>
      <c r="C81" t="inlineStr">
        <is>
          <t>cogs</t>
        </is>
      </c>
      <c r="D81" t="inlineStr">
        <is>
          <t>manufacturing</t>
        </is>
      </c>
      <c r="E81" t="inlineStr">
        <is>
          <t>JONDO</t>
        </is>
      </c>
      <c r="F81" t="inlineStr">
        <is>
          <t>invoice</t>
        </is>
      </c>
      <c r="G81" s="4" t="n">
        <v>111.65</v>
      </c>
      <c r="H81" t="inlineStr">
        <is>
          <t>USD</t>
        </is>
      </c>
      <c r="I81" t="inlineStr">
        <is>
          <t>GBP</t>
        </is>
      </c>
      <c r="J81" s="20" t="n">
        <v>0.7552009</v>
      </c>
      <c r="K81" s="4" t="n">
        <v>84.31999999999999</v>
      </c>
      <c r="L81" t="inlineStr">
        <is>
          <t>documents</t>
        </is>
      </c>
      <c r="M81" s="21" t="inlineStr">
        <is>
          <t>AS-100782</t>
        </is>
      </c>
      <c r="N81" t="inlineStr">
        <is>
          <t>https://drive.google.com/file/d/1ho42EUM8JZxXS_YGQoS1k4VYDfMnTjL7/view?usp=drivesdk</t>
        </is>
      </c>
    </row>
    <row r="82" ht="12" customHeight="1">
      <c r="A82" t="inlineStr">
        <is>
          <t>202603</t>
        </is>
      </c>
      <c r="B82" t="inlineStr">
        <is>
          <t>LTD</t>
        </is>
      </c>
      <c r="C82" t="inlineStr">
        <is>
          <t>cogs</t>
        </is>
      </c>
      <c r="D82" t="inlineStr">
        <is>
          <t>manufacturing</t>
        </is>
      </c>
      <c r="E82" t="inlineStr">
        <is>
          <t>JONDO</t>
        </is>
      </c>
      <c r="F82" t="inlineStr">
        <is>
          <t>invoice</t>
        </is>
      </c>
      <c r="G82" s="4" t="n">
        <v>24.6</v>
      </c>
      <c r="H82" t="inlineStr">
        <is>
          <t>USD</t>
        </is>
      </c>
      <c r="I82" t="inlineStr">
        <is>
          <t>GBP</t>
        </is>
      </c>
      <c r="J82" s="20" t="n">
        <v>0.7552009</v>
      </c>
      <c r="K82" s="4" t="n">
        <v>18.58</v>
      </c>
      <c r="L82" t="inlineStr">
        <is>
          <t>documents</t>
        </is>
      </c>
      <c r="M82" s="21" t="inlineStr">
        <is>
          <t>AS-100814</t>
        </is>
      </c>
      <c r="N82" t="inlineStr">
        <is>
          <t>https://drive.google.com/file/d/1UK5ImvPI8zfDKueQkYKgn7dgmMdVOoQU/view?usp=drivesdk</t>
        </is>
      </c>
    </row>
    <row r="83" ht="12" customHeight="1">
      <c r="A83" t="inlineStr">
        <is>
          <t>202603</t>
        </is>
      </c>
      <c r="B83" t="inlineStr">
        <is>
          <t>LTD</t>
        </is>
      </c>
      <c r="C83" t="inlineStr">
        <is>
          <t>cogs</t>
        </is>
      </c>
      <c r="D83" t="inlineStr">
        <is>
          <t>manufacturing</t>
        </is>
      </c>
      <c r="E83" t="inlineStr">
        <is>
          <t>JONDO</t>
        </is>
      </c>
      <c r="F83" t="inlineStr">
        <is>
          <t>invoice</t>
        </is>
      </c>
      <c r="G83" s="4" t="n">
        <v>24.6</v>
      </c>
      <c r="H83" t="inlineStr">
        <is>
          <t>USD</t>
        </is>
      </c>
      <c r="I83" t="inlineStr">
        <is>
          <t>GBP</t>
        </is>
      </c>
      <c r="J83" s="20" t="n">
        <v>0.7552009</v>
      </c>
      <c r="K83" s="4" t="n">
        <v>18.58</v>
      </c>
      <c r="L83" t="inlineStr">
        <is>
          <t>documents</t>
        </is>
      </c>
      <c r="M83" s="21" t="inlineStr">
        <is>
          <t>AS-100856</t>
        </is>
      </c>
      <c r="N83" t="inlineStr">
        <is>
          <t>https://drive.google.com/file/d/14Gm4WH1frLdk8P62dC1mVPD_BGIVWZ27/view?usp=drivesdk</t>
        </is>
      </c>
    </row>
    <row r="84" ht="12" customHeight="1">
      <c r="A84" t="inlineStr">
        <is>
          <t>202603</t>
        </is>
      </c>
      <c r="B84" t="inlineStr">
        <is>
          <t>LTD</t>
        </is>
      </c>
      <c r="C84" t="inlineStr">
        <is>
          <t>cogs</t>
        </is>
      </c>
      <c r="D84" t="inlineStr">
        <is>
          <t>manufacturing</t>
        </is>
      </c>
      <c r="E84" t="inlineStr">
        <is>
          <t>JONDO</t>
        </is>
      </c>
      <c r="F84" t="inlineStr">
        <is>
          <t>invoice</t>
        </is>
      </c>
      <c r="G84" s="4" t="n">
        <v>145.73</v>
      </c>
      <c r="H84" t="inlineStr">
        <is>
          <t>USD</t>
        </is>
      </c>
      <c r="I84" t="inlineStr">
        <is>
          <t>GBP</t>
        </is>
      </c>
      <c r="J84" s="20" t="n">
        <v>0.7552009</v>
      </c>
      <c r="K84" s="4" t="n">
        <v>110.06</v>
      </c>
      <c r="L84" t="inlineStr">
        <is>
          <t>documents</t>
        </is>
      </c>
      <c r="M84" s="21" t="inlineStr">
        <is>
          <t>AS-100911</t>
        </is>
      </c>
      <c r="N84" t="inlineStr">
        <is>
          <t>https://drive.google.com/file/d/11IWevgkm4WNzACo87cKk44YcMUSTk_1p/view?usp=drivesdk</t>
        </is>
      </c>
    </row>
    <row r="85" ht="12" customHeight="1">
      <c r="A85" t="inlineStr">
        <is>
          <t>202603</t>
        </is>
      </c>
      <c r="B85" t="inlineStr">
        <is>
          <t>LTD</t>
        </is>
      </c>
      <c r="C85" t="inlineStr">
        <is>
          <t>cogs</t>
        </is>
      </c>
      <c r="D85" t="inlineStr">
        <is>
          <t>manufacturing</t>
        </is>
      </c>
      <c r="E85" t="inlineStr">
        <is>
          <t>JONDO</t>
        </is>
      </c>
      <c r="F85" t="inlineStr">
        <is>
          <t>invoice</t>
        </is>
      </c>
      <c r="G85" s="4" t="n">
        <v>24.6</v>
      </c>
      <c r="H85" t="inlineStr">
        <is>
          <t>USD</t>
        </is>
      </c>
      <c r="I85" t="inlineStr">
        <is>
          <t>GBP</t>
        </is>
      </c>
      <c r="J85" s="20" t="n">
        <v>0.7552009</v>
      </c>
      <c r="K85" s="4" t="n">
        <v>18.58</v>
      </c>
      <c r="L85" t="inlineStr">
        <is>
          <t>documents</t>
        </is>
      </c>
      <c r="M85" s="21" t="inlineStr">
        <is>
          <t>AS-100918</t>
        </is>
      </c>
      <c r="N85" t="inlineStr">
        <is>
          <t>https://drive.google.com/file/d/1m7AFyGhqy5cMVsFA4gpzq-TGjUBTq2gZ/view?usp=drivesdk</t>
        </is>
      </c>
    </row>
    <row r="86" ht="12" customHeight="1">
      <c r="A86" t="inlineStr">
        <is>
          <t>202603</t>
        </is>
      </c>
      <c r="B86" t="inlineStr">
        <is>
          <t>LTD</t>
        </is>
      </c>
      <c r="C86" t="inlineStr">
        <is>
          <t>cogs</t>
        </is>
      </c>
      <c r="D86" t="inlineStr">
        <is>
          <t>manufacturing</t>
        </is>
      </c>
      <c r="E86" t="inlineStr">
        <is>
          <t>JONDO</t>
        </is>
      </c>
      <c r="F86" t="inlineStr">
        <is>
          <t>invoice</t>
        </is>
      </c>
      <c r="G86" s="4" t="n">
        <v>101.54</v>
      </c>
      <c r="H86" t="inlineStr">
        <is>
          <t>USD</t>
        </is>
      </c>
      <c r="I86" t="inlineStr">
        <is>
          <t>GBP</t>
        </is>
      </c>
      <c r="J86" s="20" t="n">
        <v>0.7552009</v>
      </c>
      <c r="K86" s="4" t="n">
        <v>76.68000000000001</v>
      </c>
      <c r="L86" t="inlineStr">
        <is>
          <t>documents</t>
        </is>
      </c>
      <c r="M86" s="21" t="inlineStr">
        <is>
          <t>AS-100977</t>
        </is>
      </c>
      <c r="N86" t="inlineStr">
        <is>
          <t>https://drive.google.com/file/d/1Cgc8hchCfgf7rmLBnj_H1qlutGNRdZB7/view?usp=drivesdk</t>
        </is>
      </c>
    </row>
    <row r="87" ht="12" customHeight="1">
      <c r="A87" t="inlineStr">
        <is>
          <t>202603</t>
        </is>
      </c>
      <c r="B87" t="inlineStr">
        <is>
          <t>LTD</t>
        </is>
      </c>
      <c r="C87" t="inlineStr">
        <is>
          <t>cogs</t>
        </is>
      </c>
      <c r="D87" t="inlineStr">
        <is>
          <t>manufacturing</t>
        </is>
      </c>
      <c r="E87" t="inlineStr">
        <is>
          <t>JONDO</t>
        </is>
      </c>
      <c r="F87" t="inlineStr">
        <is>
          <t>invoice</t>
        </is>
      </c>
      <c r="G87" s="4" t="n">
        <v>52.87</v>
      </c>
      <c r="H87" t="inlineStr">
        <is>
          <t>USD</t>
        </is>
      </c>
      <c r="I87" t="inlineStr">
        <is>
          <t>GBP</t>
        </is>
      </c>
      <c r="J87" s="20" t="n">
        <v>0.7552009</v>
      </c>
      <c r="K87" s="4" t="n">
        <v>39.93</v>
      </c>
      <c r="L87" t="inlineStr">
        <is>
          <t>documents</t>
        </is>
      </c>
      <c r="M87" s="21" t="inlineStr">
        <is>
          <t>AS-101054</t>
        </is>
      </c>
      <c r="N87" t="inlineStr">
        <is>
          <t>https://drive.google.com/file/d/1WIDmlF0GDJ0yZUnSoWNMz1v8-Q--q-6h/view?usp=drivesdk</t>
        </is>
      </c>
    </row>
    <row r="88" ht="12" customHeight="1">
      <c r="A88" t="inlineStr">
        <is>
          <t>202603</t>
        </is>
      </c>
      <c r="B88" t="inlineStr">
        <is>
          <t>LTD</t>
        </is>
      </c>
      <c r="C88" t="inlineStr">
        <is>
          <t>cogs</t>
        </is>
      </c>
      <c r="D88" t="inlineStr">
        <is>
          <t>manufacturing</t>
        </is>
      </c>
      <c r="E88" t="inlineStr">
        <is>
          <t>JONDO</t>
        </is>
      </c>
      <c r="F88" t="inlineStr">
        <is>
          <t>invoice</t>
        </is>
      </c>
      <c r="G88" s="4" t="n">
        <v>24.6</v>
      </c>
      <c r="H88" t="inlineStr">
        <is>
          <t>USD</t>
        </is>
      </c>
      <c r="I88" t="inlineStr">
        <is>
          <t>GBP</t>
        </is>
      </c>
      <c r="J88" s="20" t="n">
        <v>0.7552009</v>
      </c>
      <c r="K88" s="4" t="n">
        <v>18.58</v>
      </c>
      <c r="L88" t="inlineStr">
        <is>
          <t>documents</t>
        </is>
      </c>
      <c r="M88" s="21" t="inlineStr">
        <is>
          <t>AS-101073</t>
        </is>
      </c>
      <c r="N88" t="inlineStr">
        <is>
          <t>https://drive.google.com/file/d/1cvO8lXiAyWdQriOkXjiHgWASFj3yUJwM/view?usp=drivesdk</t>
        </is>
      </c>
    </row>
    <row r="89" ht="12" customHeight="1">
      <c r="A89" t="inlineStr">
        <is>
          <t>202603</t>
        </is>
      </c>
      <c r="B89" t="inlineStr">
        <is>
          <t>LTD</t>
        </is>
      </c>
      <c r="C89" t="inlineStr">
        <is>
          <t>cogs</t>
        </is>
      </c>
      <c r="D89" t="inlineStr">
        <is>
          <t>manufacturing</t>
        </is>
      </c>
      <c r="E89" t="inlineStr">
        <is>
          <t>JONDO</t>
        </is>
      </c>
      <c r="F89" t="inlineStr">
        <is>
          <t>invoice</t>
        </is>
      </c>
      <c r="G89" s="4" t="n">
        <v>223.3</v>
      </c>
      <c r="H89" t="inlineStr">
        <is>
          <t>USD</t>
        </is>
      </c>
      <c r="I89" t="inlineStr">
        <is>
          <t>GBP</t>
        </is>
      </c>
      <c r="J89" s="20" t="n">
        <v>0.7552009</v>
      </c>
      <c r="K89" s="4" t="n">
        <v>168.64</v>
      </c>
      <c r="L89" t="inlineStr">
        <is>
          <t>documents</t>
        </is>
      </c>
      <c r="M89" s="21" t="inlineStr">
        <is>
          <t>AS-101183</t>
        </is>
      </c>
      <c r="N89" t="inlineStr">
        <is>
          <t>https://drive.google.com/file/d/1kvZrj32v9oOsnIpfIXWQrBr1_zczw0Mb/view?usp=drivesdk</t>
        </is>
      </c>
    </row>
    <row r="90" ht="12" customHeight="1">
      <c r="A90" t="inlineStr">
        <is>
          <t>202603</t>
        </is>
      </c>
      <c r="B90" t="inlineStr">
        <is>
          <t>LTD</t>
        </is>
      </c>
      <c r="C90" t="inlineStr">
        <is>
          <t>cogs</t>
        </is>
      </c>
      <c r="D90" t="inlineStr">
        <is>
          <t>manufacturing</t>
        </is>
      </c>
      <c r="E90" t="inlineStr">
        <is>
          <t>JONDO</t>
        </is>
      </c>
      <c r="F90" t="inlineStr">
        <is>
          <t>invoice</t>
        </is>
      </c>
      <c r="G90" s="4" t="n">
        <v>29.45</v>
      </c>
      <c r="H90" t="inlineStr">
        <is>
          <t>USD</t>
        </is>
      </c>
      <c r="I90" t="inlineStr">
        <is>
          <t>GBP</t>
        </is>
      </c>
      <c r="J90" s="20" t="n">
        <v>0.7552009</v>
      </c>
      <c r="K90" s="4" t="n">
        <v>22.24</v>
      </c>
      <c r="L90" t="inlineStr">
        <is>
          <t>documents</t>
        </is>
      </c>
      <c r="M90" s="21" t="inlineStr">
        <is>
          <t>AS-101240</t>
        </is>
      </c>
      <c r="N90" t="inlineStr">
        <is>
          <t>https://drive.google.com/file/d/1HCXrEX-E4AdhpJ_Tt-6eEc5urwVoVfe2/view?usp=drivesdk</t>
        </is>
      </c>
    </row>
    <row r="91" ht="12" customHeight="1">
      <c r="A91" t="inlineStr">
        <is>
          <t>202603</t>
        </is>
      </c>
      <c r="B91" t="inlineStr">
        <is>
          <t>LTD</t>
        </is>
      </c>
      <c r="C91" t="inlineStr">
        <is>
          <t>cogs</t>
        </is>
      </c>
      <c r="D91" t="inlineStr">
        <is>
          <t>manufacturing</t>
        </is>
      </c>
      <c r="E91" t="inlineStr">
        <is>
          <t>JONDO</t>
        </is>
      </c>
      <c r="F91" t="inlineStr">
        <is>
          <t>invoice</t>
        </is>
      </c>
      <c r="G91" s="4" t="n">
        <v>76.69</v>
      </c>
      <c r="H91" t="inlineStr">
        <is>
          <t>USD</t>
        </is>
      </c>
      <c r="I91" t="inlineStr">
        <is>
          <t>GBP</t>
        </is>
      </c>
      <c r="J91" s="20" t="n">
        <v>0.7552009</v>
      </c>
      <c r="K91" s="4" t="n">
        <v>57.92</v>
      </c>
      <c r="L91" t="inlineStr">
        <is>
          <t>documents</t>
        </is>
      </c>
      <c r="M91" s="21" t="inlineStr">
        <is>
          <t>AS-101372</t>
        </is>
      </c>
      <c r="N91" t="inlineStr">
        <is>
          <t>https://drive.google.com/file/d/1nPjtPT4uhWtj_Jl1cSMmqzdiPrM1nL4t/view?usp=drivesdk</t>
        </is>
      </c>
    </row>
    <row r="92" ht="12" customHeight="1">
      <c r="A92" t="inlineStr">
        <is>
          <t>202603</t>
        </is>
      </c>
      <c r="B92" t="inlineStr">
        <is>
          <t>LTD</t>
        </is>
      </c>
      <c r="C92" t="inlineStr">
        <is>
          <t>cogs</t>
        </is>
      </c>
      <c r="D92" t="inlineStr">
        <is>
          <t>manufacturing</t>
        </is>
      </c>
      <c r="E92" t="inlineStr">
        <is>
          <t>JONDO</t>
        </is>
      </c>
      <c r="F92" t="inlineStr">
        <is>
          <t>invoice</t>
        </is>
      </c>
      <c r="G92" s="4" t="n">
        <v>52.87</v>
      </c>
      <c r="H92" t="inlineStr">
        <is>
          <t>USD</t>
        </is>
      </c>
      <c r="I92" t="inlineStr">
        <is>
          <t>GBP</t>
        </is>
      </c>
      <c r="J92" s="20" t="n">
        <v>0.7552009</v>
      </c>
      <c r="K92" s="4" t="n">
        <v>39.93</v>
      </c>
      <c r="L92" t="inlineStr">
        <is>
          <t>documents</t>
        </is>
      </c>
      <c r="M92" s="21" t="inlineStr">
        <is>
          <t>AS-101435</t>
        </is>
      </c>
      <c r="N92" t="inlineStr">
        <is>
          <t>https://drive.google.com/file/d/1z5qKzMidf4sb00p7COAUy6esaN8tMgkB/view?usp=drivesdk</t>
        </is>
      </c>
    </row>
    <row r="93" ht="12" customHeight="1">
      <c r="A93" t="inlineStr">
        <is>
          <t>202603</t>
        </is>
      </c>
      <c r="B93" t="inlineStr">
        <is>
          <t>LTD</t>
        </is>
      </c>
      <c r="C93" t="inlineStr">
        <is>
          <t>cogs</t>
        </is>
      </c>
      <c r="D93" t="inlineStr">
        <is>
          <t>manufacturing</t>
        </is>
      </c>
      <c r="E93" t="inlineStr">
        <is>
          <t>JONDO</t>
        </is>
      </c>
      <c r="F93" t="inlineStr">
        <is>
          <t>invoice</t>
        </is>
      </c>
      <c r="G93" s="4" t="n">
        <v>347.11</v>
      </c>
      <c r="H93" t="inlineStr">
        <is>
          <t>USD</t>
        </is>
      </c>
      <c r="I93" t="inlineStr">
        <is>
          <t>GBP</t>
        </is>
      </c>
      <c r="J93" s="20" t="n">
        <v>0.7552009</v>
      </c>
      <c r="K93" s="4" t="n">
        <v>262.14</v>
      </c>
      <c r="L93" t="inlineStr">
        <is>
          <t>documents</t>
        </is>
      </c>
      <c r="M93" s="21" t="inlineStr">
        <is>
          <t>AS-101498</t>
        </is>
      </c>
      <c r="N93" t="inlineStr">
        <is>
          <t>https://drive.google.com/file/d/1rtodFn9rgE_8MBt-0KNt598W1j1iXFhQ/view?usp=drivesdk</t>
        </is>
      </c>
    </row>
    <row r="94" ht="12" customHeight="1">
      <c r="A94" t="inlineStr">
        <is>
          <t>202603</t>
        </is>
      </c>
      <c r="B94" t="inlineStr">
        <is>
          <t>LTD</t>
        </is>
      </c>
      <c r="C94" t="inlineStr">
        <is>
          <t>cogs</t>
        </is>
      </c>
      <c r="D94" t="inlineStr">
        <is>
          <t>manufacturing</t>
        </is>
      </c>
      <c r="E94" t="inlineStr">
        <is>
          <t>JONDO</t>
        </is>
      </c>
      <c r="F94" t="inlineStr">
        <is>
          <t>invoice</t>
        </is>
      </c>
      <c r="G94" s="4" t="n">
        <v>111.65</v>
      </c>
      <c r="H94" t="inlineStr">
        <is>
          <t>USD</t>
        </is>
      </c>
      <c r="I94" t="inlineStr">
        <is>
          <t>GBP</t>
        </is>
      </c>
      <c r="J94" s="20" t="n">
        <v>0.7552009</v>
      </c>
      <c r="K94" s="4" t="n">
        <v>84.31999999999999</v>
      </c>
      <c r="L94" t="inlineStr">
        <is>
          <t>documents</t>
        </is>
      </c>
      <c r="M94" s="21" t="inlineStr">
        <is>
          <t>AS-101504</t>
        </is>
      </c>
      <c r="N94" t="inlineStr">
        <is>
          <t>https://drive.google.com/file/d/1n7W1kipwRj0DuCiUnfnuByxq-xnBWLQG/view?usp=drivesdk</t>
        </is>
      </c>
    </row>
    <row r="95" ht="12" customHeight="1">
      <c r="A95" t="inlineStr">
        <is>
          <t>202603</t>
        </is>
      </c>
      <c r="B95" t="inlineStr">
        <is>
          <t>LTD</t>
        </is>
      </c>
      <c r="C95" t="inlineStr">
        <is>
          <t>cogs</t>
        </is>
      </c>
      <c r="D95" t="inlineStr">
        <is>
          <t>manufacturing</t>
        </is>
      </c>
      <c r="E95" t="inlineStr">
        <is>
          <t>JONDO</t>
        </is>
      </c>
      <c r="F95" t="inlineStr">
        <is>
          <t>invoice</t>
        </is>
      </c>
      <c r="G95" s="4" t="n">
        <v>52.87</v>
      </c>
      <c r="H95" t="inlineStr">
        <is>
          <t>USD</t>
        </is>
      </c>
      <c r="I95" t="inlineStr">
        <is>
          <t>GBP</t>
        </is>
      </c>
      <c r="J95" s="20" t="n">
        <v>0.7552009</v>
      </c>
      <c r="K95" s="4" t="n">
        <v>39.93</v>
      </c>
      <c r="L95" t="inlineStr">
        <is>
          <t>documents</t>
        </is>
      </c>
      <c r="M95" s="21" t="inlineStr">
        <is>
          <t>AS-101728</t>
        </is>
      </c>
      <c r="N95" t="inlineStr">
        <is>
          <t>https://drive.google.com/file/d/1SSvy3CRiyERc3B_Ml_KjQ8UkCL9O35kX/view?usp=drivesdk</t>
        </is>
      </c>
    </row>
    <row r="96" ht="12" customHeight="1">
      <c r="A96" t="inlineStr">
        <is>
          <t>202603</t>
        </is>
      </c>
      <c r="B96" t="inlineStr">
        <is>
          <t>LTD</t>
        </is>
      </c>
      <c r="C96" t="inlineStr">
        <is>
          <t>cogs</t>
        </is>
      </c>
      <c r="D96" t="inlineStr">
        <is>
          <t>manufacturing</t>
        </is>
      </c>
      <c r="E96" t="inlineStr">
        <is>
          <t>JONDO</t>
        </is>
      </c>
      <c r="F96" t="inlineStr">
        <is>
          <t>invoice</t>
        </is>
      </c>
      <c r="G96" s="4" t="n">
        <v>76.69</v>
      </c>
      <c r="H96" t="inlineStr">
        <is>
          <t>USD</t>
        </is>
      </c>
      <c r="I96" t="inlineStr">
        <is>
          <t>GBP</t>
        </is>
      </c>
      <c r="J96" s="20" t="n">
        <v>0.7552009</v>
      </c>
      <c r="K96" s="4" t="n">
        <v>57.92</v>
      </c>
      <c r="L96" t="inlineStr">
        <is>
          <t>documents</t>
        </is>
      </c>
      <c r="M96" s="21" t="inlineStr">
        <is>
          <t>AS-101822</t>
        </is>
      </c>
      <c r="N96" t="inlineStr">
        <is>
          <t>https://drive.google.com/file/d/11AdEe5_B3gGDMClc5xlXO-Q4LLgsHc7j/view?usp=drivesdk</t>
        </is>
      </c>
    </row>
    <row r="97" ht="12" customHeight="1">
      <c r="A97" t="inlineStr">
        <is>
          <t>202603</t>
        </is>
      </c>
      <c r="B97" t="inlineStr">
        <is>
          <t>LTD</t>
        </is>
      </c>
      <c r="C97" t="inlineStr">
        <is>
          <t>cogs</t>
        </is>
      </c>
      <c r="D97" t="inlineStr">
        <is>
          <t>manufacturing</t>
        </is>
      </c>
      <c r="E97" t="inlineStr">
        <is>
          <t>JONDO</t>
        </is>
      </c>
      <c r="F97" t="inlineStr">
        <is>
          <t>invoice</t>
        </is>
      </c>
      <c r="G97" s="4" t="n">
        <v>43.69</v>
      </c>
      <c r="H97" t="inlineStr">
        <is>
          <t>USD</t>
        </is>
      </c>
      <c r="I97" t="inlineStr">
        <is>
          <t>GBP</t>
        </is>
      </c>
      <c r="J97" s="20" t="n">
        <v>0.7552009</v>
      </c>
      <c r="K97" s="4" t="n">
        <v>32.99</v>
      </c>
      <c r="L97" t="inlineStr">
        <is>
          <t>documents</t>
        </is>
      </c>
      <c r="M97" s="21" t="inlineStr">
        <is>
          <t>AS-101900</t>
        </is>
      </c>
      <c r="N97" t="inlineStr">
        <is>
          <t>https://drive.google.com/file/d/1SUoxBgOXOFHpe0FgpBOtdodf-tqILSBr/view?usp=drivesdk</t>
        </is>
      </c>
    </row>
    <row r="98" ht="12" customHeight="1">
      <c r="A98" t="inlineStr">
        <is>
          <t>202603</t>
        </is>
      </c>
      <c r="B98" t="inlineStr">
        <is>
          <t>LTD</t>
        </is>
      </c>
      <c r="C98" t="inlineStr">
        <is>
          <t>cogs</t>
        </is>
      </c>
      <c r="D98" t="inlineStr">
        <is>
          <t>manufacturing</t>
        </is>
      </c>
      <c r="E98" t="inlineStr">
        <is>
          <t>JONDO</t>
        </is>
      </c>
      <c r="F98" t="inlineStr">
        <is>
          <t>invoice</t>
        </is>
      </c>
      <c r="G98" s="4" t="n">
        <v>44.18</v>
      </c>
      <c r="H98" t="inlineStr">
        <is>
          <t>USD</t>
        </is>
      </c>
      <c r="I98" t="inlineStr">
        <is>
          <t>GBP</t>
        </is>
      </c>
      <c r="J98" s="20" t="n">
        <v>0.7552009</v>
      </c>
      <c r="K98" s="4" t="n">
        <v>33.36</v>
      </c>
      <c r="L98" t="inlineStr">
        <is>
          <t>documents</t>
        </is>
      </c>
      <c r="M98" s="21" t="inlineStr">
        <is>
          <t>AS-101969</t>
        </is>
      </c>
      <c r="N98" t="inlineStr">
        <is>
          <t>https://drive.google.com/file/d/1lXf3gMz04497nZzdwMIWtJ48G-yrGP0M/view?usp=drivesdk</t>
        </is>
      </c>
    </row>
    <row r="99" ht="12" customHeight="1">
      <c r="A99" t="inlineStr">
        <is>
          <t>202603</t>
        </is>
      </c>
      <c r="B99" t="inlineStr">
        <is>
          <t>LTD</t>
        </is>
      </c>
      <c r="C99" t="inlineStr">
        <is>
          <t>cogs</t>
        </is>
      </c>
      <c r="D99" t="inlineStr">
        <is>
          <t>manufacturing</t>
        </is>
      </c>
      <c r="E99" t="inlineStr">
        <is>
          <t>JONDO</t>
        </is>
      </c>
      <c r="F99" t="inlineStr">
        <is>
          <t>invoice</t>
        </is>
      </c>
      <c r="G99" s="4" t="n">
        <v>54.05</v>
      </c>
      <c r="H99" t="inlineStr">
        <is>
          <t>USD</t>
        </is>
      </c>
      <c r="I99" t="inlineStr">
        <is>
          <t>GBP</t>
        </is>
      </c>
      <c r="J99" s="20" t="n">
        <v>0.7552009</v>
      </c>
      <c r="K99" s="4" t="n">
        <v>40.82</v>
      </c>
      <c r="L99" t="inlineStr">
        <is>
          <t>documents</t>
        </is>
      </c>
      <c r="M99" s="21" t="inlineStr">
        <is>
          <t>AS-102040</t>
        </is>
      </c>
      <c r="N99" t="inlineStr">
        <is>
          <t>https://drive.google.com/file/d/1QyHd3vSTw0ECion_wPSyL_KKOYVB1VcV/view?usp=drivesdk</t>
        </is>
      </c>
    </row>
    <row r="100" ht="12" customHeight="1">
      <c r="A100" t="inlineStr">
        <is>
          <t>202603</t>
        </is>
      </c>
      <c r="B100" t="inlineStr">
        <is>
          <t>LTD</t>
        </is>
      </c>
      <c r="C100" t="inlineStr">
        <is>
          <t>cogs</t>
        </is>
      </c>
      <c r="D100" t="inlineStr">
        <is>
          <t>manufacturing</t>
        </is>
      </c>
      <c r="E100" t="inlineStr">
        <is>
          <t>JONDO</t>
        </is>
      </c>
      <c r="F100" t="inlineStr">
        <is>
          <t>invoice</t>
        </is>
      </c>
      <c r="G100" s="4" t="n">
        <v>111.16</v>
      </c>
      <c r="H100" t="inlineStr">
        <is>
          <t>USD</t>
        </is>
      </c>
      <c r="I100" t="inlineStr">
        <is>
          <t>GBP</t>
        </is>
      </c>
      <c r="J100" s="20" t="n">
        <v>0.7552009</v>
      </c>
      <c r="K100" s="4" t="n">
        <v>83.95</v>
      </c>
      <c r="L100" t="inlineStr">
        <is>
          <t>documents</t>
        </is>
      </c>
      <c r="M100" s="21" t="inlineStr">
        <is>
          <t>AS-102097</t>
        </is>
      </c>
      <c r="N100" t="inlineStr">
        <is>
          <t>https://drive.google.com/file/d/1S3W9uEB4awliO5PmEKO8Q08Mgl6vzlCT/view?usp=drivesdk</t>
        </is>
      </c>
    </row>
    <row r="101" ht="12" customHeight="1">
      <c r="A101" t="inlineStr">
        <is>
          <t>202603</t>
        </is>
      </c>
      <c r="B101" t="inlineStr">
        <is>
          <t>LTD</t>
        </is>
      </c>
      <c r="C101" t="inlineStr">
        <is>
          <t>cogs</t>
        </is>
      </c>
      <c r="D101" t="inlineStr">
        <is>
          <t>manufacturing</t>
        </is>
      </c>
      <c r="E101" t="inlineStr">
        <is>
          <t>JONDO</t>
        </is>
      </c>
      <c r="F101" t="inlineStr">
        <is>
          <t>invoice</t>
        </is>
      </c>
      <c r="G101" s="4" t="n">
        <v>43.69</v>
      </c>
      <c r="H101" t="inlineStr">
        <is>
          <t>USD</t>
        </is>
      </c>
      <c r="I101" t="inlineStr">
        <is>
          <t>GBP</t>
        </is>
      </c>
      <c r="J101" s="20" t="n">
        <v>0.7552009</v>
      </c>
      <c r="K101" s="4" t="n">
        <v>32.99</v>
      </c>
      <c r="L101" t="inlineStr">
        <is>
          <t>documents</t>
        </is>
      </c>
      <c r="M101" s="21" t="inlineStr">
        <is>
          <t>AS-102102</t>
        </is>
      </c>
      <c r="N101" t="inlineStr">
        <is>
          <t>https://drive.google.com/file/d/1lRtBdbWrHQz82FckIim2FjPJ6jwlzBvJ/view?usp=drivesdk</t>
        </is>
      </c>
    </row>
    <row r="102" ht="12" customHeight="1">
      <c r="A102" t="inlineStr">
        <is>
          <t>202603</t>
        </is>
      </c>
      <c r="B102" t="inlineStr">
        <is>
          <t>LTD</t>
        </is>
      </c>
      <c r="C102" t="inlineStr">
        <is>
          <t>cogs</t>
        </is>
      </c>
      <c r="D102" t="inlineStr">
        <is>
          <t>manufacturing</t>
        </is>
      </c>
      <c r="E102" t="inlineStr">
        <is>
          <t>JONDO</t>
        </is>
      </c>
      <c r="F102" t="inlineStr">
        <is>
          <t>invoice</t>
        </is>
      </c>
      <c r="G102" s="4" t="n">
        <v>67.45999999999999</v>
      </c>
      <c r="H102" t="inlineStr">
        <is>
          <t>USD</t>
        </is>
      </c>
      <c r="I102" t="inlineStr">
        <is>
          <t>GBP</t>
        </is>
      </c>
      <c r="J102" s="20" t="n">
        <v>0.7552009</v>
      </c>
      <c r="K102" s="4" t="n">
        <v>50.95</v>
      </c>
      <c r="L102" t="inlineStr">
        <is>
          <t>documents</t>
        </is>
      </c>
      <c r="M102" s="21" t="inlineStr">
        <is>
          <t>AS-102184</t>
        </is>
      </c>
      <c r="N102" t="inlineStr">
        <is>
          <t>https://drive.google.com/file/d/19zP1jb5VdyLdru5aGeM4onYiWNr8_hLV/view?usp=drivesdk</t>
        </is>
      </c>
    </row>
    <row r="103" ht="12" customHeight="1">
      <c r="A103" t="inlineStr">
        <is>
          <t>202603</t>
        </is>
      </c>
      <c r="B103" t="inlineStr">
        <is>
          <t>LTD</t>
        </is>
      </c>
      <c r="C103" t="inlineStr">
        <is>
          <t>cogs</t>
        </is>
      </c>
      <c r="D103" t="inlineStr">
        <is>
          <t>manufacturing</t>
        </is>
      </c>
      <c r="E103" t="inlineStr">
        <is>
          <t>JONDO</t>
        </is>
      </c>
      <c r="F103" t="inlineStr">
        <is>
          <t>invoice</t>
        </is>
      </c>
      <c r="G103" s="4" t="n">
        <v>111.65</v>
      </c>
      <c r="H103" t="inlineStr">
        <is>
          <t>USD</t>
        </is>
      </c>
      <c r="I103" t="inlineStr">
        <is>
          <t>GBP</t>
        </is>
      </c>
      <c r="J103" s="20" t="n">
        <v>0.7552009</v>
      </c>
      <c r="K103" s="4" t="n">
        <v>84.31999999999999</v>
      </c>
      <c r="L103" t="inlineStr">
        <is>
          <t>documents</t>
        </is>
      </c>
      <c r="M103" s="21" t="inlineStr">
        <is>
          <t>AS-102223</t>
        </is>
      </c>
      <c r="N103" t="inlineStr">
        <is>
          <t>https://drive.google.com/file/d/1qZaFUoy8ye6aPodf87UetEFKHj9d2tzG/view?usp=drivesdk</t>
        </is>
      </c>
    </row>
    <row r="104" ht="12" customHeight="1">
      <c r="A104" t="inlineStr">
        <is>
          <t>202603</t>
        </is>
      </c>
      <c r="B104" t="inlineStr">
        <is>
          <t>LTD</t>
        </is>
      </c>
      <c r="C104" t="inlineStr">
        <is>
          <t>cogs</t>
        </is>
      </c>
      <c r="D104" t="inlineStr">
        <is>
          <t>manufacturing</t>
        </is>
      </c>
      <c r="E104" t="inlineStr">
        <is>
          <t>JONDO</t>
        </is>
      </c>
      <c r="F104" t="inlineStr">
        <is>
          <t>invoice</t>
        </is>
      </c>
      <c r="G104" s="4" t="n">
        <v>43.69</v>
      </c>
      <c r="H104" t="inlineStr">
        <is>
          <t>USD</t>
        </is>
      </c>
      <c r="I104" t="inlineStr">
        <is>
          <t>GBP</t>
        </is>
      </c>
      <c r="J104" s="20" t="n">
        <v>0.7552009</v>
      </c>
      <c r="K104" s="4" t="n">
        <v>32.99</v>
      </c>
      <c r="L104" t="inlineStr">
        <is>
          <t>documents</t>
        </is>
      </c>
      <c r="M104" s="21" t="inlineStr">
        <is>
          <t>AS-102380</t>
        </is>
      </c>
      <c r="N104" t="inlineStr">
        <is>
          <t>https://drive.google.com/file/d/1IGgA4r6m6O4ntYrt2TiNlL-heocKia49/view?usp=drivesdk</t>
        </is>
      </c>
    </row>
    <row r="105" ht="12" customHeight="1">
      <c r="A105" t="inlineStr">
        <is>
          <t>202603</t>
        </is>
      </c>
      <c r="B105" t="inlineStr">
        <is>
          <t>LTD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JONDO</t>
        </is>
      </c>
      <c r="F105" t="inlineStr">
        <is>
          <t>invoice</t>
        </is>
      </c>
      <c r="G105" s="4" t="n">
        <v>44.18</v>
      </c>
      <c r="H105" t="inlineStr">
        <is>
          <t>USD</t>
        </is>
      </c>
      <c r="I105" t="inlineStr">
        <is>
          <t>GBP</t>
        </is>
      </c>
      <c r="J105" s="20" t="n">
        <v>0.7552009</v>
      </c>
      <c r="K105" s="4" t="n">
        <v>33.36</v>
      </c>
      <c r="L105" t="inlineStr">
        <is>
          <t>documents</t>
        </is>
      </c>
      <c r="M105" s="21" t="inlineStr">
        <is>
          <t>AS-102423</t>
        </is>
      </c>
      <c r="N105" t="inlineStr">
        <is>
          <t>https://drive.google.com/file/d/1ITdGy-6O91D6z0_qImZpKUv0mdgh0AD6/view?usp=drivesdk</t>
        </is>
      </c>
    </row>
    <row r="106" ht="12" customHeight="1">
      <c r="A106" t="inlineStr">
        <is>
          <t>202603</t>
        </is>
      </c>
      <c r="B106" t="inlineStr">
        <is>
          <t>LTD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JONDO</t>
        </is>
      </c>
      <c r="F106" t="inlineStr">
        <is>
          <t>invoice</t>
        </is>
      </c>
      <c r="G106" s="4" t="n">
        <v>111.65</v>
      </c>
      <c r="H106" t="inlineStr">
        <is>
          <t>USD</t>
        </is>
      </c>
      <c r="I106" t="inlineStr">
        <is>
          <t>GBP</t>
        </is>
      </c>
      <c r="J106" s="20" t="n">
        <v>0.7552009</v>
      </c>
      <c r="K106" s="4" t="n">
        <v>84.31999999999999</v>
      </c>
      <c r="L106" t="inlineStr">
        <is>
          <t>documents</t>
        </is>
      </c>
      <c r="M106" s="21" t="inlineStr">
        <is>
          <t>AS-102515</t>
        </is>
      </c>
      <c r="N106" t="inlineStr">
        <is>
          <t>https://drive.google.com/file/d/1eTgClB7SO7ewlahs2CtNRw-_ITgqqOY3/view?usp=drivesdk</t>
        </is>
      </c>
    </row>
    <row r="107" ht="12" customHeight="1">
      <c r="A107" t="inlineStr">
        <is>
          <t>202603</t>
        </is>
      </c>
      <c r="B107" t="inlineStr">
        <is>
          <t>LTD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JONDO</t>
        </is>
      </c>
      <c r="F107" t="inlineStr">
        <is>
          <t>invoice</t>
        </is>
      </c>
      <c r="G107" s="4" t="n">
        <v>36.41</v>
      </c>
      <c r="H107" t="inlineStr">
        <is>
          <t>USD</t>
        </is>
      </c>
      <c r="I107" t="inlineStr">
        <is>
          <t>GBP</t>
        </is>
      </c>
      <c r="J107" s="20" t="n">
        <v>0.7552009</v>
      </c>
      <c r="K107" s="4" t="n">
        <v>27.5</v>
      </c>
      <c r="L107" t="inlineStr">
        <is>
          <t>documents</t>
        </is>
      </c>
      <c r="M107" s="21" t="inlineStr">
        <is>
          <t>AS-102707</t>
        </is>
      </c>
      <c r="N107" t="inlineStr">
        <is>
          <t>https://drive.google.com/file/d/1hqx8FMzLXxGeepyick0zVRINg4721W3C/view?usp=drivesdk</t>
        </is>
      </c>
    </row>
    <row r="108" ht="12" customHeight="1">
      <c r="A108" t="inlineStr">
        <is>
          <t>202603</t>
        </is>
      </c>
      <c r="B108" t="inlineStr">
        <is>
          <t>LTD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JONDO</t>
        </is>
      </c>
      <c r="F108" t="inlineStr">
        <is>
          <t>invoice</t>
        </is>
      </c>
      <c r="G108" s="4" t="n">
        <v>229.26</v>
      </c>
      <c r="H108" t="inlineStr">
        <is>
          <t>USD</t>
        </is>
      </c>
      <c r="I108" t="inlineStr">
        <is>
          <t>GBP</t>
        </is>
      </c>
      <c r="J108" s="20" t="n">
        <v>0.7552009</v>
      </c>
      <c r="K108" s="4" t="n">
        <v>173.14</v>
      </c>
      <c r="L108" t="inlineStr">
        <is>
          <t>documents</t>
        </is>
      </c>
      <c r="M108" s="21" t="inlineStr">
        <is>
          <t>AS-102725</t>
        </is>
      </c>
      <c r="N108" t="inlineStr">
        <is>
          <t>https://drive.google.com/file/d/1DVHoChhxwgpHGBf9kW9-_aCJnsn6FCoK/view?usp=drivesdk</t>
        </is>
      </c>
    </row>
    <row r="109" ht="12" customHeight="1">
      <c r="A109" t="inlineStr">
        <is>
          <t>202603</t>
        </is>
      </c>
      <c r="B109" t="inlineStr">
        <is>
          <t>LTD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JONDO</t>
        </is>
      </c>
      <c r="F109" t="inlineStr">
        <is>
          <t>invoice</t>
        </is>
      </c>
      <c r="G109" s="4" t="n">
        <v>72.45999999999999</v>
      </c>
      <c r="H109" t="inlineStr">
        <is>
          <t>USD</t>
        </is>
      </c>
      <c r="I109" t="inlineStr">
        <is>
          <t>GBP</t>
        </is>
      </c>
      <c r="J109" s="20" t="n">
        <v>0.7552009</v>
      </c>
      <c r="K109" s="4" t="n">
        <v>54.72</v>
      </c>
      <c r="L109" t="inlineStr">
        <is>
          <t>documents</t>
        </is>
      </c>
      <c r="M109" s="21" t="inlineStr">
        <is>
          <t>AS-102809</t>
        </is>
      </c>
      <c r="N109" t="inlineStr">
        <is>
          <t>https://drive.google.com/file/d/1AeYZ38PQ2rx3dVnNc39pU62D-lnaOXKq/view?usp=drivesdk</t>
        </is>
      </c>
    </row>
    <row r="110" ht="12" customHeight="1">
      <c r="A110" t="inlineStr">
        <is>
          <t>202603</t>
        </is>
      </c>
      <c r="B110" t="inlineStr">
        <is>
          <t>LTD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JONDO</t>
        </is>
      </c>
      <c r="F110" t="inlineStr">
        <is>
          <t>invoice</t>
        </is>
      </c>
      <c r="G110" s="4" t="n">
        <v>202.39</v>
      </c>
      <c r="H110" t="inlineStr">
        <is>
          <t>USD</t>
        </is>
      </c>
      <c r="I110" t="inlineStr">
        <is>
          <t>GBP</t>
        </is>
      </c>
      <c r="J110" s="20" t="n">
        <v>0.7552009</v>
      </c>
      <c r="K110" s="4" t="n">
        <v>152.85</v>
      </c>
      <c r="L110" t="inlineStr">
        <is>
          <t>documents</t>
        </is>
      </c>
      <c r="M110" s="21" t="inlineStr">
        <is>
          <t>AS-99937</t>
        </is>
      </c>
      <c r="N110" t="inlineStr">
        <is>
          <t>https://drive.google.com/file/d/1F5n3S94IlEQiaG5CxcEnMOmVUEe54Qph/view?usp=drivesdk</t>
        </is>
      </c>
    </row>
    <row r="111" ht="12" customHeight="1">
      <c r="A111" t="inlineStr">
        <is>
          <t>202603</t>
        </is>
      </c>
      <c r="B111" t="inlineStr">
        <is>
          <t>LTD</t>
        </is>
      </c>
      <c r="C111" t="inlineStr">
        <is>
          <t>cogs</t>
        </is>
      </c>
      <c r="D111" t="inlineStr">
        <is>
          <t>manufacturing</t>
        </is>
      </c>
      <c r="E111" t="inlineStr">
        <is>
          <t>JONDO</t>
        </is>
      </c>
      <c r="F111" t="inlineStr">
        <is>
          <t>invoice</t>
        </is>
      </c>
      <c r="G111" s="4" t="n">
        <v>54.05</v>
      </c>
      <c r="H111" t="inlineStr">
        <is>
          <t>USD</t>
        </is>
      </c>
      <c r="I111" t="inlineStr">
        <is>
          <t>GBP</t>
        </is>
      </c>
      <c r="J111" s="20" t="n">
        <v>0.7552009</v>
      </c>
      <c r="K111" s="4" t="n">
        <v>40.82</v>
      </c>
      <c r="L111" t="inlineStr">
        <is>
          <t>documents</t>
        </is>
      </c>
      <c r="M111" s="21" t="inlineStr">
        <is>
          <t>AS-99977</t>
        </is>
      </c>
      <c r="N111" t="inlineStr">
        <is>
          <t>https://drive.google.com/file/d/1HqxIRZp8jdjgtVEEzbk0E2ug9Ukvwr6z/view?usp=drivesdk</t>
        </is>
      </c>
    </row>
    <row r="112" ht="12" customHeight="1">
      <c r="A112" t="inlineStr">
        <is>
          <t>202603</t>
        </is>
      </c>
      <c r="B112" t="inlineStr">
        <is>
          <t>LTD</t>
        </is>
      </c>
      <c r="C112" t="inlineStr">
        <is>
          <t>cogs</t>
        </is>
      </c>
      <c r="D112" t="inlineStr">
        <is>
          <t>logistics</t>
        </is>
      </c>
      <c r="E112" t="inlineStr">
        <is>
          <t>PORTCLEARANCE</t>
        </is>
      </c>
      <c r="F112" t="inlineStr">
        <is>
          <t>manufacturing</t>
        </is>
      </c>
      <c r="G112" s="4" t="n">
        <v>52</v>
      </c>
      <c r="H112" t="inlineStr">
        <is>
          <t>GBP</t>
        </is>
      </c>
      <c r="I112" t="inlineStr">
        <is>
          <t>GBP</t>
        </is>
      </c>
      <c r="J112" s="20" t="n">
        <v>1</v>
      </c>
      <c r="K112" s="4" t="n">
        <v>52</v>
      </c>
      <c r="L112" t="inlineStr">
        <is>
          <t>documents</t>
        </is>
      </c>
      <c r="M112" s="21" t="inlineStr">
        <is>
          <t>PCSI2601529</t>
        </is>
      </c>
      <c r="N112" t="inlineStr">
        <is>
          <t>https://drive.google.com/file/d/1iuW9SLUOB-pyUC4WZ2Kr-BZJwj1fyRk2/view?usp=drivesdk</t>
        </is>
      </c>
    </row>
    <row r="113" ht="12" customHeight="1">
      <c r="A113" t="inlineStr">
        <is>
          <t>202603</t>
        </is>
      </c>
      <c r="B113" t="inlineStr">
        <is>
          <t>LTD</t>
        </is>
      </c>
      <c r="C113" t="inlineStr">
        <is>
          <t>cogs</t>
        </is>
      </c>
      <c r="D113" t="inlineStr">
        <is>
          <t>manufacturing</t>
        </is>
      </c>
      <c r="E113" t="inlineStr">
        <is>
          <t>PROCO</t>
        </is>
      </c>
      <c r="F113" t="inlineStr">
        <is>
          <t>manufacturing</t>
        </is>
      </c>
      <c r="G113" s="4" t="n">
        <v>5142.2</v>
      </c>
      <c r="H113" t="inlineStr">
        <is>
          <t>GBP</t>
        </is>
      </c>
      <c r="I113" t="inlineStr">
        <is>
          <t>GBP</t>
        </is>
      </c>
      <c r="J113" s="20" t="n">
        <v>1</v>
      </c>
      <c r="K113" s="4" t="n">
        <v>5142.2</v>
      </c>
      <c r="L113" t="inlineStr">
        <is>
          <t>documents</t>
        </is>
      </c>
      <c r="M113" s="21" t="inlineStr">
        <is>
          <t>6033972</t>
        </is>
      </c>
      <c r="N113" t="inlineStr">
        <is>
          <t>https://drive.google.com/file/d/1JNfV8XsMUpl0QxOG7Ao1qGRC8bJoJjPf/view?usp=drivesdk</t>
        </is>
      </c>
    </row>
    <row r="114" ht="12" customHeight="1">
      <c r="A114" t="inlineStr">
        <is>
          <t>202603</t>
        </is>
      </c>
      <c r="B114" t="inlineStr">
        <is>
          <t>LTD</t>
        </is>
      </c>
      <c r="C114" t="inlineStr">
        <is>
          <t>cogs</t>
        </is>
      </c>
      <c r="D114" t="inlineStr">
        <is>
          <t>logistics</t>
        </is>
      </c>
      <c r="E114" t="inlineStr">
        <is>
          <t>PROCO</t>
        </is>
      </c>
      <c r="F114" t="inlineStr">
        <is>
          <t>logistics</t>
        </is>
      </c>
      <c r="G114" s="4" t="n">
        <v>2355.35</v>
      </c>
      <c r="H114" t="inlineStr">
        <is>
          <t>GBP</t>
        </is>
      </c>
      <c r="I114" t="inlineStr">
        <is>
          <t>GBP</t>
        </is>
      </c>
      <c r="J114" s="20" t="n">
        <v>1</v>
      </c>
      <c r="K114" s="4" t="n">
        <v>2355.35</v>
      </c>
      <c r="L114" t="inlineStr">
        <is>
          <t>documents</t>
        </is>
      </c>
      <c r="M114" s="21" t="inlineStr">
        <is>
          <t>6033972</t>
        </is>
      </c>
      <c r="N114" t="inlineStr">
        <is>
          <t>https://drive.google.com/file/d/1JNfV8XsMUpl0QxOG7Ao1qGRC8bJoJjPf/view?usp=drivesdk</t>
        </is>
      </c>
    </row>
    <row r="115" ht="12" customHeight="1">
      <c r="A115" t="inlineStr">
        <is>
          <t>202603</t>
        </is>
      </c>
      <c r="B115" t="inlineStr">
        <is>
          <t>LTD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REVER</t>
        </is>
      </c>
      <c r="F115" t="inlineStr">
        <is>
          <t>invoice</t>
        </is>
      </c>
      <c r="G115" s="4" t="n">
        <v>81.37</v>
      </c>
      <c r="H115" t="inlineStr">
        <is>
          <t>EUR</t>
        </is>
      </c>
      <c r="I115" t="inlineStr">
        <is>
          <t>GBP</t>
        </is>
      </c>
      <c r="J115" s="20" t="n">
        <v>0.86833</v>
      </c>
      <c r="K115" s="4" t="n">
        <v>70.66</v>
      </c>
      <c r="L115" t="inlineStr">
        <is>
          <t>documents</t>
        </is>
      </c>
      <c r="M115" s="21" t="inlineStr">
        <is>
          <t>RVR-17773</t>
        </is>
      </c>
      <c r="N115" t="inlineStr">
        <is>
          <t>https://drive.google.com/file/d/1E-ja8xtAToIkewPj62keRSqcrxMPdPhW/view?usp=drivesdk</t>
        </is>
      </c>
    </row>
    <row r="116" ht="12" customHeight="1">
      <c r="A116" t="inlineStr">
        <is>
          <t>202603</t>
        </is>
      </c>
      <c r="B116" t="inlineStr">
        <is>
          <t>LTD</t>
        </is>
      </c>
      <c r="C116" t="inlineStr">
        <is>
          <t>opex</t>
        </is>
      </c>
      <c r="D116" t="inlineStr">
        <is>
          <t>technology</t>
        </is>
      </c>
      <c r="E116" t="inlineStr">
        <is>
          <t>REVER</t>
        </is>
      </c>
      <c r="F116" t="inlineStr">
        <is>
          <t>invoice</t>
        </is>
      </c>
      <c r="G116" s="4" t="n">
        <v>81.37</v>
      </c>
      <c r="H116" t="inlineStr">
        <is>
          <t>EUR</t>
        </is>
      </c>
      <c r="I116" t="inlineStr">
        <is>
          <t>GBP</t>
        </is>
      </c>
      <c r="J116" s="20" t="n">
        <v>0.86833</v>
      </c>
      <c r="K116" s="4" t="n">
        <v>70.66</v>
      </c>
      <c r="L116" t="inlineStr">
        <is>
          <t>documents</t>
        </is>
      </c>
      <c r="M116" s="21" t="inlineStr">
        <is>
          <t>RVR-18638</t>
        </is>
      </c>
      <c r="N116" t="inlineStr">
        <is>
          <t>https://drive.google.com/file/d/1pj6YfDTJzQyuObWQvmYAAc-P8wEb8HwW/view?usp=drivesdk</t>
        </is>
      </c>
    </row>
    <row r="117" ht="12" customHeight="1">
      <c r="A117" t="inlineStr">
        <is>
          <t>202603</t>
        </is>
      </c>
      <c r="B117" t="inlineStr">
        <is>
          <t>LTD</t>
        </is>
      </c>
      <c r="C117" t="inlineStr">
        <is>
          <t>opex</t>
        </is>
      </c>
      <c r="D117" t="inlineStr">
        <is>
          <t>shared_services</t>
        </is>
      </c>
      <c r="E117" t="inlineStr">
        <is>
          <t>SHAREDSERVICESSL</t>
        </is>
      </c>
      <c r="F117" t="inlineStr">
        <is>
          <t>invoice</t>
        </is>
      </c>
      <c r="G117" s="4" t="n">
        <v>14144.1</v>
      </c>
      <c r="H117" t="inlineStr">
        <is>
          <t>EUR</t>
        </is>
      </c>
      <c r="I117" t="inlineStr">
        <is>
          <t>GBP</t>
        </is>
      </c>
      <c r="J117" s="20" t="n">
        <v>0.86833</v>
      </c>
      <c r="K117" s="4" t="n">
        <v>12281.75</v>
      </c>
      <c r="L117" t="inlineStr">
        <is>
          <t>documents</t>
        </is>
      </c>
      <c r="M117" s="21" t="inlineStr">
        <is>
          <t>2026-0016</t>
        </is>
      </c>
      <c r="N117" t="inlineStr">
        <is>
          <t>https://drive.google.com/file/d/1KdK-Ik0l5-TAvrDmyV47ighudMtGRrKE/view?usp=drivesdk</t>
        </is>
      </c>
    </row>
    <row r="118" ht="12" customHeight="1">
      <c r="A118" t="inlineStr">
        <is>
          <t>202603</t>
        </is>
      </c>
      <c r="B118" t="inlineStr">
        <is>
          <t>LTD</t>
        </is>
      </c>
      <c r="C118" t="inlineStr">
        <is>
          <t>opex</t>
        </is>
      </c>
      <c r="D118" t="inlineStr">
        <is>
          <t>administration</t>
        </is>
      </c>
      <c r="E118" t="inlineStr">
        <is>
          <t>YOURACCOUNTSTAXES</t>
        </is>
      </c>
      <c r="F118" t="inlineStr">
        <is>
          <t>invoice</t>
        </is>
      </c>
      <c r="G118" s="4" t="n">
        <v>26.5</v>
      </c>
      <c r="H118" t="inlineStr">
        <is>
          <t>GBP</t>
        </is>
      </c>
      <c r="I118" t="inlineStr">
        <is>
          <t>GBP</t>
        </is>
      </c>
      <c r="J118" s="20" t="n">
        <v>1</v>
      </c>
      <c r="K118" s="4" t="n">
        <v>26.5</v>
      </c>
      <c r="L118" t="inlineStr">
        <is>
          <t>documents</t>
        </is>
      </c>
      <c r="M118" s="21" t="inlineStr">
        <is>
          <t>INV-0679_PERIODIFICADA_3_12</t>
        </is>
      </c>
      <c r="N118" t="inlineStr">
        <is>
          <t>https://drive.google.com/file/d/1SwIai4YdtUV-rQd0AKSUEVkEfdlYRoPA/view?usp=drivesdk</t>
        </is>
      </c>
    </row>
    <row r="119" ht="12" customHeight="1">
      <c r="A119" t="inlineStr">
        <is>
          <t>202603</t>
        </is>
      </c>
      <c r="B119" t="inlineStr">
        <is>
          <t>LTD</t>
        </is>
      </c>
      <c r="C119" t="inlineStr">
        <is>
          <t>opex</t>
        </is>
      </c>
      <c r="D119" t="inlineStr">
        <is>
          <t>administration</t>
        </is>
      </c>
      <c r="E119" t="inlineStr">
        <is>
          <t>YOURACCOUNTSTAXES</t>
        </is>
      </c>
      <c r="F119" t="inlineStr">
        <is>
          <t>invoice</t>
        </is>
      </c>
      <c r="G119" s="4" t="n">
        <v>55</v>
      </c>
      <c r="H119" t="inlineStr">
        <is>
          <t>GBP</t>
        </is>
      </c>
      <c r="I119" t="inlineStr">
        <is>
          <t>GBP</t>
        </is>
      </c>
      <c r="J119" s="20" t="n">
        <v>1</v>
      </c>
      <c r="K119" s="4" t="n">
        <v>55</v>
      </c>
      <c r="L119" t="inlineStr">
        <is>
          <t>documents</t>
        </is>
      </c>
      <c r="M119" s="21" t="inlineStr">
        <is>
          <t>INV-0681_PERIODIFICADA_2_12</t>
        </is>
      </c>
      <c r="N119" t="inlineStr">
        <is>
          <t>https://drive.google.com/file/d/1CFf2KHZd750hPLNp1Xj5DzzQwrKmlw9L/view?usp=drivesdk</t>
        </is>
      </c>
    </row>
    <row r="120" ht="12" customHeight="1">
      <c r="A120" t="inlineStr">
        <is>
          <t>202603</t>
        </is>
      </c>
      <c r="B120" t="inlineStr">
        <is>
          <t>LTD</t>
        </is>
      </c>
      <c r="C120" t="inlineStr">
        <is>
          <t>opex</t>
        </is>
      </c>
      <c r="D120" t="inlineStr">
        <is>
          <t>administration</t>
        </is>
      </c>
      <c r="E120" t="inlineStr">
        <is>
          <t>YOURACCOUNTSTAXES</t>
        </is>
      </c>
      <c r="F120" t="inlineStr">
        <is>
          <t>invoice</t>
        </is>
      </c>
      <c r="G120" s="4" t="n">
        <v>103.67</v>
      </c>
      <c r="H120" t="inlineStr">
        <is>
          <t>GBP</t>
        </is>
      </c>
      <c r="I120" t="inlineStr">
        <is>
          <t>GBP</t>
        </is>
      </c>
      <c r="J120" s="20" t="n">
        <v>1</v>
      </c>
      <c r="K120" s="4" t="n">
        <v>103.67</v>
      </c>
      <c r="L120" t="inlineStr">
        <is>
          <t>documents</t>
        </is>
      </c>
      <c r="M120" s="21" t="inlineStr">
        <is>
          <t>INV-0682_PERIODIFICADA_3_12</t>
        </is>
      </c>
      <c r="N120" t="inlineStr">
        <is>
          <t>https://drive.google.com/file/d/1LlEUQpBPSqkZ5BKsa4CYacg0DVARYbta/view?usp=drivesdk</t>
        </is>
      </c>
    </row>
    <row r="121" ht="12" customHeight="1">
      <c r="A121" t="inlineStr">
        <is>
          <t>202604</t>
        </is>
      </c>
      <c r="B121" t="inlineStr">
        <is>
          <t>LTD</t>
        </is>
      </c>
      <c r="C121" t="inlineStr">
        <is>
          <t>cogs</t>
        </is>
      </c>
      <c r="D121" t="inlineStr">
        <is>
          <t>manufacturing</t>
        </is>
      </c>
      <c r="E121" t="inlineStr">
        <is>
          <t>JONDO</t>
        </is>
      </c>
      <c r="F121" t="inlineStr">
        <is>
          <t>invoice</t>
        </is>
      </c>
      <c r="G121" s="4" t="n">
        <v>36.82</v>
      </c>
      <c r="H121" t="inlineStr">
        <is>
          <t>USD</t>
        </is>
      </c>
      <c r="I121" t="inlineStr">
        <is>
          <t>GBP</t>
        </is>
      </c>
      <c r="J121" s="20" t="n">
        <v>0.74025808</v>
      </c>
      <c r="K121" s="4" t="n">
        <v>27.26</v>
      </c>
      <c r="L121" t="inlineStr">
        <is>
          <t>documents</t>
        </is>
      </c>
      <c r="M121" s="21" t="inlineStr">
        <is>
          <t>4403770-AS-103001</t>
        </is>
      </c>
      <c r="N121" t="inlineStr">
        <is>
          <t>https://drive.google.com/file/d/17ddVNHeD7vfS0fu_kEIIf9bX5TkmUiWX/view?usp=drivesdk</t>
        </is>
      </c>
    </row>
    <row r="122" ht="12" customHeight="1">
      <c r="A122" t="inlineStr">
        <is>
          <t>202604</t>
        </is>
      </c>
      <c r="B122" t="inlineStr">
        <is>
          <t>LTD</t>
        </is>
      </c>
      <c r="C122" t="inlineStr">
        <is>
          <t>cogs</t>
        </is>
      </c>
      <c r="D122" t="inlineStr">
        <is>
          <t>manufacturing</t>
        </is>
      </c>
      <c r="E122" t="inlineStr">
        <is>
          <t>JONDO</t>
        </is>
      </c>
      <c r="F122" t="inlineStr">
        <is>
          <t>invoice</t>
        </is>
      </c>
      <c r="G122" s="4" t="n">
        <v>20.5</v>
      </c>
      <c r="H122" t="inlineStr">
        <is>
          <t>USD</t>
        </is>
      </c>
      <c r="I122" t="inlineStr">
        <is>
          <t>GBP</t>
        </is>
      </c>
      <c r="J122" s="20" t="n">
        <v>0.74025808</v>
      </c>
      <c r="K122" s="4" t="n">
        <v>15.18</v>
      </c>
      <c r="L122" t="inlineStr">
        <is>
          <t>documents</t>
        </is>
      </c>
      <c r="M122" s="21" t="inlineStr">
        <is>
          <t>4409939-AS-103381</t>
        </is>
      </c>
      <c r="N122" t="inlineStr">
        <is>
          <t>https://drive.google.com/file/d/1lcYMWvKQkm1b8U6Ps1w7NODPT7I7diIg/view?usp=drivesdk</t>
        </is>
      </c>
    </row>
    <row r="123" ht="12" customHeight="1">
      <c r="A123" t="inlineStr">
        <is>
          <t>202604</t>
        </is>
      </c>
      <c r="B123" t="inlineStr">
        <is>
          <t>LTD</t>
        </is>
      </c>
      <c r="C123" t="inlineStr">
        <is>
          <t>cogs</t>
        </is>
      </c>
      <c r="D123" t="inlineStr">
        <is>
          <t>manufacturing</t>
        </is>
      </c>
      <c r="E123" t="inlineStr">
        <is>
          <t>JONDO</t>
        </is>
      </c>
      <c r="F123" t="inlineStr">
        <is>
          <t>invoice</t>
        </is>
      </c>
      <c r="G123" s="4" t="n">
        <v>93.04000000000001</v>
      </c>
      <c r="H123" t="inlineStr">
        <is>
          <t>USD</t>
        </is>
      </c>
      <c r="I123" t="inlineStr">
        <is>
          <t>GBP</t>
        </is>
      </c>
      <c r="J123" s="20" t="n">
        <v>0.74025808</v>
      </c>
      <c r="K123" s="4" t="n">
        <v>68.87</v>
      </c>
      <c r="L123" t="inlineStr">
        <is>
          <t>documents</t>
        </is>
      </c>
      <c r="M123" s="21" t="inlineStr">
        <is>
          <t>4409940-AS-103146</t>
        </is>
      </c>
      <c r="N123" t="inlineStr">
        <is>
          <t>https://drive.google.com/file/d/1PN6Nq_rc4UuHw-YiRRTnBAsEzMqoHCWf/view?usp=drivesdk</t>
        </is>
      </c>
    </row>
    <row r="124" ht="12" customHeight="1">
      <c r="A124" t="inlineStr">
        <is>
          <t>202604</t>
        </is>
      </c>
      <c r="B124" t="inlineStr">
        <is>
          <t>LTD</t>
        </is>
      </c>
      <c r="C124" t="inlineStr">
        <is>
          <t>cogs</t>
        </is>
      </c>
      <c r="D124" t="inlineStr">
        <is>
          <t>manufacturing</t>
        </is>
      </c>
      <c r="E124" t="inlineStr">
        <is>
          <t>JONDO</t>
        </is>
      </c>
      <c r="F124" t="inlineStr">
        <is>
          <t>invoice</t>
        </is>
      </c>
      <c r="G124" s="4" t="n">
        <v>44.06</v>
      </c>
      <c r="H124" t="inlineStr">
        <is>
          <t>USD</t>
        </is>
      </c>
      <c r="I124" t="inlineStr">
        <is>
          <t>GBP</t>
        </is>
      </c>
      <c r="J124" s="20" t="n">
        <v>0.74025808</v>
      </c>
      <c r="K124" s="4" t="n">
        <v>32.62</v>
      </c>
      <c r="L124" t="inlineStr">
        <is>
          <t>documents</t>
        </is>
      </c>
      <c r="M124" s="21" t="inlineStr">
        <is>
          <t>4409941-AS-103170</t>
        </is>
      </c>
      <c r="N124" t="inlineStr">
        <is>
          <t>https://drive.google.com/file/d/1oDqtd0mH58fAtBJpZhjnF10hzC-JfpV5/view?usp=drivesdk</t>
        </is>
      </c>
    </row>
    <row r="125" ht="12" customHeight="1">
      <c r="A125" t="inlineStr">
        <is>
          <t>202604</t>
        </is>
      </c>
      <c r="B125" t="inlineStr">
        <is>
          <t>LTD</t>
        </is>
      </c>
      <c r="C125" t="inlineStr">
        <is>
          <t>cogs</t>
        </is>
      </c>
      <c r="D125" t="inlineStr">
        <is>
          <t>manufacturing</t>
        </is>
      </c>
      <c r="E125" t="inlineStr">
        <is>
          <t>JONDO</t>
        </is>
      </c>
      <c r="F125" t="inlineStr">
        <is>
          <t>invoice</t>
        </is>
      </c>
      <c r="G125" s="4" t="n">
        <v>42.06</v>
      </c>
      <c r="H125" t="inlineStr">
        <is>
          <t>USD</t>
        </is>
      </c>
      <c r="I125" t="inlineStr">
        <is>
          <t>GBP</t>
        </is>
      </c>
      <c r="J125" s="20" t="n">
        <v>0.74025808</v>
      </c>
      <c r="K125" s="4" t="n">
        <v>31.14</v>
      </c>
      <c r="L125" t="inlineStr">
        <is>
          <t>documents</t>
        </is>
      </c>
      <c r="M125" s="21" t="inlineStr">
        <is>
          <t>4409942-AS-103255</t>
        </is>
      </c>
      <c r="N125" t="inlineStr">
        <is>
          <t>https://drive.google.com/file/d/1knDM3Q-deGBFwbXJr-PqYiK86TvQfKGr/view?usp=drivesdk</t>
        </is>
      </c>
    </row>
    <row r="126" ht="12" customHeight="1">
      <c r="A126" t="inlineStr">
        <is>
          <t>202604</t>
        </is>
      </c>
      <c r="B126" t="inlineStr">
        <is>
          <t>LTD</t>
        </is>
      </c>
      <c r="C126" t="inlineStr">
        <is>
          <t>cogs</t>
        </is>
      </c>
      <c r="D126" t="inlineStr">
        <is>
          <t>manufacturing</t>
        </is>
      </c>
      <c r="E126" t="inlineStr">
        <is>
          <t>JONDO</t>
        </is>
      </c>
      <c r="F126" t="inlineStr">
        <is>
          <t>invoice</t>
        </is>
      </c>
      <c r="G126" s="4" t="n">
        <v>71.59999999999999</v>
      </c>
      <c r="H126" t="inlineStr">
        <is>
          <t>USD</t>
        </is>
      </c>
      <c r="I126" t="inlineStr">
        <is>
          <t>GBP</t>
        </is>
      </c>
      <c r="J126" s="20" t="n">
        <v>0.74025808</v>
      </c>
      <c r="K126" s="4" t="n">
        <v>53</v>
      </c>
      <c r="L126" t="inlineStr">
        <is>
          <t>documents</t>
        </is>
      </c>
      <c r="M126" s="21" t="inlineStr">
        <is>
          <t>4409943-AS-103019</t>
        </is>
      </c>
      <c r="N126" t="inlineStr">
        <is>
          <t>https://drive.google.com/file/d/1L5GrowXLyDME--H_QcyiLXnUYQibTz4v/view?usp=drivesdk</t>
        </is>
      </c>
    </row>
    <row r="127" ht="12" customHeight="1">
      <c r="A127" t="inlineStr">
        <is>
          <t>202604</t>
        </is>
      </c>
      <c r="B127" t="inlineStr">
        <is>
          <t>LTD</t>
        </is>
      </c>
      <c r="C127" t="inlineStr">
        <is>
          <t>cogs</t>
        </is>
      </c>
      <c r="D127" t="inlineStr">
        <is>
          <t>manufacturing</t>
        </is>
      </c>
      <c r="E127" t="inlineStr">
        <is>
          <t>JONDO</t>
        </is>
      </c>
      <c r="F127" t="inlineStr">
        <is>
          <t>invoice</t>
        </is>
      </c>
      <c r="G127" s="4" t="n">
        <v>36.41</v>
      </c>
      <c r="H127" t="inlineStr">
        <is>
          <t>USD</t>
        </is>
      </c>
      <c r="I127" t="inlineStr">
        <is>
          <t>GBP</t>
        </is>
      </c>
      <c r="J127" s="20" t="n">
        <v>0.74025808</v>
      </c>
      <c r="K127" s="4" t="n">
        <v>26.95</v>
      </c>
      <c r="L127" t="inlineStr">
        <is>
          <t>documents</t>
        </is>
      </c>
      <c r="M127" s="21" t="inlineStr">
        <is>
          <t>4409944-AS-103304</t>
        </is>
      </c>
      <c r="N127" t="inlineStr">
        <is>
          <t>https://drive.google.com/file/d/1Rl2zHtvoecGxNtM7FYzFYrx9z2DJGE0I/view?usp=drivesdk</t>
        </is>
      </c>
    </row>
    <row r="128" ht="12" customHeight="1">
      <c r="A128" t="inlineStr">
        <is>
          <t>202604</t>
        </is>
      </c>
      <c r="B128" t="inlineStr">
        <is>
          <t>LTD</t>
        </is>
      </c>
      <c r="C128" t="inlineStr">
        <is>
          <t>cogs</t>
        </is>
      </c>
      <c r="D128" t="inlineStr">
        <is>
          <t>manufacturing</t>
        </is>
      </c>
      <c r="E128" t="inlineStr">
        <is>
          <t>JONDO</t>
        </is>
      </c>
      <c r="F128" t="inlineStr">
        <is>
          <t>invoice</t>
        </is>
      </c>
      <c r="G128" s="4" t="n">
        <v>28.4</v>
      </c>
      <c r="H128" t="inlineStr">
        <is>
          <t>USD</t>
        </is>
      </c>
      <c r="I128" t="inlineStr">
        <is>
          <t>GBP</t>
        </is>
      </c>
      <c r="J128" s="20" t="n">
        <v>0.74025808</v>
      </c>
      <c r="K128" s="4" t="n">
        <v>21.02</v>
      </c>
      <c r="L128" t="inlineStr">
        <is>
          <t>documents</t>
        </is>
      </c>
      <c r="M128" s="21" t="inlineStr">
        <is>
          <t>4409945-AS-103307</t>
        </is>
      </c>
      <c r="N128" t="inlineStr">
        <is>
          <t>https://drive.google.com/file/d/1b1c7L45IdAOMY5Wul7ntXqMj2orFFpmC/view?usp=drivesdk</t>
        </is>
      </c>
    </row>
    <row r="129" ht="12" customHeight="1">
      <c r="A129" t="inlineStr">
        <is>
          <t>202604</t>
        </is>
      </c>
      <c r="B129" t="inlineStr">
        <is>
          <t>LTD</t>
        </is>
      </c>
      <c r="C129" t="inlineStr">
        <is>
          <t>cogs</t>
        </is>
      </c>
      <c r="D129" t="inlineStr">
        <is>
          <t>manufacturing</t>
        </is>
      </c>
      <c r="E129" t="inlineStr">
        <is>
          <t>JONDO</t>
        </is>
      </c>
      <c r="F129" t="inlineStr">
        <is>
          <t>invoice</t>
        </is>
      </c>
      <c r="G129" s="4" t="n">
        <v>28.4</v>
      </c>
      <c r="H129" t="inlineStr">
        <is>
          <t>USD</t>
        </is>
      </c>
      <c r="I129" t="inlineStr">
        <is>
          <t>GBP</t>
        </is>
      </c>
      <c r="J129" s="20" t="n">
        <v>0.74025808</v>
      </c>
      <c r="K129" s="4" t="n">
        <v>21.02</v>
      </c>
      <c r="L129" t="inlineStr">
        <is>
          <t>documents</t>
        </is>
      </c>
      <c r="M129" s="21" t="inlineStr">
        <is>
          <t>4411318-AS-103234</t>
        </is>
      </c>
      <c r="N129" t="inlineStr">
        <is>
          <t>https://drive.google.com/file/d/13jRTN9j0ZnZHrgMqnkO7NPjxzc_1NB7y/view?usp=drivesdk</t>
        </is>
      </c>
    </row>
    <row r="130" ht="12" customHeight="1">
      <c r="A130" t="inlineStr">
        <is>
          <t>202604</t>
        </is>
      </c>
      <c r="B130" t="inlineStr">
        <is>
          <t>LTD</t>
        </is>
      </c>
      <c r="C130" t="inlineStr">
        <is>
          <t>cogs</t>
        </is>
      </c>
      <c r="D130" t="inlineStr">
        <is>
          <t>manufacturing</t>
        </is>
      </c>
      <c r="E130" t="inlineStr">
        <is>
          <t>JONDO</t>
        </is>
      </c>
      <c r="F130" t="inlineStr">
        <is>
          <t>invoice</t>
        </is>
      </c>
      <c r="G130" s="4" t="n">
        <v>93.04000000000001</v>
      </c>
      <c r="H130" t="inlineStr">
        <is>
          <t>USD</t>
        </is>
      </c>
      <c r="I130" t="inlineStr">
        <is>
          <t>GBP</t>
        </is>
      </c>
      <c r="J130" s="20" t="n">
        <v>0.74025808</v>
      </c>
      <c r="K130" s="4" t="n">
        <v>68.87</v>
      </c>
      <c r="L130" t="inlineStr">
        <is>
          <t>documents</t>
        </is>
      </c>
      <c r="M130" s="21" t="inlineStr">
        <is>
          <t>4411319-AS-103495</t>
        </is>
      </c>
      <c r="N130" t="inlineStr">
        <is>
          <t>https://drive.google.com/file/d/1BF2To8YectCAqC2nGlkTeQfVw8hxyzXR/view?usp=drivesdk</t>
        </is>
      </c>
    </row>
    <row r="131" ht="12" customHeight="1">
      <c r="A131" t="inlineStr">
        <is>
          <t>202604</t>
        </is>
      </c>
      <c r="B131" t="inlineStr">
        <is>
          <t>LTD</t>
        </is>
      </c>
      <c r="C131" t="inlineStr">
        <is>
          <t>cogs</t>
        </is>
      </c>
      <c r="D131" t="inlineStr">
        <is>
          <t>manufacturing</t>
        </is>
      </c>
      <c r="E131" t="inlineStr">
        <is>
          <t>JONDO</t>
        </is>
      </c>
      <c r="F131" t="inlineStr">
        <is>
          <t>invoice</t>
        </is>
      </c>
      <c r="G131" s="4" t="n">
        <v>44.06</v>
      </c>
      <c r="H131" t="inlineStr">
        <is>
          <t>USD</t>
        </is>
      </c>
      <c r="I131" t="inlineStr">
        <is>
          <t>GBP</t>
        </is>
      </c>
      <c r="J131" s="20" t="n">
        <v>0.74025808</v>
      </c>
      <c r="K131" s="4" t="n">
        <v>32.62</v>
      </c>
      <c r="L131" t="inlineStr">
        <is>
          <t>documents</t>
        </is>
      </c>
      <c r="M131" s="21" t="inlineStr">
        <is>
          <t>4412392-AS-102155</t>
        </is>
      </c>
      <c r="N131" t="inlineStr">
        <is>
          <t>https://drive.google.com/file/d/1KgYvLCKDCtdGZ-ugRS2x7EBVt56UNcND/view?usp=drivesdk</t>
        </is>
      </c>
    </row>
    <row r="132" ht="12" customHeight="1">
      <c r="A132" t="inlineStr">
        <is>
          <t>202604</t>
        </is>
      </c>
      <c r="B132" t="inlineStr">
        <is>
          <t>LTD</t>
        </is>
      </c>
      <c r="C132" t="inlineStr">
        <is>
          <t>cogs</t>
        </is>
      </c>
      <c r="D132" t="inlineStr">
        <is>
          <t>manufacturing</t>
        </is>
      </c>
      <c r="E132" t="inlineStr">
        <is>
          <t>JONDO</t>
        </is>
      </c>
      <c r="F132" t="inlineStr">
        <is>
          <t>invoice</t>
        </is>
      </c>
      <c r="G132" s="4" t="n">
        <v>229.26</v>
      </c>
      <c r="H132" t="inlineStr">
        <is>
          <t>USD</t>
        </is>
      </c>
      <c r="I132" t="inlineStr">
        <is>
          <t>GBP</t>
        </is>
      </c>
      <c r="J132" s="20" t="n">
        <v>0.74025808</v>
      </c>
      <c r="K132" s="4" t="n">
        <v>169.71</v>
      </c>
      <c r="L132" t="inlineStr">
        <is>
          <t>documents</t>
        </is>
      </c>
      <c r="M132" s="21" t="inlineStr">
        <is>
          <t>4412393-AS-103330</t>
        </is>
      </c>
      <c r="N132" t="inlineStr">
        <is>
          <t>https://drive.google.com/file/d/1b6ji8zFUVYjmRKJuA34QKOpaZJMDOKjA/view?usp=drivesdk</t>
        </is>
      </c>
    </row>
    <row r="133" ht="12" customHeight="1">
      <c r="A133" t="inlineStr">
        <is>
          <t>202604</t>
        </is>
      </c>
      <c r="B133" t="inlineStr">
        <is>
          <t>LTD</t>
        </is>
      </c>
      <c r="C133" t="inlineStr">
        <is>
          <t>cogs</t>
        </is>
      </c>
      <c r="D133" t="inlineStr">
        <is>
          <t>manufacturing</t>
        </is>
      </c>
      <c r="E133" t="inlineStr">
        <is>
          <t>JONDO</t>
        </is>
      </c>
      <c r="F133" t="inlineStr">
        <is>
          <t>invoice</t>
        </is>
      </c>
      <c r="G133" s="4" t="n">
        <v>42.06</v>
      </c>
      <c r="H133" t="inlineStr">
        <is>
          <t>USD</t>
        </is>
      </c>
      <c r="I133" t="inlineStr">
        <is>
          <t>GBP</t>
        </is>
      </c>
      <c r="J133" s="20" t="n">
        <v>0.74025808</v>
      </c>
      <c r="K133" s="4" t="n">
        <v>31.14</v>
      </c>
      <c r="L133" t="inlineStr">
        <is>
          <t>documents</t>
        </is>
      </c>
      <c r="M133" s="21" t="inlineStr">
        <is>
          <t>4413196-AS-103744</t>
        </is>
      </c>
      <c r="N133" t="inlineStr">
        <is>
          <t>https://drive.google.com/file/d/1OQQ1lB47ZCX7Om94DhLzarLwJTdnUuLc/view?usp=drivesdk</t>
        </is>
      </c>
    </row>
    <row r="134" ht="12" customHeight="1">
      <c r="A134" t="inlineStr">
        <is>
          <t>202604</t>
        </is>
      </c>
      <c r="B134" t="inlineStr">
        <is>
          <t>LTD</t>
        </is>
      </c>
      <c r="C134" t="inlineStr">
        <is>
          <t>cogs</t>
        </is>
      </c>
      <c r="D134" t="inlineStr">
        <is>
          <t>manufacturing</t>
        </is>
      </c>
      <c r="E134" t="inlineStr">
        <is>
          <t>JONDO</t>
        </is>
      </c>
      <c r="F134" t="inlineStr">
        <is>
          <t>invoice</t>
        </is>
      </c>
      <c r="G134" s="4" t="n">
        <v>93.04000000000001</v>
      </c>
      <c r="H134" t="inlineStr">
        <is>
          <t>USD</t>
        </is>
      </c>
      <c r="I134" t="inlineStr">
        <is>
          <t>GBP</t>
        </is>
      </c>
      <c r="J134" s="20" t="n">
        <v>0.74025808</v>
      </c>
      <c r="K134" s="4" t="n">
        <v>68.87</v>
      </c>
      <c r="L134" t="inlineStr">
        <is>
          <t>documents</t>
        </is>
      </c>
      <c r="M134" s="21" t="inlineStr">
        <is>
          <t>4416656-AS-103961</t>
        </is>
      </c>
      <c r="N134" t="inlineStr">
        <is>
          <t>https://drive.google.com/file/d/1d9pvNwNiOQw_MyWdxleMQeDVPsKkWErb/view?usp=drivesdk</t>
        </is>
      </c>
    </row>
    <row r="135" ht="12" customHeight="1">
      <c r="A135" t="inlineStr">
        <is>
          <t>202604</t>
        </is>
      </c>
      <c r="B135" t="inlineStr">
        <is>
          <t>LTD</t>
        </is>
      </c>
      <c r="C135" t="inlineStr">
        <is>
          <t>cogs</t>
        </is>
      </c>
      <c r="D135" t="inlineStr">
        <is>
          <t>manufacturing</t>
        </is>
      </c>
      <c r="E135" t="inlineStr">
        <is>
          <t>JONDO</t>
        </is>
      </c>
      <c r="F135" t="inlineStr">
        <is>
          <t>invoice</t>
        </is>
      </c>
      <c r="G135" s="4" t="n">
        <v>42.06</v>
      </c>
      <c r="H135" t="inlineStr">
        <is>
          <t>USD</t>
        </is>
      </c>
      <c r="I135" t="inlineStr">
        <is>
          <t>GBP</t>
        </is>
      </c>
      <c r="J135" s="20" t="n">
        <v>0.74025808</v>
      </c>
      <c r="K135" s="4" t="n">
        <v>31.14</v>
      </c>
      <c r="L135" t="inlineStr">
        <is>
          <t>documents</t>
        </is>
      </c>
      <c r="M135" s="21" t="inlineStr">
        <is>
          <t>4416657-AS-103955</t>
        </is>
      </c>
      <c r="N135" t="inlineStr">
        <is>
          <t>https://drive.google.com/file/d/1eXukirDBepURH2wGJznQYyf3sA-qFKP0/view?usp=drivesdk</t>
        </is>
      </c>
    </row>
    <row r="136" ht="12" customHeight="1">
      <c r="A136" t="inlineStr">
        <is>
          <t>202604</t>
        </is>
      </c>
      <c r="B136" t="inlineStr">
        <is>
          <t>LTD</t>
        </is>
      </c>
      <c r="C136" t="inlineStr">
        <is>
          <t>cogs</t>
        </is>
      </c>
      <c r="D136" t="inlineStr">
        <is>
          <t>manufacturing</t>
        </is>
      </c>
      <c r="E136" t="inlineStr">
        <is>
          <t>JONDO</t>
        </is>
      </c>
      <c r="F136" t="inlineStr">
        <is>
          <t>invoice</t>
        </is>
      </c>
      <c r="G136" s="4" t="n">
        <v>72.81999999999999</v>
      </c>
      <c r="H136" t="inlineStr">
        <is>
          <t>USD</t>
        </is>
      </c>
      <c r="I136" t="inlineStr">
        <is>
          <t>GBP</t>
        </is>
      </c>
      <c r="J136" s="20" t="n">
        <v>0.74025808</v>
      </c>
      <c r="K136" s="4" t="n">
        <v>53.91</v>
      </c>
      <c r="L136" t="inlineStr">
        <is>
          <t>documents</t>
        </is>
      </c>
      <c r="M136" s="21" t="inlineStr">
        <is>
          <t>4416658-AS-104036</t>
        </is>
      </c>
      <c r="N136" t="inlineStr">
        <is>
          <t>https://drive.google.com/file/d/1GYDsZ__qG1_3BdvEs74VD4SYNaF3_EpL/view?usp=drivesdk</t>
        </is>
      </c>
    </row>
    <row r="137" ht="12" customHeight="1">
      <c r="A137" t="inlineStr">
        <is>
          <t>202604</t>
        </is>
      </c>
      <c r="B137" t="inlineStr">
        <is>
          <t>LTD</t>
        </is>
      </c>
      <c r="C137" t="inlineStr">
        <is>
          <t>cogs</t>
        </is>
      </c>
      <c r="D137" t="inlineStr">
        <is>
          <t>manufacturing</t>
        </is>
      </c>
      <c r="E137" t="inlineStr">
        <is>
          <t>JONDO</t>
        </is>
      </c>
      <c r="F137" t="inlineStr">
        <is>
          <t>invoice</t>
        </is>
      </c>
      <c r="G137" s="4" t="n">
        <v>56.8</v>
      </c>
      <c r="H137" t="inlineStr">
        <is>
          <t>USD</t>
        </is>
      </c>
      <c r="I137" t="inlineStr">
        <is>
          <t>GBP</t>
        </is>
      </c>
      <c r="J137" s="20" t="n">
        <v>0.74025808</v>
      </c>
      <c r="K137" s="4" t="n">
        <v>42.05</v>
      </c>
      <c r="L137" t="inlineStr">
        <is>
          <t>documents</t>
        </is>
      </c>
      <c r="M137" s="21" t="inlineStr">
        <is>
          <t>4416659-AS-104044</t>
        </is>
      </c>
      <c r="N137" t="inlineStr">
        <is>
          <t>https://drive.google.com/file/d/1uHVZs3c_EG6TKsh5Hfzy--7VP3qpcTsu/view?usp=drivesdk</t>
        </is>
      </c>
    </row>
    <row r="138" ht="12" customHeight="1">
      <c r="A138" t="inlineStr">
        <is>
          <t>202604</t>
        </is>
      </c>
      <c r="B138" t="inlineStr">
        <is>
          <t>LTD</t>
        </is>
      </c>
      <c r="C138" t="inlineStr">
        <is>
          <t>cogs</t>
        </is>
      </c>
      <c r="D138" t="inlineStr">
        <is>
          <t>manufacturing</t>
        </is>
      </c>
      <c r="E138" t="inlineStr">
        <is>
          <t>JONDO</t>
        </is>
      </c>
      <c r="F138" t="inlineStr">
        <is>
          <t>invoice</t>
        </is>
      </c>
      <c r="G138" s="4" t="n">
        <v>84.12</v>
      </c>
      <c r="H138" t="inlineStr">
        <is>
          <t>USD</t>
        </is>
      </c>
      <c r="I138" t="inlineStr">
        <is>
          <t>GBP</t>
        </is>
      </c>
      <c r="J138" s="20" t="n">
        <v>0.74025808</v>
      </c>
      <c r="K138" s="4" t="n">
        <v>62.27</v>
      </c>
      <c r="L138" t="inlineStr">
        <is>
          <t>documents</t>
        </is>
      </c>
      <c r="M138" s="21" t="inlineStr">
        <is>
          <t>4420614-AS-104272</t>
        </is>
      </c>
      <c r="N138" t="inlineStr">
        <is>
          <t>https://drive.google.com/file/d/1-2x6-Z7FgEnPb6bIoc9BX7-tJQ1w7ark/view?usp=drivesdk</t>
        </is>
      </c>
    </row>
    <row r="139" ht="12" customHeight="1">
      <c r="A139" t="inlineStr">
        <is>
          <t>202604</t>
        </is>
      </c>
      <c r="B139" t="inlineStr">
        <is>
          <t>LTD</t>
        </is>
      </c>
      <c r="C139" t="inlineStr">
        <is>
          <t>cogs</t>
        </is>
      </c>
      <c r="D139" t="inlineStr">
        <is>
          <t>manufacturing</t>
        </is>
      </c>
      <c r="E139" t="inlineStr">
        <is>
          <t>JONDO</t>
        </is>
      </c>
      <c r="F139" t="inlineStr">
        <is>
          <t>invoice</t>
        </is>
      </c>
      <c r="G139" s="4" t="n">
        <v>36.41</v>
      </c>
      <c r="H139" t="inlineStr">
        <is>
          <t>USD</t>
        </is>
      </c>
      <c r="I139" t="inlineStr">
        <is>
          <t>GBP</t>
        </is>
      </c>
      <c r="J139" s="20" t="n">
        <v>0.74025808</v>
      </c>
      <c r="K139" s="4" t="n">
        <v>26.95</v>
      </c>
      <c r="L139" t="inlineStr">
        <is>
          <t>documents</t>
        </is>
      </c>
      <c r="M139" s="21" t="inlineStr">
        <is>
          <t>4424227-AS-104456</t>
        </is>
      </c>
      <c r="N139" t="inlineStr">
        <is>
          <t>https://drive.google.com/file/d/1AIMu4-5W6EW6cLoq5xChTVxf0vpbjiaz/view?usp=drivesdk</t>
        </is>
      </c>
    </row>
    <row r="140" ht="12" customHeight="1">
      <c r="A140" t="inlineStr">
        <is>
          <t>202604</t>
        </is>
      </c>
      <c r="B140" t="inlineStr">
        <is>
          <t>LTD</t>
        </is>
      </c>
      <c r="C140" t="inlineStr">
        <is>
          <t>cogs</t>
        </is>
      </c>
      <c r="D140" t="inlineStr">
        <is>
          <t>manufacturing</t>
        </is>
      </c>
      <c r="E140" t="inlineStr">
        <is>
          <t>JONDO</t>
        </is>
      </c>
      <c r="F140" t="inlineStr">
        <is>
          <t>invoice</t>
        </is>
      </c>
      <c r="G140" s="4" t="n">
        <v>33.98</v>
      </c>
      <c r="H140" t="inlineStr">
        <is>
          <t>USD</t>
        </is>
      </c>
      <c r="I140" t="inlineStr">
        <is>
          <t>GBP</t>
        </is>
      </c>
      <c r="J140" s="20" t="n">
        <v>0.74025808</v>
      </c>
      <c r="K140" s="4" t="n">
        <v>25.15</v>
      </c>
      <c r="L140" t="inlineStr">
        <is>
          <t>documents</t>
        </is>
      </c>
      <c r="M140" s="21" t="inlineStr">
        <is>
          <t>4424228-AS-104506</t>
        </is>
      </c>
      <c r="N140" t="inlineStr">
        <is>
          <t>https://drive.google.com/file/d/1LqL2t7rY1OSsB7NCrcuMHBW6xlXfGvbZ/view?usp=drivesdk</t>
        </is>
      </c>
    </row>
    <row r="141" ht="12" customHeight="1">
      <c r="A141" t="inlineStr">
        <is>
          <t>202604</t>
        </is>
      </c>
      <c r="B141" t="inlineStr">
        <is>
          <t>LTD</t>
        </is>
      </c>
      <c r="C141" t="inlineStr">
        <is>
          <t>cogs</t>
        </is>
      </c>
      <c r="D141" t="inlineStr">
        <is>
          <t>manufacturing</t>
        </is>
      </c>
      <c r="E141" t="inlineStr">
        <is>
          <t>JONDO</t>
        </is>
      </c>
      <c r="F141" t="inlineStr">
        <is>
          <t>invoice</t>
        </is>
      </c>
      <c r="G141" s="4" t="n">
        <v>36.41</v>
      </c>
      <c r="H141" t="inlineStr">
        <is>
          <t>USD</t>
        </is>
      </c>
      <c r="I141" t="inlineStr">
        <is>
          <t>GBP</t>
        </is>
      </c>
      <c r="J141" s="20" t="n">
        <v>0.74025808</v>
      </c>
      <c r="K141" s="4" t="n">
        <v>26.95</v>
      </c>
      <c r="L141" t="inlineStr">
        <is>
          <t>documents</t>
        </is>
      </c>
      <c r="M141" s="21" t="inlineStr">
        <is>
          <t>4425394-AS-104634</t>
        </is>
      </c>
      <c r="N141" t="inlineStr">
        <is>
          <t>https://drive.google.com/file/d/1iy1QIYbN8CVwvaf4sVVnKYTfqal90omc/view?usp=drivesdk</t>
        </is>
      </c>
    </row>
    <row r="142" ht="12" customHeight="1">
      <c r="A142" t="inlineStr">
        <is>
          <t>202604</t>
        </is>
      </c>
      <c r="B142" t="inlineStr">
        <is>
          <t>LTD</t>
        </is>
      </c>
      <c r="C142" t="inlineStr">
        <is>
          <t>cogs</t>
        </is>
      </c>
      <c r="D142" t="inlineStr">
        <is>
          <t>manufacturing</t>
        </is>
      </c>
      <c r="E142" t="inlineStr">
        <is>
          <t>JONDO</t>
        </is>
      </c>
      <c r="F142" t="inlineStr">
        <is>
          <t>invoice</t>
        </is>
      </c>
      <c r="G142" s="4" t="n">
        <v>71.59999999999999</v>
      </c>
      <c r="H142" t="inlineStr">
        <is>
          <t>USD</t>
        </is>
      </c>
      <c r="I142" t="inlineStr">
        <is>
          <t>GBP</t>
        </is>
      </c>
      <c r="J142" s="20" t="n">
        <v>0.74025808</v>
      </c>
      <c r="K142" s="4" t="n">
        <v>53</v>
      </c>
      <c r="L142" t="inlineStr">
        <is>
          <t>documents</t>
        </is>
      </c>
      <c r="M142" s="21" t="inlineStr">
        <is>
          <t>4425395-AS-104660</t>
        </is>
      </c>
      <c r="N142" t="inlineStr">
        <is>
          <t>https://drive.google.com/file/d/1bTwPI4Y4TMlThO7-r3MuMpLdmHnV53Vu/view?usp=drivesdk</t>
        </is>
      </c>
    </row>
    <row r="143" ht="12" customHeight="1">
      <c r="A143" t="inlineStr">
        <is>
          <t>202604</t>
        </is>
      </c>
      <c r="B143" t="inlineStr">
        <is>
          <t>LTD</t>
        </is>
      </c>
      <c r="C143" t="inlineStr">
        <is>
          <t>cogs</t>
        </is>
      </c>
      <c r="D143" t="inlineStr">
        <is>
          <t>manufacturing</t>
        </is>
      </c>
      <c r="E143" t="inlineStr">
        <is>
          <t>JONDO</t>
        </is>
      </c>
      <c r="F143" t="inlineStr">
        <is>
          <t>invoice</t>
        </is>
      </c>
      <c r="G143" s="4" t="n">
        <v>20.5</v>
      </c>
      <c r="H143" t="inlineStr">
        <is>
          <t>USD</t>
        </is>
      </c>
      <c r="I143" t="inlineStr">
        <is>
          <t>GBP</t>
        </is>
      </c>
      <c r="J143" s="20" t="n">
        <v>0.74025808</v>
      </c>
      <c r="K143" s="4" t="n">
        <v>15.18</v>
      </c>
      <c r="L143" t="inlineStr">
        <is>
          <t>documents</t>
        </is>
      </c>
      <c r="M143" s="21" t="inlineStr">
        <is>
          <t>4425396-AS-104671</t>
        </is>
      </c>
      <c r="N143" t="inlineStr">
        <is>
          <t>https://drive.google.com/file/d/1qUP1EnJ4R63-G1eCPvX4rn6e1kIfUCwp/view?usp=drivesdk</t>
        </is>
      </c>
    </row>
    <row r="144" ht="12" customHeight="1">
      <c r="A144" t="inlineStr">
        <is>
          <t>202604</t>
        </is>
      </c>
      <c r="B144" t="inlineStr">
        <is>
          <t>LTD</t>
        </is>
      </c>
      <c r="C144" t="inlineStr">
        <is>
          <t>cogs</t>
        </is>
      </c>
      <c r="D144" t="inlineStr">
        <is>
          <t>manufacturing</t>
        </is>
      </c>
      <c r="E144" t="inlineStr">
        <is>
          <t>JONDO</t>
        </is>
      </c>
      <c r="F144" t="inlineStr">
        <is>
          <t>invoice</t>
        </is>
      </c>
      <c r="G144" s="4" t="n">
        <v>28.4</v>
      </c>
      <c r="H144" t="inlineStr">
        <is>
          <t>USD</t>
        </is>
      </c>
      <c r="I144" t="inlineStr">
        <is>
          <t>GBP</t>
        </is>
      </c>
      <c r="J144" s="20" t="n">
        <v>0.74025808</v>
      </c>
      <c r="K144" s="4" t="n">
        <v>21.02</v>
      </c>
      <c r="L144" t="inlineStr">
        <is>
          <t>documents</t>
        </is>
      </c>
      <c r="M144" s="21" t="inlineStr">
        <is>
          <t>4425397-AS-104674</t>
        </is>
      </c>
      <c r="N144" t="inlineStr">
        <is>
          <t>https://drive.google.com/file/d/1Qro-GExvh-sobLZkOtLhjxVoHO9LYZUQ/view?usp=drivesdk</t>
        </is>
      </c>
    </row>
    <row r="145" ht="12" customHeight="1">
      <c r="A145" t="inlineStr">
        <is>
          <t>202604</t>
        </is>
      </c>
      <c r="B145" t="inlineStr">
        <is>
          <t>LTD</t>
        </is>
      </c>
      <c r="C145" t="inlineStr">
        <is>
          <t>cogs</t>
        </is>
      </c>
      <c r="D145" t="inlineStr">
        <is>
          <t>manufacturing</t>
        </is>
      </c>
      <c r="E145" t="inlineStr">
        <is>
          <t>JONDO</t>
        </is>
      </c>
      <c r="F145" t="inlineStr">
        <is>
          <t>invoice</t>
        </is>
      </c>
      <c r="G145" s="4" t="n">
        <v>36.41</v>
      </c>
      <c r="H145" t="inlineStr">
        <is>
          <t>USD</t>
        </is>
      </c>
      <c r="I145" t="inlineStr">
        <is>
          <t>GBP</t>
        </is>
      </c>
      <c r="J145" s="20" t="n">
        <v>0.74025808</v>
      </c>
      <c r="K145" s="4" t="n">
        <v>26.95</v>
      </c>
      <c r="L145" t="inlineStr">
        <is>
          <t>documents</t>
        </is>
      </c>
      <c r="M145" s="21" t="inlineStr">
        <is>
          <t>4425398-AS-104562</t>
        </is>
      </c>
      <c r="N145" t="inlineStr">
        <is>
          <t>https://drive.google.com/file/d/1WsQjo6NurwEc5_HK30rS8bkc_-F0HxR6/view?usp=drivesdk</t>
        </is>
      </c>
    </row>
    <row r="146" ht="12" customHeight="1">
      <c r="A146" t="inlineStr">
        <is>
          <t>202604</t>
        </is>
      </c>
      <c r="B146" t="inlineStr">
        <is>
          <t>LTD</t>
        </is>
      </c>
      <c r="C146" t="inlineStr">
        <is>
          <t>cogs</t>
        </is>
      </c>
      <c r="D146" t="inlineStr">
        <is>
          <t>manufacturing</t>
        </is>
      </c>
      <c r="E146" t="inlineStr">
        <is>
          <t>JONDO</t>
        </is>
      </c>
      <c r="F146" t="inlineStr">
        <is>
          <t>invoice</t>
        </is>
      </c>
      <c r="G146" s="4" t="n">
        <v>42.06</v>
      </c>
      <c r="H146" t="inlineStr">
        <is>
          <t>USD</t>
        </is>
      </c>
      <c r="I146" t="inlineStr">
        <is>
          <t>GBP</t>
        </is>
      </c>
      <c r="J146" s="20" t="n">
        <v>0.74025808</v>
      </c>
      <c r="K146" s="4" t="n">
        <v>31.14</v>
      </c>
      <c r="L146" t="inlineStr">
        <is>
          <t>documents</t>
        </is>
      </c>
      <c r="M146" s="21" t="inlineStr">
        <is>
          <t>4428112-AS-104843</t>
        </is>
      </c>
      <c r="N146" t="inlineStr">
        <is>
          <t>https://drive.google.com/file/d/1xAwFdC4lIER-SIf67pozkdgI0S4l8ivd/view?usp=drivesdk</t>
        </is>
      </c>
    </row>
    <row r="147" ht="12" customHeight="1">
      <c r="A147" t="inlineStr">
        <is>
          <t>202604</t>
        </is>
      </c>
      <c r="B147" t="inlineStr">
        <is>
          <t>LTD</t>
        </is>
      </c>
      <c r="C147" t="inlineStr">
        <is>
          <t>cogs</t>
        </is>
      </c>
      <c r="D147" t="inlineStr">
        <is>
          <t>manufacturing</t>
        </is>
      </c>
      <c r="E147" t="inlineStr">
        <is>
          <t>JONDO</t>
        </is>
      </c>
      <c r="F147" t="inlineStr">
        <is>
          <t>invoice</t>
        </is>
      </c>
      <c r="G147" s="4" t="n">
        <v>20.5</v>
      </c>
      <c r="H147" t="inlineStr">
        <is>
          <t>USD</t>
        </is>
      </c>
      <c r="I147" t="inlineStr">
        <is>
          <t>GBP</t>
        </is>
      </c>
      <c r="J147" s="20" t="n">
        <v>0.74025808</v>
      </c>
      <c r="K147" s="4" t="n">
        <v>15.18</v>
      </c>
      <c r="L147" t="inlineStr">
        <is>
          <t>documents</t>
        </is>
      </c>
      <c r="M147" s="21" t="inlineStr">
        <is>
          <t>4428113-AS-104853</t>
        </is>
      </c>
      <c r="N147" t="inlineStr">
        <is>
          <t>https://drive.google.com/file/d/1yDuWgnpeJ8oRMW1_sHFb4ZcgZ8QFKIX8/view?usp=drivesdk</t>
        </is>
      </c>
    </row>
    <row r="148" ht="12" customHeight="1">
      <c r="A148" t="inlineStr">
        <is>
          <t>202604</t>
        </is>
      </c>
      <c r="B148" t="inlineStr">
        <is>
          <t>LTD</t>
        </is>
      </c>
      <c r="C148" t="inlineStr">
        <is>
          <t>cogs</t>
        </is>
      </c>
      <c r="D148" t="inlineStr">
        <is>
          <t>manufacturing</t>
        </is>
      </c>
      <c r="E148" t="inlineStr">
        <is>
          <t>JONDO</t>
        </is>
      </c>
      <c r="F148" t="inlineStr">
        <is>
          <t>invoice</t>
        </is>
      </c>
      <c r="G148" s="4" t="n">
        <v>71.59999999999999</v>
      </c>
      <c r="H148" t="inlineStr">
        <is>
          <t>USD</t>
        </is>
      </c>
      <c r="I148" t="inlineStr">
        <is>
          <t>GBP</t>
        </is>
      </c>
      <c r="J148" s="20" t="n">
        <v>0.74025808</v>
      </c>
      <c r="K148" s="4" t="n">
        <v>53</v>
      </c>
      <c r="L148" t="inlineStr">
        <is>
          <t>documents</t>
        </is>
      </c>
      <c r="M148" s="21" t="inlineStr">
        <is>
          <t>4428114-AS-104660</t>
        </is>
      </c>
      <c r="N148" t="inlineStr">
        <is>
          <t>https://drive.google.com/file/d/1Oci6PqfYYAeoCoi0ZmB9p8REpmSqehz6/view?usp=drivesdk</t>
        </is>
      </c>
    </row>
    <row r="149" ht="12" customHeight="1">
      <c r="A149" t="inlineStr">
        <is>
          <t>202604</t>
        </is>
      </c>
      <c r="B149" t="inlineStr">
        <is>
          <t>LTD</t>
        </is>
      </c>
      <c r="C149" t="inlineStr">
        <is>
          <t>cogs</t>
        </is>
      </c>
      <c r="D149" t="inlineStr">
        <is>
          <t>manufacturing</t>
        </is>
      </c>
      <c r="E149" t="inlineStr">
        <is>
          <t>JONDO</t>
        </is>
      </c>
      <c r="F149" t="inlineStr">
        <is>
          <t>invoice</t>
        </is>
      </c>
      <c r="G149" s="4" t="n">
        <v>20.5</v>
      </c>
      <c r="H149" t="inlineStr">
        <is>
          <t>USD</t>
        </is>
      </c>
      <c r="I149" t="inlineStr">
        <is>
          <t>GBP</t>
        </is>
      </c>
      <c r="J149" s="20" t="n">
        <v>0.74025808</v>
      </c>
      <c r="K149" s="4" t="n">
        <v>15.18</v>
      </c>
      <c r="L149" t="inlineStr">
        <is>
          <t>documents</t>
        </is>
      </c>
      <c r="M149" s="21" t="inlineStr">
        <is>
          <t>4428115-AS-104671</t>
        </is>
      </c>
      <c r="N149" t="inlineStr">
        <is>
          <t>https://drive.google.com/file/d/1yq1r42DZehi6pokccH5MNMX1nbiU_8ku/view?usp=drivesdk</t>
        </is>
      </c>
    </row>
    <row r="150" ht="12" customHeight="1">
      <c r="A150" t="inlineStr">
        <is>
          <t>202604</t>
        </is>
      </c>
      <c r="B150" t="inlineStr">
        <is>
          <t>LTD</t>
        </is>
      </c>
      <c r="C150" t="inlineStr">
        <is>
          <t>cogs</t>
        </is>
      </c>
      <c r="D150" t="inlineStr">
        <is>
          <t>manufacturing</t>
        </is>
      </c>
      <c r="E150" t="inlineStr">
        <is>
          <t>JONDO</t>
        </is>
      </c>
      <c r="F150" t="inlineStr">
        <is>
          <t>invoice</t>
        </is>
      </c>
      <c r="G150" s="4" t="n">
        <v>28.4</v>
      </c>
      <c r="H150" t="inlineStr">
        <is>
          <t>USD</t>
        </is>
      </c>
      <c r="I150" t="inlineStr">
        <is>
          <t>GBP</t>
        </is>
      </c>
      <c r="J150" s="20" t="n">
        <v>0.74025808</v>
      </c>
      <c r="K150" s="4" t="n">
        <v>21.02</v>
      </c>
      <c r="L150" t="inlineStr">
        <is>
          <t>documents</t>
        </is>
      </c>
      <c r="M150" s="21" t="inlineStr">
        <is>
          <t>4428116-AS-104674</t>
        </is>
      </c>
      <c r="N150" t="inlineStr">
        <is>
          <t>https://drive.google.com/file/d/1D7YLUsUiNAxt8LDrrTrgToIPMddc0c5b/view?usp=drivesdk</t>
        </is>
      </c>
    </row>
    <row r="151" ht="12" customHeight="1">
      <c r="A151" t="inlineStr">
        <is>
          <t>202604</t>
        </is>
      </c>
      <c r="B151" t="inlineStr">
        <is>
          <t>LTD</t>
        </is>
      </c>
      <c r="C151" t="inlineStr">
        <is>
          <t>cogs</t>
        </is>
      </c>
      <c r="D151" t="inlineStr">
        <is>
          <t>manufacturing</t>
        </is>
      </c>
      <c r="E151" t="inlineStr">
        <is>
          <t>JONDO</t>
        </is>
      </c>
      <c r="F151" t="inlineStr">
        <is>
          <t>invoice</t>
        </is>
      </c>
      <c r="G151" s="4" t="n">
        <v>42.06</v>
      </c>
      <c r="H151" t="inlineStr">
        <is>
          <t>USD</t>
        </is>
      </c>
      <c r="I151" t="inlineStr">
        <is>
          <t>GBP</t>
        </is>
      </c>
      <c r="J151" s="20" t="n">
        <v>0.74025808</v>
      </c>
      <c r="K151" s="4" t="n">
        <v>31.14</v>
      </c>
      <c r="L151" t="inlineStr">
        <is>
          <t>documents</t>
        </is>
      </c>
      <c r="M151" s="21" t="inlineStr">
        <is>
          <t>4431847-AS-105119</t>
        </is>
      </c>
      <c r="N151" t="inlineStr">
        <is>
          <t>https://drive.google.com/file/d/1h1PSl-x4QHnhSiQmQ6FIoBHCZQI1uAMQ/view?usp=drivesdk</t>
        </is>
      </c>
    </row>
    <row r="152" ht="12" customHeight="1">
      <c r="A152" t="inlineStr">
        <is>
          <t>202604</t>
        </is>
      </c>
      <c r="B152" t="inlineStr">
        <is>
          <t>LTD</t>
        </is>
      </c>
      <c r="C152" t="inlineStr">
        <is>
          <t>cogs</t>
        </is>
      </c>
      <c r="D152" t="inlineStr">
        <is>
          <t>manufacturing</t>
        </is>
      </c>
      <c r="E152" t="inlineStr">
        <is>
          <t>JONDO</t>
        </is>
      </c>
      <c r="F152" t="inlineStr">
        <is>
          <t>invoice</t>
        </is>
      </c>
      <c r="G152" s="4" t="n">
        <v>50.72</v>
      </c>
      <c r="H152" t="inlineStr">
        <is>
          <t>USD</t>
        </is>
      </c>
      <c r="I152" t="inlineStr">
        <is>
          <t>GBP</t>
        </is>
      </c>
      <c r="J152" s="20" t="n">
        <v>0.74025808</v>
      </c>
      <c r="K152" s="4" t="n">
        <v>37.55</v>
      </c>
      <c r="L152" t="inlineStr">
        <is>
          <t>documents</t>
        </is>
      </c>
      <c r="M152" s="21" t="inlineStr">
        <is>
          <t>4431848-AS-105142</t>
        </is>
      </c>
      <c r="N152" t="inlineStr">
        <is>
          <t>https://drive.google.com/file/d/1g0WYupdWElIOIfSmaCIut_tXmR21TLwk/view?usp=drivesdk</t>
        </is>
      </c>
    </row>
    <row r="153" ht="12" customHeight="1">
      <c r="A153" t="inlineStr">
        <is>
          <t>202604</t>
        </is>
      </c>
      <c r="B153" t="inlineStr">
        <is>
          <t>LTD</t>
        </is>
      </c>
      <c r="C153" t="inlineStr">
        <is>
          <t>cogs</t>
        </is>
      </c>
      <c r="D153" t="inlineStr">
        <is>
          <t>manufacturing</t>
        </is>
      </c>
      <c r="E153" t="inlineStr">
        <is>
          <t>JONDO</t>
        </is>
      </c>
      <c r="F153" t="inlineStr">
        <is>
          <t>invoice</t>
        </is>
      </c>
      <c r="G153" s="4" t="n">
        <v>60.95</v>
      </c>
      <c r="H153" t="inlineStr">
        <is>
          <t>USD</t>
        </is>
      </c>
      <c r="I153" t="inlineStr">
        <is>
          <t>GBP</t>
        </is>
      </c>
      <c r="J153" s="20" t="n">
        <v>0.74025808</v>
      </c>
      <c r="K153" s="4" t="n">
        <v>45.12</v>
      </c>
      <c r="L153" t="inlineStr">
        <is>
          <t>documents</t>
        </is>
      </c>
      <c r="M153" s="21" t="inlineStr">
        <is>
          <t>4431849-AS-104964</t>
        </is>
      </c>
      <c r="N153" t="inlineStr">
        <is>
          <t>https://drive.google.com/file/d/1KJ3tKv0Iyaf1OZcLQWT7j-adn1gQq5eI/view?usp=drivesdk</t>
        </is>
      </c>
    </row>
    <row r="154" ht="12" customHeight="1">
      <c r="A154" t="inlineStr">
        <is>
          <t>202604</t>
        </is>
      </c>
      <c r="B154" t="inlineStr">
        <is>
          <t>LTD</t>
        </is>
      </c>
      <c r="C154" t="inlineStr">
        <is>
          <t>cogs</t>
        </is>
      </c>
      <c r="D154" t="inlineStr">
        <is>
          <t>manufacturing</t>
        </is>
      </c>
      <c r="E154" t="inlineStr">
        <is>
          <t>JONDO</t>
        </is>
      </c>
      <c r="F154" t="inlineStr">
        <is>
          <t>invoice</t>
        </is>
      </c>
      <c r="G154" s="4" t="n">
        <v>56.22</v>
      </c>
      <c r="H154" t="inlineStr">
        <is>
          <t>USD</t>
        </is>
      </c>
      <c r="I154" t="inlineStr">
        <is>
          <t>GBP</t>
        </is>
      </c>
      <c r="J154" s="20" t="n">
        <v>0.74025808</v>
      </c>
      <c r="K154" s="4" t="n">
        <v>41.62</v>
      </c>
      <c r="L154" t="inlineStr">
        <is>
          <t>documents</t>
        </is>
      </c>
      <c r="M154" s="21" t="inlineStr">
        <is>
          <t>4431850-AS-104979</t>
        </is>
      </c>
      <c r="N154" t="inlineStr">
        <is>
          <t>https://drive.google.com/file/d/169ZVf-dpC_CUtd7qg_Dzi685PYhSqAbD/view?usp=drivesdk</t>
        </is>
      </c>
    </row>
    <row r="155" ht="12" customHeight="1">
      <c r="A155" t="inlineStr">
        <is>
          <t>202604</t>
        </is>
      </c>
      <c r="B155" t="inlineStr">
        <is>
          <t>LTD</t>
        </is>
      </c>
      <c r="C155" t="inlineStr">
        <is>
          <t>cogs</t>
        </is>
      </c>
      <c r="D155" t="inlineStr">
        <is>
          <t>manufacturing</t>
        </is>
      </c>
      <c r="E155" t="inlineStr">
        <is>
          <t>JONDO</t>
        </is>
      </c>
      <c r="F155" t="inlineStr">
        <is>
          <t>invoice</t>
        </is>
      </c>
      <c r="G155" s="4" t="n">
        <v>63.91</v>
      </c>
      <c r="H155" t="inlineStr">
        <is>
          <t>USD</t>
        </is>
      </c>
      <c r="I155" t="inlineStr">
        <is>
          <t>GBP</t>
        </is>
      </c>
      <c r="J155" s="20" t="n">
        <v>0.74025808</v>
      </c>
      <c r="K155" s="4" t="n">
        <v>47.31</v>
      </c>
      <c r="L155" t="inlineStr">
        <is>
          <t>documents</t>
        </is>
      </c>
      <c r="M155" s="21" t="inlineStr">
        <is>
          <t>4431869-AS-104927</t>
        </is>
      </c>
      <c r="N155" t="inlineStr">
        <is>
          <t>https://drive.google.com/file/d/13Y4cSE_KL-yCIuYL3bnzfUAMlzk11tUl/view?usp=drivesdk</t>
        </is>
      </c>
    </row>
    <row r="156" ht="12" customHeight="1">
      <c r="A156" t="inlineStr">
        <is>
          <t>202604</t>
        </is>
      </c>
      <c r="B156" t="inlineStr">
        <is>
          <t>LTD</t>
        </is>
      </c>
      <c r="C156" t="inlineStr">
        <is>
          <t>cogs</t>
        </is>
      </c>
      <c r="D156" t="inlineStr">
        <is>
          <t>manufacturing</t>
        </is>
      </c>
      <c r="E156" t="inlineStr">
        <is>
          <t>JONDO</t>
        </is>
      </c>
      <c r="F156" t="inlineStr">
        <is>
          <t>invoice</t>
        </is>
      </c>
      <c r="G156" s="4" t="n">
        <v>24.54</v>
      </c>
      <c r="H156" t="inlineStr">
        <is>
          <t>USD</t>
        </is>
      </c>
      <c r="I156" t="inlineStr">
        <is>
          <t>GBP</t>
        </is>
      </c>
      <c r="J156" s="20" t="n">
        <v>0.74025808</v>
      </c>
      <c r="K156" s="4" t="n">
        <v>18.17</v>
      </c>
      <c r="L156" t="inlineStr">
        <is>
          <t>documents</t>
        </is>
      </c>
      <c r="M156" s="21" t="inlineStr">
        <is>
          <t>4433118-AS-105204</t>
        </is>
      </c>
      <c r="N156" t="inlineStr">
        <is>
          <t>https://drive.google.com/file/d/1C7XzZYWWmY0djaqPV9Q2gHmoTF-R6GMf/view?usp=drivesdk</t>
        </is>
      </c>
    </row>
    <row r="157" ht="12" customHeight="1">
      <c r="A157" t="inlineStr">
        <is>
          <t>202604</t>
        </is>
      </c>
      <c r="B157" t="inlineStr">
        <is>
          <t>LTD</t>
        </is>
      </c>
      <c r="C157" t="inlineStr">
        <is>
          <t>cogs</t>
        </is>
      </c>
      <c r="D157" t="inlineStr">
        <is>
          <t>manufacturing</t>
        </is>
      </c>
      <c r="E157" t="inlineStr">
        <is>
          <t>JONDO</t>
        </is>
      </c>
      <c r="F157" t="inlineStr">
        <is>
          <t>invoice</t>
        </is>
      </c>
      <c r="G157" s="4" t="n">
        <v>182.02</v>
      </c>
      <c r="H157" t="inlineStr">
        <is>
          <t>USD</t>
        </is>
      </c>
      <c r="I157" t="inlineStr">
        <is>
          <t>GBP</t>
        </is>
      </c>
      <c r="J157" s="20" t="n">
        <v>0.74025808</v>
      </c>
      <c r="K157" s="4" t="n">
        <v>134.74</v>
      </c>
      <c r="L157" t="inlineStr">
        <is>
          <t>documents</t>
        </is>
      </c>
      <c r="M157" s="21" t="inlineStr">
        <is>
          <t>4433119-AS-105096</t>
        </is>
      </c>
      <c r="N157" t="inlineStr">
        <is>
          <t>https://drive.google.com/file/d/1tFrZNAUxLSkAOnfoSVk1_MploSOGJUtT/view?usp=drivesdk</t>
        </is>
      </c>
    </row>
    <row r="158" ht="12" customHeight="1">
      <c r="A158" t="inlineStr">
        <is>
          <t>202604</t>
        </is>
      </c>
      <c r="B158" t="inlineStr">
        <is>
          <t>LTD</t>
        </is>
      </c>
      <c r="C158" t="inlineStr">
        <is>
          <t>cogs</t>
        </is>
      </c>
      <c r="D158" t="inlineStr">
        <is>
          <t>manufacturing</t>
        </is>
      </c>
      <c r="E158" t="inlineStr">
        <is>
          <t>JONDO</t>
        </is>
      </c>
      <c r="F158" t="inlineStr">
        <is>
          <t>invoice</t>
        </is>
      </c>
      <c r="G158" s="4" t="n">
        <v>44.06</v>
      </c>
      <c r="H158" t="inlineStr">
        <is>
          <t>USD</t>
        </is>
      </c>
      <c r="I158" t="inlineStr">
        <is>
          <t>GBP</t>
        </is>
      </c>
      <c r="J158" s="20" t="n">
        <v>0.74025808</v>
      </c>
      <c r="K158" s="4" t="n">
        <v>32.62</v>
      </c>
      <c r="L158" t="inlineStr">
        <is>
          <t>documents</t>
        </is>
      </c>
      <c r="M158" s="21" t="inlineStr">
        <is>
          <t>4434435-AS-105275</t>
        </is>
      </c>
      <c r="N158" t="inlineStr">
        <is>
          <t>https://drive.google.com/file/d/1NLh0WeYRBHLnwn_xjwNGjDdp1q-batQN/view?usp=drivesdk</t>
        </is>
      </c>
    </row>
    <row r="159" ht="12" customHeight="1">
      <c r="A159" t="inlineStr">
        <is>
          <t>202604</t>
        </is>
      </c>
      <c r="B159" t="inlineStr">
        <is>
          <t>LTD</t>
        </is>
      </c>
      <c r="C159" t="inlineStr">
        <is>
          <t>cogs</t>
        </is>
      </c>
      <c r="D159" t="inlineStr">
        <is>
          <t>manufacturing</t>
        </is>
      </c>
      <c r="E159" t="inlineStr">
        <is>
          <t>JONDO</t>
        </is>
      </c>
      <c r="F159" t="inlineStr">
        <is>
          <t>invoice</t>
        </is>
      </c>
      <c r="G159" s="4" t="n">
        <v>36.41</v>
      </c>
      <c r="H159" t="inlineStr">
        <is>
          <t>USD</t>
        </is>
      </c>
      <c r="I159" t="inlineStr">
        <is>
          <t>GBP</t>
        </is>
      </c>
      <c r="J159" s="20" t="n">
        <v>0.74025808</v>
      </c>
      <c r="K159" s="4" t="n">
        <v>26.95</v>
      </c>
      <c r="L159" t="inlineStr">
        <is>
          <t>documents</t>
        </is>
      </c>
      <c r="M159" s="21" t="inlineStr">
        <is>
          <t>4434436-AS-105318</t>
        </is>
      </c>
      <c r="N159" t="inlineStr">
        <is>
          <t>https://drive.google.com/file/d/1QL67UWWjImuV8140sgEa2KcrFfeq07GE/view?usp=drivesdk</t>
        </is>
      </c>
    </row>
    <row r="160" ht="12" customHeight="1">
      <c r="A160" t="inlineStr">
        <is>
          <t>202604</t>
        </is>
      </c>
      <c r="B160" t="inlineStr">
        <is>
          <t>LTD</t>
        </is>
      </c>
      <c r="C160" t="inlineStr">
        <is>
          <t>cogs</t>
        </is>
      </c>
      <c r="D160" t="inlineStr">
        <is>
          <t>manufacturing</t>
        </is>
      </c>
      <c r="E160" t="inlineStr">
        <is>
          <t>JONDO</t>
        </is>
      </c>
      <c r="F160" t="inlineStr">
        <is>
          <t>invoice</t>
        </is>
      </c>
      <c r="G160" s="4" t="n">
        <v>36.41</v>
      </c>
      <c r="H160" t="inlineStr">
        <is>
          <t>USD</t>
        </is>
      </c>
      <c r="I160" t="inlineStr">
        <is>
          <t>GBP</t>
        </is>
      </c>
      <c r="J160" s="20" t="n">
        <v>0.74025808</v>
      </c>
      <c r="K160" s="4" t="n">
        <v>26.95</v>
      </c>
      <c r="L160" t="inlineStr">
        <is>
          <t>documents</t>
        </is>
      </c>
      <c r="M160" s="21" t="inlineStr">
        <is>
          <t>4434437-AS-105292</t>
        </is>
      </c>
      <c r="N160" t="inlineStr">
        <is>
          <t>https://drive.google.com/file/d/1utg_L_ZeiE7s_UEHj0ZFAui1E3IrRfcJ/view?usp=drivesdk</t>
        </is>
      </c>
    </row>
    <row r="161" ht="12" customHeight="1">
      <c r="A161" t="inlineStr">
        <is>
          <t>202604</t>
        </is>
      </c>
      <c r="B161" t="inlineStr">
        <is>
          <t>LTD</t>
        </is>
      </c>
      <c r="C161" t="inlineStr">
        <is>
          <t>cogs</t>
        </is>
      </c>
      <c r="D161" t="inlineStr">
        <is>
          <t>manufacturing</t>
        </is>
      </c>
      <c r="E161" t="inlineStr">
        <is>
          <t>JONDO</t>
        </is>
      </c>
      <c r="F161" t="inlineStr">
        <is>
          <t>invoice</t>
        </is>
      </c>
      <c r="G161" s="4" t="n">
        <v>109.23</v>
      </c>
      <c r="H161" t="inlineStr">
        <is>
          <t>USD</t>
        </is>
      </c>
      <c r="I161" t="inlineStr">
        <is>
          <t>GBP</t>
        </is>
      </c>
      <c r="J161" s="20" t="n">
        <v>0.74025808</v>
      </c>
      <c r="K161" s="4" t="n">
        <v>80.86</v>
      </c>
      <c r="L161" t="inlineStr">
        <is>
          <t>documents</t>
        </is>
      </c>
      <c r="M161" s="21" t="inlineStr">
        <is>
          <t>4436051-AS-105384</t>
        </is>
      </c>
      <c r="N161" t="inlineStr">
        <is>
          <t>https://drive.google.com/file/d/1UvJ5HKlfDpJqjHICg046eOn-zdlV6kPG/view?usp=drivesdk</t>
        </is>
      </c>
    </row>
    <row r="162" ht="12" customHeight="1">
      <c r="A162" t="inlineStr">
        <is>
          <t>202604</t>
        </is>
      </c>
      <c r="B162" t="inlineStr">
        <is>
          <t>LTD</t>
        </is>
      </c>
      <c r="C162" t="inlineStr">
        <is>
          <t>cogs</t>
        </is>
      </c>
      <c r="D162" t="inlineStr">
        <is>
          <t>manufacturing</t>
        </is>
      </c>
      <c r="E162" t="inlineStr">
        <is>
          <t>JONDO</t>
        </is>
      </c>
      <c r="F162" t="inlineStr">
        <is>
          <t>invoice</t>
        </is>
      </c>
      <c r="G162" s="4" t="n">
        <v>93.04000000000001</v>
      </c>
      <c r="H162" t="inlineStr">
        <is>
          <t>USD</t>
        </is>
      </c>
      <c r="I162" t="inlineStr">
        <is>
          <t>GBP</t>
        </is>
      </c>
      <c r="J162" s="20" t="n">
        <v>0.74025808</v>
      </c>
      <c r="K162" s="4" t="n">
        <v>68.87</v>
      </c>
      <c r="L162" t="inlineStr">
        <is>
          <t>documents</t>
        </is>
      </c>
      <c r="M162" s="21" t="inlineStr">
        <is>
          <t>4436063-AS-105360</t>
        </is>
      </c>
      <c r="N162" t="inlineStr">
        <is>
          <t>https://drive.google.com/file/d/14ZEMvGVMO53FSCQ3jC7EYEtdREL52G8I/view?usp=drivesdk</t>
        </is>
      </c>
    </row>
    <row r="163" ht="12" customHeight="1">
      <c r="A163" t="inlineStr">
        <is>
          <t>202604</t>
        </is>
      </c>
      <c r="B163" t="inlineStr">
        <is>
          <t>LTD</t>
        </is>
      </c>
      <c r="C163" t="inlineStr">
        <is>
          <t>cogs</t>
        </is>
      </c>
      <c r="D163" t="inlineStr">
        <is>
          <t>manufacturing</t>
        </is>
      </c>
      <c r="E163" t="inlineStr">
        <is>
          <t>PROCO</t>
        </is>
      </c>
      <c r="F163" t="inlineStr">
        <is>
          <t>manufacturing</t>
        </is>
      </c>
      <c r="G163" s="4" t="n">
        <v>5638.19</v>
      </c>
      <c r="H163" t="inlineStr">
        <is>
          <t>GBP</t>
        </is>
      </c>
      <c r="I163" t="inlineStr">
        <is>
          <t>GBP</t>
        </is>
      </c>
      <c r="J163" s="20" t="n">
        <v>1</v>
      </c>
      <c r="K163" s="4" t="n">
        <v>5638.19</v>
      </c>
      <c r="L163" t="inlineStr">
        <is>
          <t>documents</t>
        </is>
      </c>
      <c r="M163" s="21" t="inlineStr">
        <is>
          <t>6034849</t>
        </is>
      </c>
      <c r="N163" t="inlineStr">
        <is>
          <t>https://drive.google.com/file/d/1WVh_8GxKG2uyeeLveiQ-lFGyK8mslSoR/view?usp=drivesdk</t>
        </is>
      </c>
    </row>
    <row r="164" ht="12" customHeight="1">
      <c r="A164" t="inlineStr">
        <is>
          <t>202604</t>
        </is>
      </c>
      <c r="B164" t="inlineStr">
        <is>
          <t>LTD</t>
        </is>
      </c>
      <c r="C164" t="inlineStr">
        <is>
          <t>cogs</t>
        </is>
      </c>
      <c r="D164" t="inlineStr">
        <is>
          <t>logistics</t>
        </is>
      </c>
      <c r="E164" t="inlineStr">
        <is>
          <t>PROCO</t>
        </is>
      </c>
      <c r="F164" t="inlineStr">
        <is>
          <t>logistics</t>
        </is>
      </c>
      <c r="G164" s="4" t="n">
        <v>1911.85</v>
      </c>
      <c r="H164" t="inlineStr">
        <is>
          <t>GBP</t>
        </is>
      </c>
      <c r="I164" t="inlineStr">
        <is>
          <t>GBP</t>
        </is>
      </c>
      <c r="J164" s="20" t="n">
        <v>1</v>
      </c>
      <c r="K164" s="4" t="n">
        <v>1911.85</v>
      </c>
      <c r="L164" t="inlineStr">
        <is>
          <t>documents</t>
        </is>
      </c>
      <c r="M164" s="21" t="inlineStr">
        <is>
          <t>6034849</t>
        </is>
      </c>
      <c r="N164" t="inlineStr">
        <is>
          <t>https://drive.google.com/file/d/1WVh_8GxKG2uyeeLveiQ-lFGyK8mslSoR/view?usp=drivesdk</t>
        </is>
      </c>
    </row>
    <row r="165" ht="12" customHeight="1">
      <c r="A165" t="inlineStr">
        <is>
          <t>202604</t>
        </is>
      </c>
      <c r="B165" t="inlineStr">
        <is>
          <t>LTD</t>
        </is>
      </c>
      <c r="C165" t="inlineStr">
        <is>
          <t>opex</t>
        </is>
      </c>
      <c r="D165" t="inlineStr">
        <is>
          <t>technology</t>
        </is>
      </c>
      <c r="E165" t="inlineStr">
        <is>
          <t>REVER</t>
        </is>
      </c>
      <c r="F165" t="inlineStr">
        <is>
          <t>invoice</t>
        </is>
      </c>
      <c r="G165" s="4" t="n">
        <v>81.37</v>
      </c>
      <c r="H165" t="inlineStr">
        <is>
          <t>EUR</t>
        </is>
      </c>
      <c r="I165" t="inlineStr">
        <is>
          <t>GBP</t>
        </is>
      </c>
      <c r="J165" s="20" t="n">
        <v>0.86625</v>
      </c>
      <c r="K165" s="4" t="n">
        <v>70.48999999999999</v>
      </c>
      <c r="L165" t="inlineStr">
        <is>
          <t>documents</t>
        </is>
      </c>
      <c r="M165" s="21" t="inlineStr">
        <is>
          <t>RVR-19508</t>
        </is>
      </c>
      <c r="N165" t="inlineStr">
        <is>
          <t>https://drive.google.com/file/d/1Um-H-3y0SB4E4R3HEavD-bI4lXFW8y2X/view?usp=drivesdk</t>
        </is>
      </c>
    </row>
    <row r="166" ht="12" customHeight="1">
      <c r="A166" t="inlineStr">
        <is>
          <t>202604</t>
        </is>
      </c>
      <c r="B166" t="inlineStr">
        <is>
          <t>LTD</t>
        </is>
      </c>
      <c r="C166" t="inlineStr">
        <is>
          <t>opex</t>
        </is>
      </c>
      <c r="D166" t="inlineStr">
        <is>
          <t>shared_services</t>
        </is>
      </c>
      <c r="E166" t="inlineStr">
        <is>
          <t>SHAREDSERVICESSL</t>
        </is>
      </c>
      <c r="F166" t="inlineStr">
        <is>
          <t>invoice</t>
        </is>
      </c>
      <c r="G166" s="4" t="n">
        <v>12924.89</v>
      </c>
      <c r="H166" t="inlineStr">
        <is>
          <t>EUR</t>
        </is>
      </c>
      <c r="I166" t="inlineStr">
        <is>
          <t>GBP</t>
        </is>
      </c>
      <c r="J166" s="20" t="n">
        <v>0.86625</v>
      </c>
      <c r="K166" s="4" t="n">
        <v>11196.19</v>
      </c>
      <c r="L166" t="inlineStr">
        <is>
          <t>documents</t>
        </is>
      </c>
      <c r="M166" s="21" t="inlineStr">
        <is>
          <t>2026-0023</t>
        </is>
      </c>
      <c r="N166" t="inlineStr">
        <is>
          <t>https://drive.google.com/file/d/1kG4iTL7rVDpQrcSDFJA0JzVE0hNuiLKc/view?usp=drivesdk</t>
        </is>
      </c>
    </row>
    <row r="167" ht="12" customHeight="1">
      <c r="A167" t="inlineStr">
        <is>
          <t>202604</t>
        </is>
      </c>
      <c r="B167" t="inlineStr">
        <is>
          <t>LTD</t>
        </is>
      </c>
      <c r="C167" t="inlineStr">
        <is>
          <t>opex</t>
        </is>
      </c>
      <c r="D167" t="inlineStr">
        <is>
          <t>administration</t>
        </is>
      </c>
      <c r="E167" t="inlineStr">
        <is>
          <t>YOURACCOUNTSTAXES</t>
        </is>
      </c>
      <c r="F167" t="inlineStr">
        <is>
          <t>invoice</t>
        </is>
      </c>
      <c r="G167" s="4" t="n">
        <v>26.5</v>
      </c>
      <c r="H167" t="inlineStr">
        <is>
          <t>GBP</t>
        </is>
      </c>
      <c r="I167" t="inlineStr">
        <is>
          <t>GBP</t>
        </is>
      </c>
      <c r="J167" s="20" t="n">
        <v>1</v>
      </c>
      <c r="K167" s="4" t="n">
        <v>26.5</v>
      </c>
      <c r="L167" t="inlineStr">
        <is>
          <t>documents</t>
        </is>
      </c>
      <c r="M167" s="21" t="inlineStr">
        <is>
          <t>INV-0679_PERIODIFICADA_4_12</t>
        </is>
      </c>
      <c r="N167" t="inlineStr">
        <is>
          <t>https://drive.google.com/file/d/1gDlq6Zum-eIMUjbaI329tWP9UutsRoFn/view?usp=drivesdk</t>
        </is>
      </c>
    </row>
    <row r="168" ht="12" customHeight="1">
      <c r="A168" t="inlineStr">
        <is>
          <t>202604</t>
        </is>
      </c>
      <c r="B168" t="inlineStr">
        <is>
          <t>LTD</t>
        </is>
      </c>
      <c r="C168" t="inlineStr">
        <is>
          <t>opex</t>
        </is>
      </c>
      <c r="D168" t="inlineStr">
        <is>
          <t>administration</t>
        </is>
      </c>
      <c r="E168" t="inlineStr">
        <is>
          <t>YOURACCOUNTSTAXES</t>
        </is>
      </c>
      <c r="F168" t="inlineStr">
        <is>
          <t>invoice</t>
        </is>
      </c>
      <c r="G168" s="4" t="n">
        <v>55</v>
      </c>
      <c r="H168" t="inlineStr">
        <is>
          <t>GBP</t>
        </is>
      </c>
      <c r="I168" t="inlineStr">
        <is>
          <t>GBP</t>
        </is>
      </c>
      <c r="J168" s="20" t="n">
        <v>1</v>
      </c>
      <c r="K168" s="4" t="n">
        <v>55</v>
      </c>
      <c r="L168" t="inlineStr">
        <is>
          <t>documents</t>
        </is>
      </c>
      <c r="M168" s="21" t="inlineStr">
        <is>
          <t>INV-0681_PERIODIFICADA_3_12</t>
        </is>
      </c>
      <c r="N168" t="inlineStr">
        <is>
          <t>https://drive.google.com/file/d/1pNcZKxAtFRGUPPAFVD2p8ORXGSCcvxM8/view?usp=drivesdk</t>
        </is>
      </c>
    </row>
    <row r="169" ht="12" customHeight="1">
      <c r="A169" t="inlineStr">
        <is>
          <t>202604</t>
        </is>
      </c>
      <c r="B169" t="inlineStr">
        <is>
          <t>LTD</t>
        </is>
      </c>
      <c r="C169" t="inlineStr">
        <is>
          <t>opex</t>
        </is>
      </c>
      <c r="D169" t="inlineStr">
        <is>
          <t>administration</t>
        </is>
      </c>
      <c r="E169" t="inlineStr">
        <is>
          <t>YOURACCOUNTSTAXES</t>
        </is>
      </c>
      <c r="F169" t="inlineStr">
        <is>
          <t>invoice</t>
        </is>
      </c>
      <c r="G169" s="4" t="n">
        <v>103.67</v>
      </c>
      <c r="H169" t="inlineStr">
        <is>
          <t>GBP</t>
        </is>
      </c>
      <c r="I169" t="inlineStr">
        <is>
          <t>GBP</t>
        </is>
      </c>
      <c r="J169" s="20" t="n">
        <v>1</v>
      </c>
      <c r="K169" s="4" t="n">
        <v>103.67</v>
      </c>
      <c r="L169" t="inlineStr">
        <is>
          <t>documents</t>
        </is>
      </c>
      <c r="M169" s="21" t="inlineStr">
        <is>
          <t>INV-0682_PERIODIFICADA_4_12</t>
        </is>
      </c>
      <c r="N169" t="inlineStr">
        <is>
          <t>https://drive.google.com/file/d/1fWIKp9xwGFVs0EnOaVMSISVNLAoKF55J/view?usp=drivesdk</t>
        </is>
      </c>
    </row>
    <row r="170" ht="12" customHeight="1">
      <c r="A170" t="inlineStr">
        <is>
          <t>202605</t>
        </is>
      </c>
      <c r="B170" t="inlineStr">
        <is>
          <t>LTD</t>
        </is>
      </c>
      <c r="C170" t="inlineStr">
        <is>
          <t>cogs</t>
        </is>
      </c>
      <c r="D170" t="inlineStr">
        <is>
          <t>manufacturing</t>
        </is>
      </c>
      <c r="E170" t="inlineStr">
        <is>
          <t>JONDO</t>
        </is>
      </c>
      <c r="F170" t="inlineStr">
        <is>
          <t>invoice</t>
        </is>
      </c>
      <c r="G170" s="4" t="n">
        <v>56.22</v>
      </c>
      <c r="H170" t="inlineStr">
        <is>
          <t>USD</t>
        </is>
      </c>
      <c r="I170" t="inlineStr">
        <is>
          <t>GBP</t>
        </is>
      </c>
      <c r="J170" s="20" t="n">
        <v>0.74478701</v>
      </c>
      <c r="K170" s="4" t="n">
        <v>41.87</v>
      </c>
      <c r="L170" t="inlineStr">
        <is>
          <t>documents</t>
        </is>
      </c>
      <c r="M170" s="21" t="inlineStr">
        <is>
          <t>4440063-AS-105703</t>
        </is>
      </c>
      <c r="N170" t="inlineStr">
        <is>
          <t>https://drive.google.com/file/d/1_PRZPCF2n_fsb6zunrLDKEZp80W3Q93u/view?usp=drivesdk</t>
        </is>
      </c>
    </row>
    <row r="171" ht="12" customHeight="1">
      <c r="A171" t="inlineStr">
        <is>
          <t>202605</t>
        </is>
      </c>
      <c r="B171" t="inlineStr">
        <is>
          <t>LTD</t>
        </is>
      </c>
      <c r="C171" t="inlineStr">
        <is>
          <t>cogs</t>
        </is>
      </c>
      <c r="D171" t="inlineStr">
        <is>
          <t>manufacturing</t>
        </is>
      </c>
      <c r="E171" t="inlineStr">
        <is>
          <t>JONDO</t>
        </is>
      </c>
      <c r="F171" t="inlineStr">
        <is>
          <t>invoice</t>
        </is>
      </c>
      <c r="G171" s="4" t="n">
        <v>36.41</v>
      </c>
      <c r="H171" t="inlineStr">
        <is>
          <t>USD</t>
        </is>
      </c>
      <c r="I171" t="inlineStr">
        <is>
          <t>GBP</t>
        </is>
      </c>
      <c r="J171" s="20" t="n">
        <v>0.74478701</v>
      </c>
      <c r="K171" s="4" t="n">
        <v>27.12</v>
      </c>
      <c r="L171" t="inlineStr">
        <is>
          <t>documents</t>
        </is>
      </c>
      <c r="M171" s="21" t="inlineStr">
        <is>
          <t>4440064-AS-105710</t>
        </is>
      </c>
      <c r="N171" t="inlineStr">
        <is>
          <t>https://drive.google.com/file/d/1aufMJKin3F7J6AwemVul-WoCRomRbNzu/view?usp=drivesdk</t>
        </is>
      </c>
    </row>
    <row r="172" ht="12" customHeight="1">
      <c r="A172" t="inlineStr">
        <is>
          <t>202605</t>
        </is>
      </c>
      <c r="B172" t="inlineStr">
        <is>
          <t>LTD</t>
        </is>
      </c>
      <c r="C172" t="inlineStr">
        <is>
          <t>cogs</t>
        </is>
      </c>
      <c r="D172" t="inlineStr">
        <is>
          <t>manufacturing</t>
        </is>
      </c>
      <c r="E172" t="inlineStr">
        <is>
          <t>JONDO</t>
        </is>
      </c>
      <c r="F172" t="inlineStr">
        <is>
          <t>invoice</t>
        </is>
      </c>
      <c r="G172" s="4" t="n">
        <v>44.06</v>
      </c>
      <c r="H172" t="inlineStr">
        <is>
          <t>USD</t>
        </is>
      </c>
      <c r="I172" t="inlineStr">
        <is>
          <t>GBP</t>
        </is>
      </c>
      <c r="J172" s="20" t="n">
        <v>0.74478701</v>
      </c>
      <c r="K172" s="4" t="n">
        <v>32.82</v>
      </c>
      <c r="L172" t="inlineStr">
        <is>
          <t>documents</t>
        </is>
      </c>
      <c r="M172" s="21" t="inlineStr">
        <is>
          <t>4440065-AS-105574</t>
        </is>
      </c>
      <c r="N172" t="inlineStr">
        <is>
          <t>https://drive.google.com/file/d/1GfRXVBB4zyDoTFEKDi0ckGTCBpwXHOck/view?usp=drivesdk</t>
        </is>
      </c>
    </row>
    <row r="173" ht="12" customHeight="1">
      <c r="A173" t="inlineStr">
        <is>
          <t>202605</t>
        </is>
      </c>
      <c r="B173" t="inlineStr">
        <is>
          <t>LTD</t>
        </is>
      </c>
      <c r="C173" t="inlineStr">
        <is>
          <t>cogs</t>
        </is>
      </c>
      <c r="D173" t="inlineStr">
        <is>
          <t>manufacturing</t>
        </is>
      </c>
      <c r="E173" t="inlineStr">
        <is>
          <t>JONDO</t>
        </is>
      </c>
      <c r="F173" t="inlineStr">
        <is>
          <t>invoice</t>
        </is>
      </c>
      <c r="G173" s="4" t="n">
        <v>20.5</v>
      </c>
      <c r="H173" t="inlineStr">
        <is>
          <t>USD</t>
        </is>
      </c>
      <c r="I173" t="inlineStr">
        <is>
          <t>GBP</t>
        </is>
      </c>
      <c r="J173" s="20" t="n">
        <v>0.74478701</v>
      </c>
      <c r="K173" s="4" t="n">
        <v>15.27</v>
      </c>
      <c r="L173" t="inlineStr">
        <is>
          <t>documents</t>
        </is>
      </c>
      <c r="M173" s="21" t="inlineStr">
        <is>
          <t>4440066-AS-105609</t>
        </is>
      </c>
      <c r="N173" t="inlineStr">
        <is>
          <t>https://drive.google.com/file/d/1J-z8azzb9uu-kOygHU93RWJbueKbusoj/view?usp=drivesdk</t>
        </is>
      </c>
    </row>
    <row r="174" ht="12" customHeight="1">
      <c r="A174" t="inlineStr">
        <is>
          <t>202605</t>
        </is>
      </c>
      <c r="B174" t="inlineStr">
        <is>
          <t>LTD</t>
        </is>
      </c>
      <c r="C174" t="inlineStr">
        <is>
          <t>cogs</t>
        </is>
      </c>
      <c r="D174" t="inlineStr">
        <is>
          <t>manufacturing</t>
        </is>
      </c>
      <c r="E174" t="inlineStr">
        <is>
          <t>JONDO</t>
        </is>
      </c>
      <c r="F174" t="inlineStr">
        <is>
          <t>invoice</t>
        </is>
      </c>
      <c r="G174" s="4" t="n">
        <v>36.82</v>
      </c>
      <c r="H174" t="inlineStr">
        <is>
          <t>USD</t>
        </is>
      </c>
      <c r="I174" t="inlineStr">
        <is>
          <t>GBP</t>
        </is>
      </c>
      <c r="J174" s="20" t="n">
        <v>0.74478701</v>
      </c>
      <c r="K174" s="4" t="n">
        <v>27.42</v>
      </c>
      <c r="L174" t="inlineStr">
        <is>
          <t>documents</t>
        </is>
      </c>
      <c r="M174" s="21" t="inlineStr">
        <is>
          <t>4440067-AS-105659</t>
        </is>
      </c>
      <c r="N174" t="inlineStr">
        <is>
          <t>https://drive.google.com/file/d/1shKglX6RKHtpDznVmoTGzize0ljvCQKY/view?usp=drivesdk</t>
        </is>
      </c>
    </row>
    <row r="175" ht="12" customHeight="1">
      <c r="A175" t="inlineStr">
        <is>
          <t>202605</t>
        </is>
      </c>
      <c r="B175" t="inlineStr">
        <is>
          <t>LTD</t>
        </is>
      </c>
      <c r="C175" t="inlineStr">
        <is>
          <t>cogs</t>
        </is>
      </c>
      <c r="D175" t="inlineStr">
        <is>
          <t>manufacturing</t>
        </is>
      </c>
      <c r="E175" t="inlineStr">
        <is>
          <t>JONDO</t>
        </is>
      </c>
      <c r="F175" t="inlineStr">
        <is>
          <t>invoice</t>
        </is>
      </c>
      <c r="G175" s="4" t="n">
        <v>31.28</v>
      </c>
      <c r="H175" t="inlineStr">
        <is>
          <t>USD</t>
        </is>
      </c>
      <c r="I175" t="inlineStr">
        <is>
          <t>GBP</t>
        </is>
      </c>
      <c r="J175" s="20" t="n">
        <v>0.74478701</v>
      </c>
      <c r="K175" s="4" t="n">
        <v>23.3</v>
      </c>
      <c r="L175" t="inlineStr">
        <is>
          <t>documents</t>
        </is>
      </c>
      <c r="M175" s="21" t="inlineStr">
        <is>
          <t>4440068-AS-105660</t>
        </is>
      </c>
      <c r="N175" t="inlineStr">
        <is>
          <t>https://drive.google.com/file/d/1fgQQ72SHNkE5TgOiDuT6jEgxsnAuQtJ8/view?usp=drivesdk</t>
        </is>
      </c>
    </row>
    <row r="176" ht="12" customHeight="1">
      <c r="A176" t="inlineStr">
        <is>
          <t>202605</t>
        </is>
      </c>
      <c r="B176" t="inlineStr">
        <is>
          <t>LTD</t>
        </is>
      </c>
      <c r="C176" t="inlineStr">
        <is>
          <t>cogs</t>
        </is>
      </c>
      <c r="D176" t="inlineStr">
        <is>
          <t>manufacturing</t>
        </is>
      </c>
      <c r="E176" t="inlineStr">
        <is>
          <t>JONDO</t>
        </is>
      </c>
      <c r="F176" t="inlineStr">
        <is>
          <t>invoice</t>
        </is>
      </c>
      <c r="G176" s="4" t="n">
        <v>229.26</v>
      </c>
      <c r="H176" t="inlineStr">
        <is>
          <t>USD</t>
        </is>
      </c>
      <c r="I176" t="inlineStr">
        <is>
          <t>GBP</t>
        </is>
      </c>
      <c r="J176" s="20" t="n">
        <v>0.74478701</v>
      </c>
      <c r="K176" s="4" t="n">
        <v>170.75</v>
      </c>
      <c r="L176" t="inlineStr">
        <is>
          <t>documents</t>
        </is>
      </c>
      <c r="M176" s="21" t="inlineStr">
        <is>
          <t>4443624-AS-105902</t>
        </is>
      </c>
      <c r="N176" t="inlineStr">
        <is>
          <t>https://drive.google.com/file/d/1xtIwK6CcO_dJrRFvc8Nk7kUG9IQKSMFd/view?usp=drivesdk</t>
        </is>
      </c>
    </row>
    <row r="177" ht="12" customHeight="1">
      <c r="A177" t="inlineStr">
        <is>
          <t>202605</t>
        </is>
      </c>
      <c r="B177" t="inlineStr">
        <is>
          <t>LTD</t>
        </is>
      </c>
      <c r="C177" t="inlineStr">
        <is>
          <t>cogs</t>
        </is>
      </c>
      <c r="D177" t="inlineStr">
        <is>
          <t>manufacturing</t>
        </is>
      </c>
      <c r="E177" t="inlineStr">
        <is>
          <t>JONDO</t>
        </is>
      </c>
      <c r="F177" t="inlineStr">
        <is>
          <t>invoice</t>
        </is>
      </c>
      <c r="G177" s="4" t="n">
        <v>36.41</v>
      </c>
      <c r="H177" t="inlineStr">
        <is>
          <t>USD</t>
        </is>
      </c>
      <c r="I177" t="inlineStr">
        <is>
          <t>GBP</t>
        </is>
      </c>
      <c r="J177" s="20" t="n">
        <v>0.74478701</v>
      </c>
      <c r="K177" s="4" t="n">
        <v>27.12</v>
      </c>
      <c r="L177" t="inlineStr">
        <is>
          <t>documents</t>
        </is>
      </c>
      <c r="M177" s="21" t="inlineStr">
        <is>
          <t>4449615-AS-106323</t>
        </is>
      </c>
      <c r="N177" t="inlineStr">
        <is>
          <t>https://drive.google.com/file/d/1Jd_fBXXAeJPJie0WSuIQUMhk54l8ilbA/view?usp=drivesdk</t>
        </is>
      </c>
    </row>
    <row r="178" ht="12" customHeight="1">
      <c r="A178" t="inlineStr">
        <is>
          <t>202605</t>
        </is>
      </c>
      <c r="B178" t="inlineStr">
        <is>
          <t>LTD</t>
        </is>
      </c>
      <c r="C178" t="inlineStr">
        <is>
          <t>cogs</t>
        </is>
      </c>
      <c r="D178" t="inlineStr">
        <is>
          <t>manufacturing</t>
        </is>
      </c>
      <c r="E178" t="inlineStr">
        <is>
          <t>JONDO</t>
        </is>
      </c>
      <c r="F178" t="inlineStr">
        <is>
          <t>invoice</t>
        </is>
      </c>
      <c r="G178" s="4" t="n">
        <v>36.41</v>
      </c>
      <c r="H178" t="inlineStr">
        <is>
          <t>USD</t>
        </is>
      </c>
      <c r="I178" t="inlineStr">
        <is>
          <t>GBP</t>
        </is>
      </c>
      <c r="J178" s="20" t="n">
        <v>0.74478701</v>
      </c>
      <c r="K178" s="4" t="n">
        <v>27.12</v>
      </c>
      <c r="L178" t="inlineStr">
        <is>
          <t>documents</t>
        </is>
      </c>
      <c r="M178" s="21" t="inlineStr">
        <is>
          <t>4449616-AS-106375</t>
        </is>
      </c>
      <c r="N178" t="inlineStr">
        <is>
          <t>https://drive.google.com/file/d/1HhqmtaOLJO63XUTNd66uSS-7YAbTJOgy/view?usp=drivesdk</t>
        </is>
      </c>
    </row>
    <row r="179" ht="12" customHeight="1">
      <c r="A179" t="inlineStr">
        <is>
          <t>202605</t>
        </is>
      </c>
      <c r="B179" t="inlineStr">
        <is>
          <t>LTD</t>
        </is>
      </c>
      <c r="C179" t="inlineStr">
        <is>
          <t>cogs</t>
        </is>
      </c>
      <c r="D179" t="inlineStr">
        <is>
          <t>manufacturing</t>
        </is>
      </c>
      <c r="E179" t="inlineStr">
        <is>
          <t>JONDO</t>
        </is>
      </c>
      <c r="F179" t="inlineStr">
        <is>
          <t>invoice</t>
        </is>
      </c>
      <c r="G179" s="4" t="n">
        <v>15.64</v>
      </c>
      <c r="H179" t="inlineStr">
        <is>
          <t>USD</t>
        </is>
      </c>
      <c r="I179" t="inlineStr">
        <is>
          <t>GBP</t>
        </is>
      </c>
      <c r="J179" s="20" t="n">
        <v>0.74478701</v>
      </c>
      <c r="K179" s="4" t="n">
        <v>11.65</v>
      </c>
      <c r="L179" t="inlineStr">
        <is>
          <t>documents</t>
        </is>
      </c>
      <c r="M179" s="21" t="inlineStr">
        <is>
          <t>4449617-AS-106245</t>
        </is>
      </c>
      <c r="N179" t="inlineStr">
        <is>
          <t>https://drive.google.com/file/d/108nLH-TqG2O8HUREMoRI8Eeqx2oAssSy/view?usp=drivesdk</t>
        </is>
      </c>
    </row>
    <row r="180" ht="12" customHeight="1">
      <c r="A180" t="inlineStr">
        <is>
          <t>202605</t>
        </is>
      </c>
      <c r="B180" t="inlineStr">
        <is>
          <t>LTD</t>
        </is>
      </c>
      <c r="C180" t="inlineStr">
        <is>
          <t>cogs</t>
        </is>
      </c>
      <c r="D180" t="inlineStr">
        <is>
          <t>manufacturing</t>
        </is>
      </c>
      <c r="E180" t="inlineStr">
        <is>
          <t>JONDO</t>
        </is>
      </c>
      <c r="F180" t="inlineStr">
        <is>
          <t>invoice</t>
        </is>
      </c>
      <c r="G180" s="4" t="n">
        <v>56.22</v>
      </c>
      <c r="H180" t="inlineStr">
        <is>
          <t>USD</t>
        </is>
      </c>
      <c r="I180" t="inlineStr">
        <is>
          <t>GBP</t>
        </is>
      </c>
      <c r="J180" s="20" t="n">
        <v>0.74478701</v>
      </c>
      <c r="K180" s="4" t="n">
        <v>41.87</v>
      </c>
      <c r="L180" t="inlineStr">
        <is>
          <t>documents</t>
        </is>
      </c>
      <c r="M180" s="21" t="inlineStr">
        <is>
          <t>4449619-AS-106291</t>
        </is>
      </c>
      <c r="N180" t="inlineStr">
        <is>
          <t>https://drive.google.com/file/d/1y2Pd3XF5RPfWDX8Y451Vo-4QRT8fM_V7/view?usp=drivesdk</t>
        </is>
      </c>
    </row>
    <row r="181" ht="12" customHeight="1">
      <c r="A181" t="inlineStr">
        <is>
          <t>202605</t>
        </is>
      </c>
      <c r="B181" t="inlineStr">
        <is>
          <t>LTD</t>
        </is>
      </c>
      <c r="C181" t="inlineStr">
        <is>
          <t>cogs</t>
        </is>
      </c>
      <c r="D181" t="inlineStr">
        <is>
          <t>manufacturing</t>
        </is>
      </c>
      <c r="E181" t="inlineStr">
        <is>
          <t>JONDO</t>
        </is>
      </c>
      <c r="F181" t="inlineStr">
        <is>
          <t>invoice</t>
        </is>
      </c>
      <c r="G181" s="4" t="n">
        <v>93.04000000000001</v>
      </c>
      <c r="H181" t="inlineStr">
        <is>
          <t>USD</t>
        </is>
      </c>
      <c r="I181" t="inlineStr">
        <is>
          <t>GBP</t>
        </is>
      </c>
      <c r="J181" s="20" t="n">
        <v>0.74478701</v>
      </c>
      <c r="K181" s="4" t="n">
        <v>69.29000000000001</v>
      </c>
      <c r="L181" t="inlineStr">
        <is>
          <t>documents</t>
        </is>
      </c>
      <c r="M181" s="21" t="inlineStr">
        <is>
          <t>4450952-AS-106240</t>
        </is>
      </c>
      <c r="N181" t="inlineStr">
        <is>
          <t>https://drive.google.com/file/d/1CYORX9Zggmn3sIU15tdD4Vd-59VYUj6l/view?usp=drivesdk</t>
        </is>
      </c>
    </row>
    <row r="182" ht="12" customHeight="1">
      <c r="A182" t="inlineStr">
        <is>
          <t>202605</t>
        </is>
      </c>
      <c r="B182" t="inlineStr">
        <is>
          <t>LTD</t>
        </is>
      </c>
      <c r="C182" t="inlineStr">
        <is>
          <t>cogs</t>
        </is>
      </c>
      <c r="D182" t="inlineStr">
        <is>
          <t>manufacturing</t>
        </is>
      </c>
      <c r="E182" t="inlineStr">
        <is>
          <t>JONDO</t>
        </is>
      </c>
      <c r="F182" t="inlineStr">
        <is>
          <t>invoice</t>
        </is>
      </c>
      <c r="G182" s="4" t="n">
        <v>78.2</v>
      </c>
      <c r="H182" t="inlineStr">
        <is>
          <t>USD</t>
        </is>
      </c>
      <c r="I182" t="inlineStr">
        <is>
          <t>GBP</t>
        </is>
      </c>
      <c r="J182" s="20" t="n">
        <v>0.74478701</v>
      </c>
      <c r="K182" s="4" t="n">
        <v>58.24</v>
      </c>
      <c r="L182" t="inlineStr">
        <is>
          <t>documents</t>
        </is>
      </c>
      <c r="M182" s="21" t="inlineStr">
        <is>
          <t>4453576-AS-106656</t>
        </is>
      </c>
      <c r="N182" t="inlineStr">
        <is>
          <t>https://drive.google.com/file/d/1NoAiDA9cwn1kZ4Db6sMTmD-W0C90fYah/view?usp=drivesdk</t>
        </is>
      </c>
    </row>
    <row r="183" ht="12" customHeight="1">
      <c r="A183" t="inlineStr">
        <is>
          <t>202605</t>
        </is>
      </c>
      <c r="B183" t="inlineStr">
        <is>
          <t>LTD</t>
        </is>
      </c>
      <c r="C183" t="inlineStr">
        <is>
          <t>cogs</t>
        </is>
      </c>
      <c r="D183" t="inlineStr">
        <is>
          <t>manufacturing</t>
        </is>
      </c>
      <c r="E183" t="inlineStr">
        <is>
          <t>JONDO</t>
        </is>
      </c>
      <c r="F183" t="inlineStr">
        <is>
          <t>invoice</t>
        </is>
      </c>
      <c r="G183" s="4" t="n">
        <v>36.41</v>
      </c>
      <c r="H183" t="inlineStr">
        <is>
          <t>USD</t>
        </is>
      </c>
      <c r="I183" t="inlineStr">
        <is>
          <t>GBP</t>
        </is>
      </c>
      <c r="J183" s="20" t="n">
        <v>0.74478701</v>
      </c>
      <c r="K183" s="4" t="n">
        <v>27.12</v>
      </c>
      <c r="L183" t="inlineStr">
        <is>
          <t>documents</t>
        </is>
      </c>
      <c r="M183" s="21" t="inlineStr">
        <is>
          <t>4453577-AS-106560</t>
        </is>
      </c>
      <c r="N183" t="inlineStr">
        <is>
          <t>https://drive.google.com/file/d/1IMm80lZHVMDedI-dBYoLfYeaBDb-GvYp/view?usp=drivesdk</t>
        </is>
      </c>
    </row>
    <row r="184" ht="12" customHeight="1">
      <c r="A184" t="inlineStr">
        <is>
          <t>202605</t>
        </is>
      </c>
      <c r="B184" t="inlineStr">
        <is>
          <t>LTD</t>
        </is>
      </c>
      <c r="C184" t="inlineStr">
        <is>
          <t>cogs</t>
        </is>
      </c>
      <c r="D184" t="inlineStr">
        <is>
          <t>manufacturing</t>
        </is>
      </c>
      <c r="E184" t="inlineStr">
        <is>
          <t>JONDO</t>
        </is>
      </c>
      <c r="F184" t="inlineStr">
        <is>
          <t>invoice</t>
        </is>
      </c>
      <c r="G184" s="4" t="n">
        <v>93.04000000000001</v>
      </c>
      <c r="H184" t="inlineStr">
        <is>
          <t>USD</t>
        </is>
      </c>
      <c r="I184" t="inlineStr">
        <is>
          <t>GBP</t>
        </is>
      </c>
      <c r="J184" s="20" t="n">
        <v>0.74478701</v>
      </c>
      <c r="K184" s="4" t="n">
        <v>69.29000000000001</v>
      </c>
      <c r="L184" t="inlineStr">
        <is>
          <t>documents</t>
        </is>
      </c>
      <c r="M184" s="21" t="inlineStr">
        <is>
          <t>4453578-AS-106566</t>
        </is>
      </c>
      <c r="N184" t="inlineStr">
        <is>
          <t>https://drive.google.com/file/d/1zjjdcZ4iWZUB7MiRu0_UtGnOM2aqhKY7/view?usp=drivesdk</t>
        </is>
      </c>
    </row>
    <row r="185" ht="12" customHeight="1">
      <c r="A185" t="inlineStr">
        <is>
          <t>202605</t>
        </is>
      </c>
      <c r="B185" t="inlineStr">
        <is>
          <t>LTD</t>
        </is>
      </c>
      <c r="C185" t="inlineStr">
        <is>
          <t>cogs</t>
        </is>
      </c>
      <c r="D185" t="inlineStr">
        <is>
          <t>manufacturing</t>
        </is>
      </c>
      <c r="E185" t="inlineStr">
        <is>
          <t>JONDO</t>
        </is>
      </c>
      <c r="F185" t="inlineStr">
        <is>
          <t>invoice</t>
        </is>
      </c>
      <c r="G185" s="4" t="n">
        <v>71.59999999999999</v>
      </c>
      <c r="H185" t="inlineStr">
        <is>
          <t>USD</t>
        </is>
      </c>
      <c r="I185" t="inlineStr">
        <is>
          <t>GBP</t>
        </is>
      </c>
      <c r="J185" s="20" t="n">
        <v>0.74478701</v>
      </c>
      <c r="K185" s="4" t="n">
        <v>53.33</v>
      </c>
      <c r="L185" t="inlineStr">
        <is>
          <t>documents</t>
        </is>
      </c>
      <c r="M185" s="21" t="inlineStr">
        <is>
          <t>4454772-AS-106711</t>
        </is>
      </c>
      <c r="N185" t="inlineStr">
        <is>
          <t>https://drive.google.com/file/d/1a1wi4NBpxS2ZnuMhRBbDi-p5FeoP9Lyo/view?usp=drivesdk</t>
        </is>
      </c>
    </row>
    <row r="186" ht="12" customHeight="1">
      <c r="A186" t="inlineStr">
        <is>
          <t>202605</t>
        </is>
      </c>
      <c r="B186" t="inlineStr">
        <is>
          <t>LTD</t>
        </is>
      </c>
      <c r="C186" t="inlineStr">
        <is>
          <t>cogs</t>
        </is>
      </c>
      <c r="D186" t="inlineStr">
        <is>
          <t>manufacturing</t>
        </is>
      </c>
      <c r="E186" t="inlineStr">
        <is>
          <t>JONDO</t>
        </is>
      </c>
      <c r="F186" t="inlineStr">
        <is>
          <t>invoice</t>
        </is>
      </c>
      <c r="G186" s="4" t="n">
        <v>44.06</v>
      </c>
      <c r="H186" t="inlineStr">
        <is>
          <t>USD</t>
        </is>
      </c>
      <c r="I186" t="inlineStr">
        <is>
          <t>GBP</t>
        </is>
      </c>
      <c r="J186" s="20" t="n">
        <v>0.74478701</v>
      </c>
      <c r="K186" s="4" t="n">
        <v>32.82</v>
      </c>
      <c r="L186" t="inlineStr">
        <is>
          <t>documents</t>
        </is>
      </c>
      <c r="M186" s="21" t="inlineStr">
        <is>
          <t>4454773-AS-106721</t>
        </is>
      </c>
      <c r="N186" t="inlineStr">
        <is>
          <t>https://drive.google.com/file/d/1neKvQdVChZSzSzLc1s0Nk6TpqlFg2WM-/view?usp=drivesdk</t>
        </is>
      </c>
    </row>
    <row r="187" ht="12" customHeight="1">
      <c r="A187" t="inlineStr">
        <is>
          <t>202605</t>
        </is>
      </c>
      <c r="B187" t="inlineStr">
        <is>
          <t>LTD</t>
        </is>
      </c>
      <c r="C187" t="inlineStr">
        <is>
          <t>cogs</t>
        </is>
      </c>
      <c r="D187" t="inlineStr">
        <is>
          <t>manufacturing</t>
        </is>
      </c>
      <c r="E187" t="inlineStr">
        <is>
          <t>JONDO</t>
        </is>
      </c>
      <c r="F187" t="inlineStr">
        <is>
          <t>invoice</t>
        </is>
      </c>
      <c r="G187" s="4" t="n">
        <v>15.64</v>
      </c>
      <c r="H187" t="inlineStr">
        <is>
          <t>USD</t>
        </is>
      </c>
      <c r="I187" t="inlineStr">
        <is>
          <t>GBP</t>
        </is>
      </c>
      <c r="J187" s="20" t="n">
        <v>0.74478701</v>
      </c>
      <c r="K187" s="4" t="n">
        <v>11.65</v>
      </c>
      <c r="L187" t="inlineStr">
        <is>
          <t>documents</t>
        </is>
      </c>
      <c r="M187" s="21" t="inlineStr">
        <is>
          <t>4456192-AS-106814</t>
        </is>
      </c>
      <c r="N187" t="inlineStr">
        <is>
          <t>https://drive.google.com/file/d/1SHQr9Eo31j73u-Xi9wkjl7OdetZNaIkK/view?usp=drivesdk</t>
        </is>
      </c>
    </row>
    <row r="188" ht="12" customHeight="1">
      <c r="A188" t="inlineStr">
        <is>
          <t>202605</t>
        </is>
      </c>
      <c r="B188" t="inlineStr">
        <is>
          <t>LTD</t>
        </is>
      </c>
      <c r="C188" t="inlineStr">
        <is>
          <t>cogs</t>
        </is>
      </c>
      <c r="D188" t="inlineStr">
        <is>
          <t>manufacturing</t>
        </is>
      </c>
      <c r="E188" t="inlineStr">
        <is>
          <t>JONDO</t>
        </is>
      </c>
      <c r="F188" t="inlineStr">
        <is>
          <t>invoice</t>
        </is>
      </c>
      <c r="G188" s="4" t="n">
        <v>28.4</v>
      </c>
      <c r="H188" t="inlineStr">
        <is>
          <t>USD</t>
        </is>
      </c>
      <c r="I188" t="inlineStr">
        <is>
          <t>GBP</t>
        </is>
      </c>
      <c r="J188" s="20" t="n">
        <v>0.74478701</v>
      </c>
      <c r="K188" s="4" t="n">
        <v>21.15</v>
      </c>
      <c r="L188" t="inlineStr">
        <is>
          <t>documents</t>
        </is>
      </c>
      <c r="M188" s="21" t="inlineStr">
        <is>
          <t>4456193-AS-106848</t>
        </is>
      </c>
      <c r="N188" t="inlineStr">
        <is>
          <t>https://drive.google.com/file/d/10XhZUmh2y_zI1nCQprsW3WGsc0Z8DffH/view?usp=drivesdk</t>
        </is>
      </c>
    </row>
    <row r="189" ht="12" customHeight="1">
      <c r="A189" t="inlineStr">
        <is>
          <t>202605</t>
        </is>
      </c>
      <c r="B189" t="inlineStr">
        <is>
          <t>LTD</t>
        </is>
      </c>
      <c r="C189" t="inlineStr">
        <is>
          <t>cogs</t>
        </is>
      </c>
      <c r="D189" t="inlineStr">
        <is>
          <t>manufacturing</t>
        </is>
      </c>
      <c r="E189" t="inlineStr">
        <is>
          <t>JONDO</t>
        </is>
      </c>
      <c r="F189" t="inlineStr">
        <is>
          <t>invoice</t>
        </is>
      </c>
      <c r="G189" s="4" t="n">
        <v>63.91</v>
      </c>
      <c r="H189" t="inlineStr">
        <is>
          <t>USD</t>
        </is>
      </c>
      <c r="I189" t="inlineStr">
        <is>
          <t>GBP</t>
        </is>
      </c>
      <c r="J189" s="20" t="n">
        <v>0.74478701</v>
      </c>
      <c r="K189" s="4" t="n">
        <v>47.6</v>
      </c>
      <c r="L189" t="inlineStr">
        <is>
          <t>documents</t>
        </is>
      </c>
      <c r="M189" s="21" t="inlineStr">
        <is>
          <t>4456194-AS-106877</t>
        </is>
      </c>
      <c r="N189" t="inlineStr">
        <is>
          <t>https://drive.google.com/file/d/17Ek62sh-YFeVHGElAuzytq_mz_bv9lRm/view?usp=drivesdk</t>
        </is>
      </c>
    </row>
    <row r="190" ht="12" customHeight="1">
      <c r="A190" t="inlineStr">
        <is>
          <t>202605</t>
        </is>
      </c>
      <c r="B190" t="inlineStr">
        <is>
          <t>LTD</t>
        </is>
      </c>
      <c r="C190" t="inlineStr">
        <is>
          <t>cogs</t>
        </is>
      </c>
      <c r="D190" t="inlineStr">
        <is>
          <t>manufacturing</t>
        </is>
      </c>
      <c r="E190" t="inlineStr">
        <is>
          <t>JONDO</t>
        </is>
      </c>
      <c r="F190" t="inlineStr">
        <is>
          <t>invoice</t>
        </is>
      </c>
      <c r="G190" s="4" t="n">
        <v>71.59999999999999</v>
      </c>
      <c r="H190" t="inlineStr">
        <is>
          <t>USD</t>
        </is>
      </c>
      <c r="I190" t="inlineStr">
        <is>
          <t>GBP</t>
        </is>
      </c>
      <c r="J190" s="20" t="n">
        <v>0.74478701</v>
      </c>
      <c r="K190" s="4" t="n">
        <v>53.33</v>
      </c>
      <c r="L190" t="inlineStr">
        <is>
          <t>documents</t>
        </is>
      </c>
      <c r="M190" s="21" t="inlineStr">
        <is>
          <t>4456206-AS-106918</t>
        </is>
      </c>
      <c r="N190" t="inlineStr">
        <is>
          <t>https://drive.google.com/file/d/1hseCJV-lW3ZGx8CDhaVT9rTaWQc9w7as/view?usp=drivesdk</t>
        </is>
      </c>
    </row>
    <row r="191" ht="12" customHeight="1">
      <c r="A191" t="inlineStr">
        <is>
          <t>202605</t>
        </is>
      </c>
      <c r="B191" t="inlineStr">
        <is>
          <t>LTD</t>
        </is>
      </c>
      <c r="C191" t="inlineStr">
        <is>
          <t>cogs</t>
        </is>
      </c>
      <c r="D191" t="inlineStr">
        <is>
          <t>manufacturing</t>
        </is>
      </c>
      <c r="E191" t="inlineStr">
        <is>
          <t>JONDO</t>
        </is>
      </c>
      <c r="F191" t="inlineStr">
        <is>
          <t>invoice</t>
        </is>
      </c>
      <c r="G191" s="4" t="n">
        <v>28.4</v>
      </c>
      <c r="H191" t="inlineStr">
        <is>
          <t>USD</t>
        </is>
      </c>
      <c r="I191" t="inlineStr">
        <is>
          <t>GBP</t>
        </is>
      </c>
      <c r="J191" s="20" t="n">
        <v>0.74478701</v>
      </c>
      <c r="K191" s="4" t="n">
        <v>21.15</v>
      </c>
      <c r="L191" t="inlineStr">
        <is>
          <t>documents</t>
        </is>
      </c>
      <c r="M191" s="21" t="inlineStr">
        <is>
          <t>4456322-AS-106438</t>
        </is>
      </c>
      <c r="N191" t="inlineStr">
        <is>
          <t>https://drive.google.com/file/d/1Qm1jiWgWNup4Sj0droRdZ7CtjyyKJ_2W/view?usp=drivesdk</t>
        </is>
      </c>
    </row>
    <row r="192" ht="12" customHeight="1">
      <c r="A192" t="inlineStr">
        <is>
          <t>202605</t>
        </is>
      </c>
      <c r="B192" t="inlineStr">
        <is>
          <t>LTD</t>
        </is>
      </c>
      <c r="C192" t="inlineStr">
        <is>
          <t>cogs</t>
        </is>
      </c>
      <c r="D192" t="inlineStr">
        <is>
          <t>manufacturing</t>
        </is>
      </c>
      <c r="E192" t="inlineStr">
        <is>
          <t>JONDO</t>
        </is>
      </c>
      <c r="F192" t="inlineStr">
        <is>
          <t>invoice</t>
        </is>
      </c>
      <c r="G192" s="4" t="n">
        <v>36.41</v>
      </c>
      <c r="H192" t="inlineStr">
        <is>
          <t>USD</t>
        </is>
      </c>
      <c r="I192" t="inlineStr">
        <is>
          <t>GBP</t>
        </is>
      </c>
      <c r="J192" s="20" t="n">
        <v>0.74478701</v>
      </c>
      <c r="K192" s="4" t="n">
        <v>27.12</v>
      </c>
      <c r="L192" t="inlineStr">
        <is>
          <t>documents</t>
        </is>
      </c>
      <c r="M192" s="21" t="inlineStr">
        <is>
          <t>4456324-AS-106452</t>
        </is>
      </c>
      <c r="N192" t="inlineStr">
        <is>
          <t>https://drive.google.com/file/d/1LlN1eVuJj4qYV-uLANKKRpLp4FkBBb4q/view?usp=drivesdk</t>
        </is>
      </c>
    </row>
    <row r="193" ht="12" customHeight="1">
      <c r="A193" t="inlineStr">
        <is>
          <t>202605</t>
        </is>
      </c>
      <c r="B193" t="inlineStr">
        <is>
          <t>LTD</t>
        </is>
      </c>
      <c r="C193" t="inlineStr">
        <is>
          <t>cogs</t>
        </is>
      </c>
      <c r="D193" t="inlineStr">
        <is>
          <t>manufacturing</t>
        </is>
      </c>
      <c r="E193" t="inlineStr">
        <is>
          <t>JONDO</t>
        </is>
      </c>
      <c r="F193" t="inlineStr">
        <is>
          <t>invoice</t>
        </is>
      </c>
      <c r="G193" s="4" t="n">
        <v>15.64</v>
      </c>
      <c r="H193" t="inlineStr">
        <is>
          <t>USD</t>
        </is>
      </c>
      <c r="I193" t="inlineStr">
        <is>
          <t>GBP</t>
        </is>
      </c>
      <c r="J193" s="20" t="n">
        <v>0.74478701</v>
      </c>
      <c r="K193" s="4" t="n">
        <v>11.65</v>
      </c>
      <c r="L193" t="inlineStr">
        <is>
          <t>documents</t>
        </is>
      </c>
      <c r="M193" s="21" t="inlineStr">
        <is>
          <t>4456325-AS-106466</t>
        </is>
      </c>
      <c r="N193" t="inlineStr">
        <is>
          <t>https://drive.google.com/file/d/1qTSgOtYtt8EXyMzBNf2PZqQ0R2RAbKMr/view?usp=drivesdk</t>
        </is>
      </c>
    </row>
    <row r="194" ht="12" customHeight="1">
      <c r="A194" t="inlineStr">
        <is>
          <t>202605</t>
        </is>
      </c>
      <c r="B194" t="inlineStr">
        <is>
          <t>LTD</t>
        </is>
      </c>
      <c r="C194" t="inlineStr">
        <is>
          <t>cogs</t>
        </is>
      </c>
      <c r="D194" t="inlineStr">
        <is>
          <t>manufacturing</t>
        </is>
      </c>
      <c r="E194" t="inlineStr">
        <is>
          <t>JONDO</t>
        </is>
      </c>
      <c r="F194" t="inlineStr">
        <is>
          <t>invoice</t>
        </is>
      </c>
      <c r="G194" s="4" t="n">
        <v>24.54</v>
      </c>
      <c r="H194" t="inlineStr">
        <is>
          <t>USD</t>
        </is>
      </c>
      <c r="I194" t="inlineStr">
        <is>
          <t>GBP</t>
        </is>
      </c>
      <c r="J194" s="20" t="n">
        <v>0.74478701</v>
      </c>
      <c r="K194" s="4" t="n">
        <v>18.28</v>
      </c>
      <c r="L194" t="inlineStr">
        <is>
          <t>documents</t>
        </is>
      </c>
      <c r="M194" s="21" t="inlineStr">
        <is>
          <t>4457437-AS-107157</t>
        </is>
      </c>
      <c r="N194" t="inlineStr">
        <is>
          <t>https://drive.google.com/file/d/1wG-V_OStEbr_R9_GShYcS16GwopWbMel/view?usp=drivesdk</t>
        </is>
      </c>
    </row>
    <row r="195" ht="12" customHeight="1">
      <c r="A195" t="inlineStr">
        <is>
          <t>202605</t>
        </is>
      </c>
      <c r="B195" t="inlineStr">
        <is>
          <t>LTD</t>
        </is>
      </c>
      <c r="C195" t="inlineStr">
        <is>
          <t>cogs</t>
        </is>
      </c>
      <c r="D195" t="inlineStr">
        <is>
          <t>manufacturing</t>
        </is>
      </c>
      <c r="E195" t="inlineStr">
        <is>
          <t>JONDO</t>
        </is>
      </c>
      <c r="F195" t="inlineStr">
        <is>
          <t>invoice</t>
        </is>
      </c>
      <c r="G195" s="4" t="n">
        <v>36.14</v>
      </c>
      <c r="H195" t="inlineStr">
        <is>
          <t>USD</t>
        </is>
      </c>
      <c r="I195" t="inlineStr">
        <is>
          <t>GBP</t>
        </is>
      </c>
      <c r="J195" s="20" t="n">
        <v>0.74478701</v>
      </c>
      <c r="K195" s="4" t="n">
        <v>26.92</v>
      </c>
      <c r="L195" t="inlineStr">
        <is>
          <t>documents</t>
        </is>
      </c>
      <c r="M195" s="21" t="inlineStr">
        <is>
          <t>4460075-AS-107197</t>
        </is>
      </c>
      <c r="N195" t="inlineStr">
        <is>
          <t>https://drive.google.com/file/d/1kWK-nhKL8XHkIfGP8bAJ1n63c3-E5PZI/view?usp=drivesdk</t>
        </is>
      </c>
    </row>
    <row r="196" ht="12" customHeight="1">
      <c r="A196" t="inlineStr">
        <is>
          <t>202605</t>
        </is>
      </c>
      <c r="B196" t="inlineStr">
        <is>
          <t>LTD</t>
        </is>
      </c>
      <c r="C196" t="inlineStr">
        <is>
          <t>cogs</t>
        </is>
      </c>
      <c r="D196" t="inlineStr">
        <is>
          <t>manufacturing</t>
        </is>
      </c>
      <c r="E196" t="inlineStr">
        <is>
          <t>JONDO</t>
        </is>
      </c>
      <c r="F196" t="inlineStr">
        <is>
          <t>invoice</t>
        </is>
      </c>
      <c r="G196" s="4" t="n">
        <v>61.5</v>
      </c>
      <c r="H196" t="inlineStr">
        <is>
          <t>USD</t>
        </is>
      </c>
      <c r="I196" t="inlineStr">
        <is>
          <t>GBP</t>
        </is>
      </c>
      <c r="J196" s="20" t="n">
        <v>0.74478701</v>
      </c>
      <c r="K196" s="4" t="n">
        <v>45.8</v>
      </c>
      <c r="L196" t="inlineStr">
        <is>
          <t>documents</t>
        </is>
      </c>
      <c r="M196" s="21" t="inlineStr">
        <is>
          <t>4460076-AS-107253</t>
        </is>
      </c>
      <c r="N196" t="inlineStr">
        <is>
          <t>https://drive.google.com/file/d/1HNxvoTDAuPyxvizaTUF-zjm8pvPuaFRM/view?usp=drivesdk</t>
        </is>
      </c>
    </row>
    <row r="197" ht="12" customHeight="1">
      <c r="A197" t="inlineStr">
        <is>
          <t>202605</t>
        </is>
      </c>
      <c r="B197" t="inlineStr">
        <is>
          <t>LTD</t>
        </is>
      </c>
      <c r="C197" t="inlineStr">
        <is>
          <t>cogs</t>
        </is>
      </c>
      <c r="D197" t="inlineStr">
        <is>
          <t>manufacturing</t>
        </is>
      </c>
      <c r="E197" t="inlineStr">
        <is>
          <t>JONDO</t>
        </is>
      </c>
      <c r="F197" t="inlineStr">
        <is>
          <t>invoice</t>
        </is>
      </c>
      <c r="G197" s="4" t="n">
        <v>44.06</v>
      </c>
      <c r="H197" t="inlineStr">
        <is>
          <t>USD</t>
        </is>
      </c>
      <c r="I197" t="inlineStr">
        <is>
          <t>GBP</t>
        </is>
      </c>
      <c r="J197" s="20" t="n">
        <v>0.74478701</v>
      </c>
      <c r="K197" s="4" t="n">
        <v>32.82</v>
      </c>
      <c r="L197" t="inlineStr">
        <is>
          <t>documents</t>
        </is>
      </c>
      <c r="M197" s="21" t="inlineStr">
        <is>
          <t>4460078-AS-107296</t>
        </is>
      </c>
      <c r="N197" t="inlineStr">
        <is>
          <t>https://drive.google.com/file/d/1WtcXKpfeMG9lQ7Bhe_S7vi28C4N5CGfM/view?usp=drivesdk</t>
        </is>
      </c>
    </row>
    <row r="198" ht="12" customHeight="1">
      <c r="A198" t="inlineStr">
        <is>
          <t>202605</t>
        </is>
      </c>
      <c r="B198" t="inlineStr">
        <is>
          <t>LTD</t>
        </is>
      </c>
      <c r="C198" t="inlineStr">
        <is>
          <t>cogs</t>
        </is>
      </c>
      <c r="D198" t="inlineStr">
        <is>
          <t>manufacturing</t>
        </is>
      </c>
      <c r="E198" t="inlineStr">
        <is>
          <t>JONDO</t>
        </is>
      </c>
      <c r="F198" t="inlineStr">
        <is>
          <t>invoice</t>
        </is>
      </c>
      <c r="G198" s="4" t="n">
        <v>24.54</v>
      </c>
      <c r="H198" t="inlineStr">
        <is>
          <t>USD</t>
        </is>
      </c>
      <c r="I198" t="inlineStr">
        <is>
          <t>GBP</t>
        </is>
      </c>
      <c r="J198" s="20" t="n">
        <v>0.74478701</v>
      </c>
      <c r="K198" s="4" t="n">
        <v>18.28</v>
      </c>
      <c r="L198" t="inlineStr">
        <is>
          <t>documents</t>
        </is>
      </c>
      <c r="M198" s="21" t="inlineStr">
        <is>
          <t>4460079-AS-107344</t>
        </is>
      </c>
      <c r="N198" t="inlineStr">
        <is>
          <t>https://drive.google.com/file/d/1gRxclSn282FxKlw-VxT_59xNr4EvM_rP/view?usp=drivesdk</t>
        </is>
      </c>
    </row>
    <row r="199" ht="12" customHeight="1">
      <c r="A199" t="inlineStr">
        <is>
          <t>202605</t>
        </is>
      </c>
      <c r="B199" t="inlineStr">
        <is>
          <t>LTD</t>
        </is>
      </c>
      <c r="C199" t="inlineStr">
        <is>
          <t>cogs</t>
        </is>
      </c>
      <c r="D199" t="inlineStr">
        <is>
          <t>manufacturing</t>
        </is>
      </c>
      <c r="E199" t="inlineStr">
        <is>
          <t>JONDO</t>
        </is>
      </c>
      <c r="F199" t="inlineStr">
        <is>
          <t>invoice</t>
        </is>
      </c>
      <c r="G199" s="4" t="n">
        <v>71.59999999999999</v>
      </c>
      <c r="H199" t="inlineStr">
        <is>
          <t>USD</t>
        </is>
      </c>
      <c r="I199" t="inlineStr">
        <is>
          <t>GBP</t>
        </is>
      </c>
      <c r="J199" s="20" t="n">
        <v>0.74478701</v>
      </c>
      <c r="K199" s="4" t="n">
        <v>53.33</v>
      </c>
      <c r="L199" t="inlineStr">
        <is>
          <t>documents</t>
        </is>
      </c>
      <c r="M199" s="21" t="inlineStr">
        <is>
          <t>4461773-AS-107405</t>
        </is>
      </c>
      <c r="N199" t="inlineStr">
        <is>
          <t>https://drive.google.com/file/d/1F-G4xDVLE82p_E5yrE7XgnIg0xwyqhdh/view?usp=drivesdk</t>
        </is>
      </c>
    </row>
    <row r="200" ht="12" customHeight="1">
      <c r="A200" t="inlineStr">
        <is>
          <t>202605</t>
        </is>
      </c>
      <c r="B200" t="inlineStr">
        <is>
          <t>LTD</t>
        </is>
      </c>
      <c r="C200" t="inlineStr">
        <is>
          <t>cogs</t>
        </is>
      </c>
      <c r="D200" t="inlineStr">
        <is>
          <t>manufacturing</t>
        </is>
      </c>
      <c r="E200" t="inlineStr">
        <is>
          <t>JONDO</t>
        </is>
      </c>
      <c r="F200" t="inlineStr">
        <is>
          <t>invoice</t>
        </is>
      </c>
      <c r="G200" s="4" t="n">
        <v>63.91</v>
      </c>
      <c r="H200" t="inlineStr">
        <is>
          <t>USD</t>
        </is>
      </c>
      <c r="I200" t="inlineStr">
        <is>
          <t>GBP</t>
        </is>
      </c>
      <c r="J200" s="20" t="n">
        <v>0.74478701</v>
      </c>
      <c r="K200" s="4" t="n">
        <v>47.6</v>
      </c>
      <c r="L200" t="inlineStr">
        <is>
          <t>documents</t>
        </is>
      </c>
      <c r="M200" s="21" t="inlineStr">
        <is>
          <t>4461774-AS-107424</t>
        </is>
      </c>
      <c r="N200" t="inlineStr">
        <is>
          <t>https://drive.google.com/file/d/1uzkz_WpvkOtugQ7mwNCx56xNgKKzhPz5/view?usp=drivesdk</t>
        </is>
      </c>
    </row>
    <row r="201" ht="12" customHeight="1">
      <c r="A201" t="inlineStr">
        <is>
          <t>202605</t>
        </is>
      </c>
      <c r="B201" t="inlineStr">
        <is>
          <t>LTD</t>
        </is>
      </c>
      <c r="C201" t="inlineStr">
        <is>
          <t>cogs</t>
        </is>
      </c>
      <c r="D201" t="inlineStr">
        <is>
          <t>manufacturing</t>
        </is>
      </c>
      <c r="E201" t="inlineStr">
        <is>
          <t>JONDO</t>
        </is>
      </c>
      <c r="F201" t="inlineStr">
        <is>
          <t>invoice</t>
        </is>
      </c>
      <c r="G201" s="4" t="n">
        <v>36.41</v>
      </c>
      <c r="H201" t="inlineStr">
        <is>
          <t>USD</t>
        </is>
      </c>
      <c r="I201" t="inlineStr">
        <is>
          <t>GBP</t>
        </is>
      </c>
      <c r="J201" s="20" t="n">
        <v>0.74478701</v>
      </c>
      <c r="K201" s="4" t="n">
        <v>27.12</v>
      </c>
      <c r="L201" t="inlineStr">
        <is>
          <t>documents</t>
        </is>
      </c>
      <c r="M201" s="21" t="inlineStr">
        <is>
          <t>4469147-AS-107678</t>
        </is>
      </c>
      <c r="N201" t="inlineStr">
        <is>
          <t>https://drive.google.com/file/d/1DgsN0GhwdBqQW0OqjeZGFCuiDJqiow9N/view?usp=drivesdk</t>
        </is>
      </c>
    </row>
    <row r="202" ht="12" customHeight="1">
      <c r="A202" t="inlineStr">
        <is>
          <t>202605</t>
        </is>
      </c>
      <c r="B202" t="inlineStr">
        <is>
          <t>LTD</t>
        </is>
      </c>
      <c r="C202" t="inlineStr">
        <is>
          <t>cogs</t>
        </is>
      </c>
      <c r="D202" t="inlineStr">
        <is>
          <t>manufacturing</t>
        </is>
      </c>
      <c r="E202" t="inlineStr">
        <is>
          <t>JONDO</t>
        </is>
      </c>
      <c r="F202" t="inlineStr">
        <is>
          <t>invoice</t>
        </is>
      </c>
      <c r="G202" s="4" t="n">
        <v>36.82</v>
      </c>
      <c r="H202" t="inlineStr">
        <is>
          <t>USD</t>
        </is>
      </c>
      <c r="I202" t="inlineStr">
        <is>
          <t>GBP</t>
        </is>
      </c>
      <c r="J202" s="20" t="n">
        <v>0.74478701</v>
      </c>
      <c r="K202" s="4" t="n">
        <v>27.42</v>
      </c>
      <c r="L202" t="inlineStr">
        <is>
          <t>documents</t>
        </is>
      </c>
      <c r="M202" s="21" t="inlineStr">
        <is>
          <t>4469712-AS-106064</t>
        </is>
      </c>
      <c r="N202" t="inlineStr">
        <is>
          <t>https://drive.google.com/file/d/1hSbdyVtFem4JoSVvDBMvEyc78XeDny9h/view?usp=drivesdk</t>
        </is>
      </c>
    </row>
    <row r="203" ht="12" customHeight="1">
      <c r="A203" t="inlineStr">
        <is>
          <t>202605</t>
        </is>
      </c>
      <c r="B203" t="inlineStr">
        <is>
          <t>LTD</t>
        </is>
      </c>
      <c r="C203" t="inlineStr">
        <is>
          <t>cogs</t>
        </is>
      </c>
      <c r="D203" t="inlineStr">
        <is>
          <t>manufacturing</t>
        </is>
      </c>
      <c r="E203" t="inlineStr">
        <is>
          <t>JONDO</t>
        </is>
      </c>
      <c r="F203" t="inlineStr">
        <is>
          <t>invoice</t>
        </is>
      </c>
      <c r="G203" s="4" t="n">
        <v>71.59999999999999</v>
      </c>
      <c r="H203" t="inlineStr">
        <is>
          <t>USD</t>
        </is>
      </c>
      <c r="I203" t="inlineStr">
        <is>
          <t>GBP</t>
        </is>
      </c>
      <c r="J203" s="20" t="n">
        <v>0.74478701</v>
      </c>
      <c r="K203" s="4" t="n">
        <v>53.33</v>
      </c>
      <c r="L203" t="inlineStr">
        <is>
          <t>documents</t>
        </is>
      </c>
      <c r="M203" s="21" t="inlineStr">
        <is>
          <t>4469714-AS-107820</t>
        </is>
      </c>
      <c r="N203" t="inlineStr">
        <is>
          <t>https://drive.google.com/file/d/1t20RAlpFXdl7ydDorYH1QGVDM5tmLU_N/view?usp=drivesdk</t>
        </is>
      </c>
    </row>
    <row r="204" ht="12" customHeight="1">
      <c r="A204" t="inlineStr">
        <is>
          <t>202605</t>
        </is>
      </c>
      <c r="B204" t="inlineStr">
        <is>
          <t>LTD</t>
        </is>
      </c>
      <c r="C204" t="inlineStr">
        <is>
          <t>cogs</t>
        </is>
      </c>
      <c r="D204" t="inlineStr">
        <is>
          <t>manufacturing</t>
        </is>
      </c>
      <c r="E204" t="inlineStr">
        <is>
          <t>JONDO</t>
        </is>
      </c>
      <c r="F204" t="inlineStr">
        <is>
          <t>invoice</t>
        </is>
      </c>
      <c r="G204" s="4" t="n">
        <v>28.4</v>
      </c>
      <c r="H204" t="inlineStr">
        <is>
          <t>USD</t>
        </is>
      </c>
      <c r="I204" t="inlineStr">
        <is>
          <t>GBP</t>
        </is>
      </c>
      <c r="J204" s="20" t="n">
        <v>0.74478701</v>
      </c>
      <c r="K204" s="4" t="n">
        <v>21.15</v>
      </c>
      <c r="L204" t="inlineStr">
        <is>
          <t>documents</t>
        </is>
      </c>
      <c r="M204" s="21" t="inlineStr">
        <is>
          <t>AS-108081</t>
        </is>
      </c>
      <c r="N204" t="inlineStr">
        <is>
          <t>https://drive.google.com/file/d/1sz5CJwF5TSyuHfbxZzMvQ-_nRbl8QQGl/view?usp=drivesdk</t>
        </is>
      </c>
    </row>
    <row r="205" ht="12" customHeight="1">
      <c r="A205" t="inlineStr">
        <is>
          <t>202605</t>
        </is>
      </c>
      <c r="B205" t="inlineStr">
        <is>
          <t>LTD</t>
        </is>
      </c>
      <c r="C205" t="inlineStr">
        <is>
          <t>cogs</t>
        </is>
      </c>
      <c r="D205" t="inlineStr">
        <is>
          <t>manufacturing</t>
        </is>
      </c>
      <c r="E205" t="inlineStr">
        <is>
          <t>JONDO</t>
        </is>
      </c>
      <c r="F205" t="inlineStr">
        <is>
          <t>invoice</t>
        </is>
      </c>
      <c r="G205" s="4" t="n">
        <v>63.91</v>
      </c>
      <c r="H205" t="inlineStr">
        <is>
          <t>USD</t>
        </is>
      </c>
      <c r="I205" t="inlineStr">
        <is>
          <t>GBP</t>
        </is>
      </c>
      <c r="J205" s="20" t="n">
        <v>0.74478701</v>
      </c>
      <c r="K205" s="4" t="n">
        <v>47.6</v>
      </c>
      <c r="L205" t="inlineStr">
        <is>
          <t>documents</t>
        </is>
      </c>
      <c r="M205" s="21" t="inlineStr">
        <is>
          <t>AS-108210</t>
        </is>
      </c>
      <c r="N205" t="inlineStr">
        <is>
          <t>https://drive.google.com/file/d/1DU3STvFB9C71pl8tyvdxgKEFex62qYBj/view?usp=drivesdk</t>
        </is>
      </c>
    </row>
    <row r="206" ht="12" customHeight="1">
      <c r="A206" t="inlineStr">
        <is>
          <t>202605</t>
        </is>
      </c>
      <c r="B206" t="inlineStr">
        <is>
          <t>LTD</t>
        </is>
      </c>
      <c r="C206" t="inlineStr">
        <is>
          <t>cogs</t>
        </is>
      </c>
      <c r="D206" t="inlineStr">
        <is>
          <t>manufacturing</t>
        </is>
      </c>
      <c r="E206" t="inlineStr">
        <is>
          <t>JONDO</t>
        </is>
      </c>
      <c r="F206" t="inlineStr">
        <is>
          <t>invoice</t>
        </is>
      </c>
      <c r="G206" s="4" t="n">
        <v>56.22</v>
      </c>
      <c r="H206" t="inlineStr">
        <is>
          <t>USD</t>
        </is>
      </c>
      <c r="I206" t="inlineStr">
        <is>
          <t>GBP</t>
        </is>
      </c>
      <c r="J206" s="20" t="n">
        <v>0.74478701</v>
      </c>
      <c r="K206" s="4" t="n">
        <v>41.87</v>
      </c>
      <c r="L206" t="inlineStr">
        <is>
          <t>documents</t>
        </is>
      </c>
      <c r="M206" s="21" t="inlineStr">
        <is>
          <t>AS-108214</t>
        </is>
      </c>
      <c r="N206" t="inlineStr">
        <is>
          <t>https://drive.google.com/file/d/1_G5WRnP75gqITtHoQHzeeMcsL0Ge1w1g/view?usp=drivesdk</t>
        </is>
      </c>
    </row>
    <row r="207" ht="12" customHeight="1">
      <c r="A207" t="inlineStr">
        <is>
          <t>202605</t>
        </is>
      </c>
      <c r="B207" t="inlineStr">
        <is>
          <t>LTD</t>
        </is>
      </c>
      <c r="C207" t="inlineStr">
        <is>
          <t>cogs</t>
        </is>
      </c>
      <c r="D207" t="inlineStr">
        <is>
          <t>logistics</t>
        </is>
      </c>
      <c r="E207" t="inlineStr">
        <is>
          <t>PROCO</t>
        </is>
      </c>
      <c r="F207" t="inlineStr">
        <is>
          <t>logistics</t>
        </is>
      </c>
      <c r="G207" s="4" t="n">
        <v>1842.92</v>
      </c>
      <c r="H207" t="inlineStr">
        <is>
          <t>GBP</t>
        </is>
      </c>
      <c r="I207" t="inlineStr">
        <is>
          <t>GBP</t>
        </is>
      </c>
      <c r="J207" s="20" t="n">
        <v>1</v>
      </c>
      <c r="K207" s="4" t="n">
        <v>1842.92</v>
      </c>
      <c r="L207" t="inlineStr">
        <is>
          <t>documents</t>
        </is>
      </c>
      <c r="M207" s="21" t="inlineStr">
        <is>
          <t>6035582</t>
        </is>
      </c>
      <c r="N207" t="inlineStr">
        <is>
          <t>https://drive.google.com/file/d/1QC50pJqVJ0i-NuQB-DIB4O5jP1mr1HQq/view?usp=drivesdk</t>
        </is>
      </c>
    </row>
    <row r="208" ht="12" customHeight="1">
      <c r="A208" t="inlineStr">
        <is>
          <t>202605</t>
        </is>
      </c>
      <c r="B208" t="inlineStr">
        <is>
          <t>LTD</t>
        </is>
      </c>
      <c r="C208" t="inlineStr">
        <is>
          <t>cogs</t>
        </is>
      </c>
      <c r="D208" t="inlineStr">
        <is>
          <t>manufacturing</t>
        </is>
      </c>
      <c r="E208" t="inlineStr">
        <is>
          <t>PROCO</t>
        </is>
      </c>
      <c r="F208" t="inlineStr">
        <is>
          <t>manufacturing</t>
        </is>
      </c>
      <c r="G208" s="4" t="n">
        <v>5388.35</v>
      </c>
      <c r="H208" t="inlineStr">
        <is>
          <t>GBP</t>
        </is>
      </c>
      <c r="I208" t="inlineStr">
        <is>
          <t>GBP</t>
        </is>
      </c>
      <c r="J208" s="20" t="n">
        <v>1</v>
      </c>
      <c r="K208" s="4" t="n">
        <v>5388.35</v>
      </c>
      <c r="L208" t="inlineStr">
        <is>
          <t>documents</t>
        </is>
      </c>
      <c r="M208" s="21" t="inlineStr">
        <is>
          <t>6035582</t>
        </is>
      </c>
      <c r="N208" t="inlineStr">
        <is>
          <t>https://drive.google.com/file/d/1QC50pJqVJ0i-NuQB-DIB4O5jP1mr1HQq/view?usp=drivesdk</t>
        </is>
      </c>
    </row>
    <row r="209" ht="12" customHeight="1">
      <c r="A209" t="inlineStr">
        <is>
          <t>202605</t>
        </is>
      </c>
      <c r="B209" t="inlineStr">
        <is>
          <t>LTD</t>
        </is>
      </c>
      <c r="C209" t="inlineStr">
        <is>
          <t>opex</t>
        </is>
      </c>
      <c r="D209" t="inlineStr">
        <is>
          <t>technology</t>
        </is>
      </c>
      <c r="E209" t="inlineStr">
        <is>
          <t>REVER</t>
        </is>
      </c>
      <c r="F209" t="inlineStr">
        <is>
          <t>invoice</t>
        </is>
      </c>
      <c r="G209" s="4" t="n">
        <v>81.37</v>
      </c>
      <c r="H209" t="inlineStr">
        <is>
          <t>EUR</t>
        </is>
      </c>
      <c r="I209" t="inlineStr">
        <is>
          <t>GBP</t>
        </is>
      </c>
      <c r="J209" s="20" t="n">
        <v>0.8672299999999999</v>
      </c>
      <c r="K209" s="4" t="n">
        <v>70.56999999999999</v>
      </c>
      <c r="L209" t="inlineStr">
        <is>
          <t>documents</t>
        </is>
      </c>
      <c r="M209" s="21" t="inlineStr">
        <is>
          <t>RVR-20439</t>
        </is>
      </c>
      <c r="N209" t="inlineStr">
        <is>
          <t>https://drive.google.com/file/d/18gyPa-FjM7tQ5VetQ-cmJsj21WMqB7YJ/view?usp=drivesdk</t>
        </is>
      </c>
    </row>
    <row r="210" ht="12" customHeight="1">
      <c r="A210" t="inlineStr">
        <is>
          <t>202605</t>
        </is>
      </c>
      <c r="B210" t="inlineStr">
        <is>
          <t>LTD</t>
        </is>
      </c>
      <c r="C210" t="inlineStr">
        <is>
          <t>opex</t>
        </is>
      </c>
      <c r="D210" t="inlineStr">
        <is>
          <t>shared_services</t>
        </is>
      </c>
      <c r="E210" t="inlineStr">
        <is>
          <t>SHAREDSERVICESSL</t>
        </is>
      </c>
      <c r="F210" t="inlineStr">
        <is>
          <t>invoice</t>
        </is>
      </c>
      <c r="G210" s="4" t="n">
        <v>12909.18</v>
      </c>
      <c r="H210" t="inlineStr">
        <is>
          <t>EUR</t>
        </is>
      </c>
      <c r="I210" t="inlineStr">
        <is>
          <t>GBP</t>
        </is>
      </c>
      <c r="J210" s="20" t="n">
        <v>0.8672299999999999</v>
      </c>
      <c r="K210" s="4" t="n">
        <v>11195.23</v>
      </c>
      <c r="L210" t="inlineStr">
        <is>
          <t>documents</t>
        </is>
      </c>
      <c r="M210" s="21" t="inlineStr">
        <is>
          <t>2026-0027</t>
        </is>
      </c>
      <c r="N210" t="inlineStr">
        <is>
          <t>https://drive.google.com/file/d/13vcEBkqDKaSJerk401zu6MdDFpeCSKic/view?usp=drivesdk</t>
        </is>
      </c>
    </row>
    <row r="211" ht="12" customHeight="1">
      <c r="A211" t="inlineStr">
        <is>
          <t>202605</t>
        </is>
      </c>
      <c r="B211" t="inlineStr">
        <is>
          <t>LTD</t>
        </is>
      </c>
      <c r="C211" t="inlineStr">
        <is>
          <t>opex</t>
        </is>
      </c>
      <c r="D211" t="inlineStr">
        <is>
          <t>administration</t>
        </is>
      </c>
      <c r="E211" t="inlineStr">
        <is>
          <t>YOURACCOUNTSTAXES</t>
        </is>
      </c>
      <c r="F211" t="inlineStr">
        <is>
          <t>invoice</t>
        </is>
      </c>
      <c r="G211" s="4" t="n">
        <v>26.5</v>
      </c>
      <c r="H211" t="inlineStr">
        <is>
          <t>GBP</t>
        </is>
      </c>
      <c r="I211" t="inlineStr">
        <is>
          <t>GBP</t>
        </is>
      </c>
      <c r="J211" s="20" t="n">
        <v>1</v>
      </c>
      <c r="K211" s="4" t="n">
        <v>26.5</v>
      </c>
      <c r="L211" t="inlineStr">
        <is>
          <t>documents</t>
        </is>
      </c>
      <c r="M211" s="21" t="inlineStr">
        <is>
          <t>INV-0679_PERIODIFICADA_5_12</t>
        </is>
      </c>
      <c r="N211" t="inlineStr">
        <is>
          <t>https://drive.google.com/file/d/1bP1XnXo2Vs8zIS0sVNRvq52xJQH7BSfD/view?usp=drivesdk</t>
        </is>
      </c>
    </row>
    <row r="212" ht="12" customHeight="1">
      <c r="A212" t="inlineStr">
        <is>
          <t>202605</t>
        </is>
      </c>
      <c r="B212" t="inlineStr">
        <is>
          <t>LTD</t>
        </is>
      </c>
      <c r="C212" t="inlineStr">
        <is>
          <t>opex</t>
        </is>
      </c>
      <c r="D212" t="inlineStr">
        <is>
          <t>administration</t>
        </is>
      </c>
      <c r="E212" t="inlineStr">
        <is>
          <t>YOURACCOUNTSTAXES</t>
        </is>
      </c>
      <c r="F212" t="inlineStr">
        <is>
          <t>invoice</t>
        </is>
      </c>
      <c r="G212" s="4" t="n">
        <v>55</v>
      </c>
      <c r="H212" t="inlineStr">
        <is>
          <t>GBP</t>
        </is>
      </c>
      <c r="I212" t="inlineStr">
        <is>
          <t>GBP</t>
        </is>
      </c>
      <c r="J212" s="20" t="n">
        <v>1</v>
      </c>
      <c r="K212" s="4" t="n">
        <v>55</v>
      </c>
      <c r="L212" t="inlineStr">
        <is>
          <t>documents</t>
        </is>
      </c>
      <c r="M212" s="21" t="inlineStr">
        <is>
          <t>INV-0681_PERIODIFICADA_4_12</t>
        </is>
      </c>
      <c r="N212" t="inlineStr">
        <is>
          <t>https://drive.google.com/file/d/1ddnzOxZZgaXtVcRqNHeEt9LTz5s8C26J/view?usp=drivesdk</t>
        </is>
      </c>
    </row>
    <row r="213" ht="12" customHeight="1">
      <c r="A213" t="inlineStr">
        <is>
          <t>202605</t>
        </is>
      </c>
      <c r="B213" t="inlineStr">
        <is>
          <t>LTD</t>
        </is>
      </c>
      <c r="C213" t="inlineStr">
        <is>
          <t>opex</t>
        </is>
      </c>
      <c r="D213" t="inlineStr">
        <is>
          <t>administration</t>
        </is>
      </c>
      <c r="E213" t="inlineStr">
        <is>
          <t>YOURACCOUNTSTAXES</t>
        </is>
      </c>
      <c r="F213" t="inlineStr">
        <is>
          <t>invoice</t>
        </is>
      </c>
      <c r="G213" s="4" t="n">
        <v>103.67</v>
      </c>
      <c r="H213" t="inlineStr">
        <is>
          <t>GBP</t>
        </is>
      </c>
      <c r="I213" t="inlineStr">
        <is>
          <t>GBP</t>
        </is>
      </c>
      <c r="J213" s="20" t="n">
        <v>1</v>
      </c>
      <c r="K213" s="4" t="n">
        <v>103.67</v>
      </c>
      <c r="L213" t="inlineStr">
        <is>
          <t>documents</t>
        </is>
      </c>
      <c r="M213" s="21" t="inlineStr">
        <is>
          <t>INV-0682_PERIODIFICADA_5_12</t>
        </is>
      </c>
      <c r="N213" t="inlineStr">
        <is>
          <t>https://drive.google.com/file/d/1Z-NJHduArecH7-687SOBbQfa8Ef1m52p/view?usp=drivesdk</t>
        </is>
      </c>
    </row>
    <row r="214" ht="12" customHeight="1">
      <c r="A214" t="inlineStr">
        <is>
          <t>202606</t>
        </is>
      </c>
      <c r="B214" t="inlineStr">
        <is>
          <t>LTD</t>
        </is>
      </c>
      <c r="C214" t="inlineStr">
        <is>
          <t>cogs</t>
        </is>
      </c>
      <c r="D214" t="inlineStr">
        <is>
          <t>manufacturing</t>
        </is>
      </c>
      <c r="E214" t="inlineStr">
        <is>
          <t>JONDO</t>
        </is>
      </c>
      <c r="F214" t="inlineStr">
        <is>
          <t>invoice</t>
        </is>
      </c>
      <c r="G214" s="4" t="n">
        <v>71.59999999999999</v>
      </c>
      <c r="H214" t="inlineStr">
        <is>
          <t>USD</t>
        </is>
      </c>
      <c r="I214" t="inlineStr">
        <is>
          <t>GBP</t>
        </is>
      </c>
      <c r="J214" s="20" t="n">
        <v>0.75634544</v>
      </c>
      <c r="K214" s="4" t="n">
        <v>54.15</v>
      </c>
      <c r="L214" t="inlineStr">
        <is>
          <t>documents</t>
        </is>
      </c>
      <c r="M214" s="21" t="inlineStr">
        <is>
          <t>4473190-AS-107963</t>
        </is>
      </c>
      <c r="N214" t="inlineStr">
        <is>
          <t>https://drive.google.com/file/d/1Vrl6xivRyb6m6ejGzxlmhKpf8SGfwWi5/view?usp=drivesdk</t>
        </is>
      </c>
    </row>
    <row r="215" ht="12" customHeight="1">
      <c r="A215" t="inlineStr">
        <is>
          <t>202606</t>
        </is>
      </c>
      <c r="B215" t="inlineStr">
        <is>
          <t>LTD</t>
        </is>
      </c>
      <c r="C215" t="inlineStr">
        <is>
          <t>cogs</t>
        </is>
      </c>
      <c r="D215" t="inlineStr">
        <is>
          <t>manufacturing</t>
        </is>
      </c>
      <c r="E215" t="inlineStr">
        <is>
          <t>JONDO</t>
        </is>
      </c>
      <c r="F215" t="inlineStr">
        <is>
          <t>invoice</t>
        </is>
      </c>
      <c r="G215" s="4" t="n">
        <v>36.41</v>
      </c>
      <c r="H215" t="inlineStr">
        <is>
          <t>USD</t>
        </is>
      </c>
      <c r="I215" t="inlineStr">
        <is>
          <t>GBP</t>
        </is>
      </c>
      <c r="J215" s="20" t="n">
        <v>0.75634544</v>
      </c>
      <c r="K215" s="4" t="n">
        <v>27.54</v>
      </c>
      <c r="L215" t="inlineStr">
        <is>
          <t>documents</t>
        </is>
      </c>
      <c r="M215" s="21" t="inlineStr">
        <is>
          <t>4473191-AS-107956</t>
        </is>
      </c>
      <c r="N215" t="inlineStr">
        <is>
          <t>https://drive.google.com/file/d/1UnDE9gtwPEZEOWrG61Dh0d3om0P0hNmY/view?usp=drivesdk</t>
        </is>
      </c>
    </row>
    <row r="216" ht="12" customHeight="1">
      <c r="A216" t="inlineStr">
        <is>
          <t>202606</t>
        </is>
      </c>
      <c r="B216" t="inlineStr">
        <is>
          <t>LTD</t>
        </is>
      </c>
      <c r="C216" t="inlineStr">
        <is>
          <t>cogs</t>
        </is>
      </c>
      <c r="D216" t="inlineStr">
        <is>
          <t>manufacturing</t>
        </is>
      </c>
      <c r="E216" t="inlineStr">
        <is>
          <t>JONDO</t>
        </is>
      </c>
      <c r="F216" t="inlineStr">
        <is>
          <t>invoice</t>
        </is>
      </c>
      <c r="G216" s="4" t="n">
        <v>63.91</v>
      </c>
      <c r="H216" t="inlineStr">
        <is>
          <t>USD</t>
        </is>
      </c>
      <c r="I216" t="inlineStr">
        <is>
          <t>GBP</t>
        </is>
      </c>
      <c r="J216" s="20" t="n">
        <v>0.75634544</v>
      </c>
      <c r="K216" s="4" t="n">
        <v>48.34</v>
      </c>
      <c r="L216" t="inlineStr">
        <is>
          <t>documents</t>
        </is>
      </c>
      <c r="M216" s="21" t="inlineStr">
        <is>
          <t>4473260-AS-108210</t>
        </is>
      </c>
      <c r="N216" t="inlineStr">
        <is>
          <t>https://drive.google.com/file/d/1dNFC8T98mqy3XBbKyNqJTibTHwywiH0w/view?usp=drivesdk</t>
        </is>
      </c>
    </row>
    <row r="217" ht="12" customHeight="1">
      <c r="A217" t="inlineStr">
        <is>
          <t>202606</t>
        </is>
      </c>
      <c r="B217" t="inlineStr">
        <is>
          <t>LTD</t>
        </is>
      </c>
      <c r="C217" t="inlineStr">
        <is>
          <t>cogs</t>
        </is>
      </c>
      <c r="D217" t="inlineStr">
        <is>
          <t>manufacturing</t>
        </is>
      </c>
      <c r="E217" t="inlineStr">
        <is>
          <t>JONDO</t>
        </is>
      </c>
      <c r="F217" t="inlineStr">
        <is>
          <t>invoice</t>
        </is>
      </c>
      <c r="G217" s="4" t="n">
        <v>56.22</v>
      </c>
      <c r="H217" t="inlineStr">
        <is>
          <t>USD</t>
        </is>
      </c>
      <c r="I217" t="inlineStr">
        <is>
          <t>GBP</t>
        </is>
      </c>
      <c r="J217" s="20" t="n">
        <v>0.75634544</v>
      </c>
      <c r="K217" s="4" t="n">
        <v>42.52</v>
      </c>
      <c r="L217" t="inlineStr">
        <is>
          <t>documents</t>
        </is>
      </c>
      <c r="M217" s="21" t="inlineStr">
        <is>
          <t>4473261-AS-108214</t>
        </is>
      </c>
      <c r="N217" t="inlineStr">
        <is>
          <t>https://drive.google.com/file/d/1XlImU2FDEY3qDGb6OzwfAoJHISYfAFxW/view?usp=drivesdk</t>
        </is>
      </c>
    </row>
    <row r="218" ht="12" customHeight="1">
      <c r="A218" t="inlineStr">
        <is>
          <t>202606</t>
        </is>
      </c>
      <c r="B218" t="inlineStr">
        <is>
          <t>LTD</t>
        </is>
      </c>
      <c r="C218" t="inlineStr">
        <is>
          <t>cogs</t>
        </is>
      </c>
      <c r="D218" t="inlineStr">
        <is>
          <t>manufacturing</t>
        </is>
      </c>
      <c r="E218" t="inlineStr">
        <is>
          <t>JONDO</t>
        </is>
      </c>
      <c r="F218" t="inlineStr">
        <is>
          <t>invoice</t>
        </is>
      </c>
      <c r="G218" s="4" t="n">
        <v>28.4</v>
      </c>
      <c r="H218" t="inlineStr">
        <is>
          <t>USD</t>
        </is>
      </c>
      <c r="I218" t="inlineStr">
        <is>
          <t>GBP</t>
        </is>
      </c>
      <c r="J218" s="20" t="n">
        <v>0.75634544</v>
      </c>
      <c r="K218" s="4" t="n">
        <v>21.48</v>
      </c>
      <c r="L218" t="inlineStr">
        <is>
          <t>documents</t>
        </is>
      </c>
      <c r="M218" s="21" t="inlineStr">
        <is>
          <t>4473262-AS-108081</t>
        </is>
      </c>
      <c r="N218" t="inlineStr">
        <is>
          <t>https://drive.google.com/file/d/16I5ZKb2toSiWXkmD2JfWaTD2l6GJGxNb/view?usp=drivesdk</t>
        </is>
      </c>
    </row>
    <row r="219" ht="12" customHeight="1">
      <c r="A219" t="inlineStr">
        <is>
          <t>202606</t>
        </is>
      </c>
      <c r="B219" t="inlineStr">
        <is>
          <t>LTD</t>
        </is>
      </c>
      <c r="C219" t="inlineStr">
        <is>
          <t>cogs</t>
        </is>
      </c>
      <c r="D219" t="inlineStr">
        <is>
          <t>manufacturing</t>
        </is>
      </c>
      <c r="E219" t="inlineStr">
        <is>
          <t>JONDO</t>
        </is>
      </c>
      <c r="F219" t="inlineStr">
        <is>
          <t>invoice</t>
        </is>
      </c>
      <c r="G219" s="4" t="n">
        <v>28.4</v>
      </c>
      <c r="H219" t="inlineStr">
        <is>
          <t>USD</t>
        </is>
      </c>
      <c r="I219" t="inlineStr">
        <is>
          <t>GBP</t>
        </is>
      </c>
      <c r="J219" s="20" t="n">
        <v>0.75634544</v>
      </c>
      <c r="K219" s="4" t="n">
        <v>21.48</v>
      </c>
      <c r="L219" t="inlineStr">
        <is>
          <t>documents</t>
        </is>
      </c>
      <c r="M219" s="21" t="inlineStr">
        <is>
          <t>4474331-AS-108311</t>
        </is>
      </c>
      <c r="N219" t="inlineStr">
        <is>
          <t>https://drive.google.com/file/d/1YQrw6oy7bbjK-GZ170J4VWJ2juAJj-zp/view?usp=drivesdk</t>
        </is>
      </c>
    </row>
    <row r="220" ht="12" customHeight="1">
      <c r="A220" t="inlineStr">
        <is>
          <t>202606</t>
        </is>
      </c>
      <c r="B220" t="inlineStr">
        <is>
          <t>LTD</t>
        </is>
      </c>
      <c r="C220" t="inlineStr">
        <is>
          <t>cogs</t>
        </is>
      </c>
      <c r="D220" t="inlineStr">
        <is>
          <t>manufacturing</t>
        </is>
      </c>
      <c r="E220" t="inlineStr">
        <is>
          <t>JONDO</t>
        </is>
      </c>
      <c r="F220" t="inlineStr">
        <is>
          <t>invoice</t>
        </is>
      </c>
      <c r="G220" s="4" t="n">
        <v>15.64</v>
      </c>
      <c r="H220" t="inlineStr">
        <is>
          <t>USD</t>
        </is>
      </c>
      <c r="I220" t="inlineStr">
        <is>
          <t>GBP</t>
        </is>
      </c>
      <c r="J220" s="20" t="n">
        <v>0.75634544</v>
      </c>
      <c r="K220" s="4" t="n">
        <v>11.83</v>
      </c>
      <c r="L220" t="inlineStr">
        <is>
          <t>documents</t>
        </is>
      </c>
      <c r="M220" s="21" t="inlineStr">
        <is>
          <t>4476900-AS-108549</t>
        </is>
      </c>
      <c r="N220" t="inlineStr">
        <is>
          <t>https://drive.google.com/file/d/1Dk0xF7GTwRwpwe6q639nsE6S5ZUDgbhn/view?usp=drivesdk</t>
        </is>
      </c>
    </row>
    <row r="221" ht="12" customHeight="1">
      <c r="A221" t="inlineStr">
        <is>
          <t>202606</t>
        </is>
      </c>
      <c r="B221" t="inlineStr">
        <is>
          <t>LTD</t>
        </is>
      </c>
      <c r="C221" t="inlineStr">
        <is>
          <t>cogs</t>
        </is>
      </c>
      <c r="D221" t="inlineStr">
        <is>
          <t>manufacturing</t>
        </is>
      </c>
      <c r="E221" t="inlineStr">
        <is>
          <t>JONDO</t>
        </is>
      </c>
      <c r="F221" t="inlineStr">
        <is>
          <t>invoice</t>
        </is>
      </c>
      <c r="G221" s="4" t="n">
        <v>93.04000000000001</v>
      </c>
      <c r="H221" t="inlineStr">
        <is>
          <t>USD</t>
        </is>
      </c>
      <c r="I221" t="inlineStr">
        <is>
          <t>GBP</t>
        </is>
      </c>
      <c r="J221" s="20" t="n">
        <v>0.75634544</v>
      </c>
      <c r="K221" s="4" t="n">
        <v>70.37</v>
      </c>
      <c r="L221" t="inlineStr">
        <is>
          <t>documents</t>
        </is>
      </c>
      <c r="M221" s="21" t="inlineStr">
        <is>
          <t>4476901-AS-108565</t>
        </is>
      </c>
      <c r="N221" t="inlineStr">
        <is>
          <t>https://drive.google.com/file/d/1CpIO27AYZwKFhYqADCJqAFUfzmGYX1jB/view?usp=drivesdk</t>
        </is>
      </c>
    </row>
    <row r="222" ht="12" customHeight="1">
      <c r="A222" t="inlineStr">
        <is>
          <t>202606</t>
        </is>
      </c>
      <c r="B222" t="inlineStr">
        <is>
          <t>LTD</t>
        </is>
      </c>
      <c r="C222" t="inlineStr">
        <is>
          <t>cogs</t>
        </is>
      </c>
      <c r="D222" t="inlineStr">
        <is>
          <t>manufacturing</t>
        </is>
      </c>
      <c r="E222" t="inlineStr">
        <is>
          <t>JONDO</t>
        </is>
      </c>
      <c r="F222" t="inlineStr">
        <is>
          <t>invoice</t>
        </is>
      </c>
      <c r="G222" s="4" t="n">
        <v>56.22</v>
      </c>
      <c r="H222" t="inlineStr">
        <is>
          <t>USD</t>
        </is>
      </c>
      <c r="I222" t="inlineStr">
        <is>
          <t>GBP</t>
        </is>
      </c>
      <c r="J222" s="20" t="n">
        <v>0.75634544</v>
      </c>
      <c r="K222" s="4" t="n">
        <v>42.52</v>
      </c>
      <c r="L222" t="inlineStr">
        <is>
          <t>documents</t>
        </is>
      </c>
      <c r="M222" s="21" t="inlineStr">
        <is>
          <t>4476902-AS-108562</t>
        </is>
      </c>
      <c r="N222" t="inlineStr">
        <is>
          <t>https://drive.google.com/file/d/1N4PgFo3qXBFERfXxKcPRxkhuPXK_iMGz/view?usp=drivesdk</t>
        </is>
      </c>
    </row>
    <row r="223" ht="12" customHeight="1">
      <c r="A223" t="inlineStr">
        <is>
          <t>202606</t>
        </is>
      </c>
      <c r="B223" t="inlineStr">
        <is>
          <t>LTD</t>
        </is>
      </c>
      <c r="C223" t="inlineStr">
        <is>
          <t>cogs</t>
        </is>
      </c>
      <c r="D223" t="inlineStr">
        <is>
          <t>manufacturing</t>
        </is>
      </c>
      <c r="E223" t="inlineStr">
        <is>
          <t>JONDO</t>
        </is>
      </c>
      <c r="F223" t="inlineStr">
        <is>
          <t>invoice</t>
        </is>
      </c>
      <c r="G223" s="4" t="n">
        <v>93.04000000000001</v>
      </c>
      <c r="H223" t="inlineStr">
        <is>
          <t>USD</t>
        </is>
      </c>
      <c r="I223" t="inlineStr">
        <is>
          <t>GBP</t>
        </is>
      </c>
      <c r="J223" s="20" t="n">
        <v>0.75634544</v>
      </c>
      <c r="K223" s="4" t="n">
        <v>70.37</v>
      </c>
      <c r="L223" t="inlineStr">
        <is>
          <t>documents</t>
        </is>
      </c>
      <c r="M223" s="21" t="inlineStr">
        <is>
          <t>4476903-AS-108566</t>
        </is>
      </c>
      <c r="N223" t="inlineStr">
        <is>
          <t>https://drive.google.com/file/d/1hSvT2XMVg0VvFYhPyTD_ADiiBKI1iij7/view?usp=drivesdk</t>
        </is>
      </c>
    </row>
    <row r="224" ht="12" customHeight="1">
      <c r="A224" t="inlineStr">
        <is>
          <t>202606</t>
        </is>
      </c>
      <c r="B224" t="inlineStr">
        <is>
          <t>LTD</t>
        </is>
      </c>
      <c r="C224" t="inlineStr">
        <is>
          <t>cogs</t>
        </is>
      </c>
      <c r="D224" t="inlineStr">
        <is>
          <t>manufacturing</t>
        </is>
      </c>
      <c r="E224" t="inlineStr">
        <is>
          <t>JONDO</t>
        </is>
      </c>
      <c r="F224" t="inlineStr">
        <is>
          <t>invoice</t>
        </is>
      </c>
      <c r="G224" s="4" t="n">
        <v>44.06</v>
      </c>
      <c r="H224" t="inlineStr">
        <is>
          <t>USD</t>
        </is>
      </c>
      <c r="I224" t="inlineStr">
        <is>
          <t>GBP</t>
        </is>
      </c>
      <c r="J224" s="20" t="n">
        <v>0.75634544</v>
      </c>
      <c r="K224" s="4" t="n">
        <v>33.32</v>
      </c>
      <c r="L224" t="inlineStr">
        <is>
          <t>documents</t>
        </is>
      </c>
      <c r="M224" s="21" t="inlineStr">
        <is>
          <t>4478442-AS-108692</t>
        </is>
      </c>
      <c r="N224" t="inlineStr">
        <is>
          <t>https://drive.google.com/file/d/1dmmc21x-Eahne2P1X3NribMytJp5ye0J/view?usp=drivesdk</t>
        </is>
      </c>
    </row>
    <row r="225" ht="12" customHeight="1">
      <c r="A225" t="inlineStr">
        <is>
          <t>202606</t>
        </is>
      </c>
      <c r="B225" t="inlineStr">
        <is>
          <t>LTD</t>
        </is>
      </c>
      <c r="C225" t="inlineStr">
        <is>
          <t>cogs</t>
        </is>
      </c>
      <c r="D225" t="inlineStr">
        <is>
          <t>manufacturing</t>
        </is>
      </c>
      <c r="E225" t="inlineStr">
        <is>
          <t>JONDO</t>
        </is>
      </c>
      <c r="F225" t="inlineStr">
        <is>
          <t>invoice</t>
        </is>
      </c>
      <c r="G225" s="4" t="n">
        <v>44.06</v>
      </c>
      <c r="H225" t="inlineStr">
        <is>
          <t>USD</t>
        </is>
      </c>
      <c r="I225" t="inlineStr">
        <is>
          <t>GBP</t>
        </is>
      </c>
      <c r="J225" s="20" t="n">
        <v>0.75634544</v>
      </c>
      <c r="K225" s="4" t="n">
        <v>33.32</v>
      </c>
      <c r="L225" t="inlineStr">
        <is>
          <t>documents</t>
        </is>
      </c>
      <c r="M225" s="21" t="inlineStr">
        <is>
          <t>4478443-AS-108681</t>
        </is>
      </c>
      <c r="N225" t="inlineStr">
        <is>
          <t>https://drive.google.com/file/d/12ZMr_rPlm4lR5d28kRWluthVsApBM0A9/view?usp=drivesdk</t>
        </is>
      </c>
    </row>
    <row r="226" ht="12" customHeight="1">
      <c r="A226" t="inlineStr">
        <is>
          <t>202606</t>
        </is>
      </c>
      <c r="B226" t="inlineStr">
        <is>
          <t>LTD</t>
        </is>
      </c>
      <c r="C226" t="inlineStr">
        <is>
          <t>cogs</t>
        </is>
      </c>
      <c r="D226" t="inlineStr">
        <is>
          <t>manufacturing</t>
        </is>
      </c>
      <c r="E226" t="inlineStr">
        <is>
          <t>JONDO</t>
        </is>
      </c>
      <c r="F226" t="inlineStr">
        <is>
          <t>invoice</t>
        </is>
      </c>
      <c r="G226" s="4" t="n">
        <v>42.06</v>
      </c>
      <c r="H226" t="inlineStr">
        <is>
          <t>USD</t>
        </is>
      </c>
      <c r="I226" t="inlineStr">
        <is>
          <t>GBP</t>
        </is>
      </c>
      <c r="J226" s="20" t="n">
        <v>0.75634544</v>
      </c>
      <c r="K226" s="4" t="n">
        <v>31.81</v>
      </c>
      <c r="L226" t="inlineStr">
        <is>
          <t>documents</t>
        </is>
      </c>
      <c r="M226" s="21" t="inlineStr">
        <is>
          <t>4478444-AS-108723</t>
        </is>
      </c>
      <c r="N226" t="inlineStr">
        <is>
          <t>https://drive.google.com/file/d/1WP7QJci24cji4LkjLiqN37uKRrMZiuYf/view?usp=drivesdk</t>
        </is>
      </c>
    </row>
    <row r="227" ht="12" customHeight="1">
      <c r="A227" t="inlineStr">
        <is>
          <t>202606</t>
        </is>
      </c>
      <c r="B227" t="inlineStr">
        <is>
          <t>LTD</t>
        </is>
      </c>
      <c r="C227" t="inlineStr">
        <is>
          <t>cogs</t>
        </is>
      </c>
      <c r="D227" t="inlineStr">
        <is>
          <t>manufacturing</t>
        </is>
      </c>
      <c r="E227" t="inlineStr">
        <is>
          <t>JONDO</t>
        </is>
      </c>
      <c r="F227" t="inlineStr">
        <is>
          <t>invoice</t>
        </is>
      </c>
      <c r="G227" s="4" t="n">
        <v>24.54</v>
      </c>
      <c r="H227" t="inlineStr">
        <is>
          <t>USD</t>
        </is>
      </c>
      <c r="I227" t="inlineStr">
        <is>
          <t>GBP</t>
        </is>
      </c>
      <c r="J227" s="20" t="n">
        <v>0.75634544</v>
      </c>
      <c r="K227" s="4" t="n">
        <v>18.56</v>
      </c>
      <c r="L227" t="inlineStr">
        <is>
          <t>documents</t>
        </is>
      </c>
      <c r="M227" s="21" t="inlineStr">
        <is>
          <t>4478445-AS-108706</t>
        </is>
      </c>
      <c r="N227" t="inlineStr">
        <is>
          <t>https://drive.google.com/file/d/1C9OFjg948iaVDl6alGxwdKjzClTqVmzh/view?usp=drivesdk</t>
        </is>
      </c>
    </row>
    <row r="228" ht="12" customHeight="1">
      <c r="A228" t="inlineStr">
        <is>
          <t>202606</t>
        </is>
      </c>
      <c r="B228" t="inlineStr">
        <is>
          <t>LTD</t>
        </is>
      </c>
      <c r="C228" t="inlineStr">
        <is>
          <t>cogs</t>
        </is>
      </c>
      <c r="D228" t="inlineStr">
        <is>
          <t>manufacturing</t>
        </is>
      </c>
      <c r="E228" t="inlineStr">
        <is>
          <t>JONDO</t>
        </is>
      </c>
      <c r="F228" t="inlineStr">
        <is>
          <t>invoice</t>
        </is>
      </c>
      <c r="G228" s="4" t="n">
        <v>93.04000000000001</v>
      </c>
      <c r="H228" t="inlineStr">
        <is>
          <t>USD</t>
        </is>
      </c>
      <c r="I228" t="inlineStr">
        <is>
          <t>GBP</t>
        </is>
      </c>
      <c r="J228" s="20" t="n">
        <v>0.75634544</v>
      </c>
      <c r="K228" s="4" t="n">
        <v>70.37</v>
      </c>
      <c r="L228" t="inlineStr">
        <is>
          <t>documents</t>
        </is>
      </c>
      <c r="M228" s="21" t="inlineStr">
        <is>
          <t>4478446-AS-108728</t>
        </is>
      </c>
      <c r="N228" t="inlineStr">
        <is>
          <t>https://drive.google.com/file/d/1RO3XMApWz_1sWmInPLaP0R3YGhdk4770/view?usp=drivesdk</t>
        </is>
      </c>
    </row>
    <row r="229" ht="12" customHeight="1">
      <c r="A229" t="inlineStr">
        <is>
          <t>202606</t>
        </is>
      </c>
      <c r="B229" t="inlineStr">
        <is>
          <t>LTD</t>
        </is>
      </c>
      <c r="C229" t="inlineStr">
        <is>
          <t>cogs</t>
        </is>
      </c>
      <c r="D229" t="inlineStr">
        <is>
          <t>manufacturing</t>
        </is>
      </c>
      <c r="E229" t="inlineStr">
        <is>
          <t>JONDO</t>
        </is>
      </c>
      <c r="F229" t="inlineStr">
        <is>
          <t>invoice</t>
        </is>
      </c>
      <c r="G229" s="4" t="n">
        <v>56.22</v>
      </c>
      <c r="H229" t="inlineStr">
        <is>
          <t>USD</t>
        </is>
      </c>
      <c r="I229" t="inlineStr">
        <is>
          <t>GBP</t>
        </is>
      </c>
      <c r="J229" s="20" t="n">
        <v>0.75634544</v>
      </c>
      <c r="K229" s="4" t="n">
        <v>42.52</v>
      </c>
      <c r="L229" t="inlineStr">
        <is>
          <t>documents</t>
        </is>
      </c>
      <c r="M229" s="21" t="inlineStr">
        <is>
          <t>4478447-AS-108610</t>
        </is>
      </c>
      <c r="N229" t="inlineStr">
        <is>
          <t>https://drive.google.com/file/d/18hkmVhYu_WL44gNroIIvKBMfJ0yEElOc/view?usp=drivesdk</t>
        </is>
      </c>
    </row>
    <row r="230" ht="12" customHeight="1">
      <c r="A230" t="inlineStr">
        <is>
          <t>202606</t>
        </is>
      </c>
      <c r="B230" t="inlineStr">
        <is>
          <t>LTD</t>
        </is>
      </c>
      <c r="C230" t="inlineStr">
        <is>
          <t>cogs</t>
        </is>
      </c>
      <c r="D230" t="inlineStr">
        <is>
          <t>manufacturing</t>
        </is>
      </c>
      <c r="E230" t="inlineStr">
        <is>
          <t>JONDO</t>
        </is>
      </c>
      <c r="F230" t="inlineStr">
        <is>
          <t>invoice</t>
        </is>
      </c>
      <c r="G230" s="4" t="n">
        <v>36.41</v>
      </c>
      <c r="H230" t="inlineStr">
        <is>
          <t>USD</t>
        </is>
      </c>
      <c r="I230" t="inlineStr">
        <is>
          <t>GBP</t>
        </is>
      </c>
      <c r="J230" s="20" t="n">
        <v>0.75634544</v>
      </c>
      <c r="K230" s="4" t="n">
        <v>27.54</v>
      </c>
      <c r="L230" t="inlineStr">
        <is>
          <t>documents</t>
        </is>
      </c>
      <c r="M230" s="21" t="inlineStr">
        <is>
          <t>4478448-AS-108654</t>
        </is>
      </c>
      <c r="N230" t="inlineStr">
        <is>
          <t>https://drive.google.com/file/d/1Yof-V8Kz29HVTFxUCi7UorngBKzjNMnI/view?usp=drivesdk</t>
        </is>
      </c>
    </row>
    <row r="231" ht="12" customHeight="1">
      <c r="A231" t="inlineStr">
        <is>
          <t>202606</t>
        </is>
      </c>
      <c r="B231" t="inlineStr">
        <is>
          <t>LTD</t>
        </is>
      </c>
      <c r="C231" t="inlineStr">
        <is>
          <t>cogs</t>
        </is>
      </c>
      <c r="D231" t="inlineStr">
        <is>
          <t>manufacturing</t>
        </is>
      </c>
      <c r="E231" t="inlineStr">
        <is>
          <t>JONDO</t>
        </is>
      </c>
      <c r="F231" t="inlineStr">
        <is>
          <t>invoice</t>
        </is>
      </c>
      <c r="G231" s="4" t="n">
        <v>20.5</v>
      </c>
      <c r="H231" t="inlineStr">
        <is>
          <t>USD</t>
        </is>
      </c>
      <c r="I231" t="inlineStr">
        <is>
          <t>GBP</t>
        </is>
      </c>
      <c r="J231" s="20" t="n">
        <v>0.75634544</v>
      </c>
      <c r="K231" s="4" t="n">
        <v>15.51</v>
      </c>
      <c r="L231" t="inlineStr">
        <is>
          <t>documents</t>
        </is>
      </c>
      <c r="M231" s="21" t="inlineStr">
        <is>
          <t>4479439-AS-108859</t>
        </is>
      </c>
      <c r="N231" t="inlineStr">
        <is>
          <t>https://drive.google.com/file/d/1DixA1Tz6W5b2XxaCVD8tAkSu2xPUc04A/view?usp=drivesdk</t>
        </is>
      </c>
    </row>
    <row r="232" ht="12" customHeight="1">
      <c r="A232" t="inlineStr">
        <is>
          <t>202606</t>
        </is>
      </c>
      <c r="B232" t="inlineStr">
        <is>
          <t>LTD</t>
        </is>
      </c>
      <c r="C232" t="inlineStr">
        <is>
          <t>cogs</t>
        </is>
      </c>
      <c r="D232" t="inlineStr">
        <is>
          <t>manufacturing</t>
        </is>
      </c>
      <c r="E232" t="inlineStr">
        <is>
          <t>JONDO</t>
        </is>
      </c>
      <c r="F232" t="inlineStr">
        <is>
          <t>invoice</t>
        </is>
      </c>
      <c r="G232" s="4" t="n">
        <v>20.5</v>
      </c>
      <c r="H232" t="inlineStr">
        <is>
          <t>USD</t>
        </is>
      </c>
      <c r="I232" t="inlineStr">
        <is>
          <t>GBP</t>
        </is>
      </c>
      <c r="J232" s="20" t="n">
        <v>0.75634544</v>
      </c>
      <c r="K232" s="4" t="n">
        <v>15.51</v>
      </c>
      <c r="L232" t="inlineStr">
        <is>
          <t>documents</t>
        </is>
      </c>
      <c r="M232" s="21" t="inlineStr">
        <is>
          <t>4480260-AS-108950</t>
        </is>
      </c>
      <c r="N232" t="inlineStr">
        <is>
          <t>https://drive.google.com/file/d/1NABPsfiGFZV0k2J-rxUOFhgiIZPyjmWn/view?usp=drivesdk</t>
        </is>
      </c>
    </row>
    <row r="233" ht="12" customHeight="1">
      <c r="A233" t="inlineStr">
        <is>
          <t>202606</t>
        </is>
      </c>
      <c r="B233" t="inlineStr">
        <is>
          <t>LTD</t>
        </is>
      </c>
      <c r="C233" t="inlineStr">
        <is>
          <t>cogs</t>
        </is>
      </c>
      <c r="D233" t="inlineStr">
        <is>
          <t>manufacturing</t>
        </is>
      </c>
      <c r="E233" t="inlineStr">
        <is>
          <t>JONDO</t>
        </is>
      </c>
      <c r="F233" t="inlineStr">
        <is>
          <t>invoice</t>
        </is>
      </c>
      <c r="G233" s="4" t="n">
        <v>24.54</v>
      </c>
      <c r="H233" t="inlineStr">
        <is>
          <t>USD</t>
        </is>
      </c>
      <c r="I233" t="inlineStr">
        <is>
          <t>GBP</t>
        </is>
      </c>
      <c r="J233" s="20" t="n">
        <v>0.75634544</v>
      </c>
      <c r="K233" s="4" t="n">
        <v>18.56</v>
      </c>
      <c r="L233" t="inlineStr">
        <is>
          <t>documents</t>
        </is>
      </c>
      <c r="M233" s="21" t="inlineStr">
        <is>
          <t>4481169-AS-109031</t>
        </is>
      </c>
      <c r="N233" t="inlineStr">
        <is>
          <t>https://drive.google.com/file/d/1NxnxN0hsWDPawsJ-qXIz8DRv1DvV9qEt/view?usp=drivesdk</t>
        </is>
      </c>
    </row>
    <row r="234" ht="12" customHeight="1">
      <c r="A234" t="inlineStr">
        <is>
          <t>202606</t>
        </is>
      </c>
      <c r="B234" t="inlineStr">
        <is>
          <t>LTD</t>
        </is>
      </c>
      <c r="C234" t="inlineStr">
        <is>
          <t>cogs</t>
        </is>
      </c>
      <c r="D234" t="inlineStr">
        <is>
          <t>manufacturing</t>
        </is>
      </c>
      <c r="E234" t="inlineStr">
        <is>
          <t>JONDO</t>
        </is>
      </c>
      <c r="F234" t="inlineStr">
        <is>
          <t>invoice</t>
        </is>
      </c>
      <c r="G234" s="4" t="n">
        <v>56.22</v>
      </c>
      <c r="H234" t="inlineStr">
        <is>
          <t>USD</t>
        </is>
      </c>
      <c r="I234" t="inlineStr">
        <is>
          <t>GBP</t>
        </is>
      </c>
      <c r="J234" s="20" t="n">
        <v>0.75634544</v>
      </c>
      <c r="K234" s="4" t="n">
        <v>42.52</v>
      </c>
      <c r="L234" t="inlineStr">
        <is>
          <t>documents</t>
        </is>
      </c>
      <c r="M234" s="21" t="inlineStr">
        <is>
          <t>4484706-AS-109236</t>
        </is>
      </c>
      <c r="N234" t="inlineStr">
        <is>
          <t>https://drive.google.com/file/d/1U5gezGP67tsRr4alWLfj4D2iMqbLcLKZ/view?usp=drivesdk</t>
        </is>
      </c>
    </row>
    <row r="235" ht="12" customHeight="1">
      <c r="A235" t="inlineStr">
        <is>
          <t>202606</t>
        </is>
      </c>
      <c r="B235" t="inlineStr">
        <is>
          <t>LTD</t>
        </is>
      </c>
      <c r="C235" t="inlineStr">
        <is>
          <t>cogs</t>
        </is>
      </c>
      <c r="D235" t="inlineStr">
        <is>
          <t>manufacturing</t>
        </is>
      </c>
      <c r="E235" t="inlineStr">
        <is>
          <t>JONDO</t>
        </is>
      </c>
      <c r="F235" t="inlineStr">
        <is>
          <t>invoice</t>
        </is>
      </c>
      <c r="G235" s="4" t="n">
        <v>84.12</v>
      </c>
      <c r="H235" t="inlineStr">
        <is>
          <t>USD</t>
        </is>
      </c>
      <c r="I235" t="inlineStr">
        <is>
          <t>GBP</t>
        </is>
      </c>
      <c r="J235" s="20" t="n">
        <v>0.75634544</v>
      </c>
      <c r="K235" s="4" t="n">
        <v>63.62</v>
      </c>
      <c r="L235" t="inlineStr">
        <is>
          <t>documents</t>
        </is>
      </c>
      <c r="M235" s="21" t="inlineStr">
        <is>
          <t>4484708-AS-109220</t>
        </is>
      </c>
      <c r="N235" t="inlineStr">
        <is>
          <t>https://drive.google.com/file/d/1SA4opWiaSdx-HZKmzMkcov2SARtChToj/view?usp=drivesdk</t>
        </is>
      </c>
    </row>
    <row r="236" ht="12" customHeight="1">
      <c r="A236" t="inlineStr">
        <is>
          <t>202606</t>
        </is>
      </c>
      <c r="B236" t="inlineStr">
        <is>
          <t>LTD</t>
        </is>
      </c>
      <c r="C236" t="inlineStr">
        <is>
          <t>cogs</t>
        </is>
      </c>
      <c r="D236" t="inlineStr">
        <is>
          <t>manufacturing</t>
        </is>
      </c>
      <c r="E236" t="inlineStr">
        <is>
          <t>JONDO</t>
        </is>
      </c>
      <c r="F236" t="inlineStr">
        <is>
          <t>invoice</t>
        </is>
      </c>
      <c r="G236" s="4" t="n">
        <v>28.4</v>
      </c>
      <c r="H236" t="inlineStr">
        <is>
          <t>USD</t>
        </is>
      </c>
      <c r="I236" t="inlineStr">
        <is>
          <t>GBP</t>
        </is>
      </c>
      <c r="J236" s="20" t="n">
        <v>0.75634544</v>
      </c>
      <c r="K236" s="4" t="n">
        <v>21.48</v>
      </c>
      <c r="L236" t="inlineStr">
        <is>
          <t>documents</t>
        </is>
      </c>
      <c r="M236" s="21" t="inlineStr">
        <is>
          <t>4484709-AS-109243</t>
        </is>
      </c>
      <c r="N236" t="inlineStr">
        <is>
          <t>https://drive.google.com/file/d/1aUtKmMLn_0dFuBFl0IFjGUjPd5W1jvpJ/view?usp=drivesdk</t>
        </is>
      </c>
    </row>
    <row r="237" ht="12" customHeight="1">
      <c r="A237" t="inlineStr">
        <is>
          <t>202606</t>
        </is>
      </c>
      <c r="B237" t="inlineStr">
        <is>
          <t>LTD</t>
        </is>
      </c>
      <c r="C237" t="inlineStr">
        <is>
          <t>cogs</t>
        </is>
      </c>
      <c r="D237" t="inlineStr">
        <is>
          <t>manufacturing</t>
        </is>
      </c>
      <c r="E237" t="inlineStr">
        <is>
          <t>JONDO</t>
        </is>
      </c>
      <c r="F237" t="inlineStr">
        <is>
          <t>invoice</t>
        </is>
      </c>
      <c r="G237" s="4" t="n">
        <v>56.22</v>
      </c>
      <c r="H237" t="inlineStr">
        <is>
          <t>USD</t>
        </is>
      </c>
      <c r="I237" t="inlineStr">
        <is>
          <t>GBP</t>
        </is>
      </c>
      <c r="J237" s="20" t="n">
        <v>0.75634544</v>
      </c>
      <c r="K237" s="4" t="n">
        <v>42.52</v>
      </c>
      <c r="L237" t="inlineStr">
        <is>
          <t>documents</t>
        </is>
      </c>
      <c r="M237" s="21" t="inlineStr">
        <is>
          <t>4484710-AS-109254</t>
        </is>
      </c>
      <c r="N237" t="inlineStr">
        <is>
          <t>https://drive.google.com/file/d/1br154ko-w5SWNU9KJkFsJr_umOeT6WT5/view?usp=drivesdk</t>
        </is>
      </c>
    </row>
    <row r="238" ht="12" customHeight="1">
      <c r="A238" t="inlineStr">
        <is>
          <t>202606</t>
        </is>
      </c>
      <c r="B238" t="inlineStr">
        <is>
          <t>LTD</t>
        </is>
      </c>
      <c r="C238" t="inlineStr">
        <is>
          <t>cogs</t>
        </is>
      </c>
      <c r="D238" t="inlineStr">
        <is>
          <t>manufacturing</t>
        </is>
      </c>
      <c r="E238" t="inlineStr">
        <is>
          <t>JONDO</t>
        </is>
      </c>
      <c r="F238" t="inlineStr">
        <is>
          <t>invoice</t>
        </is>
      </c>
      <c r="G238" s="4" t="n">
        <v>44.06</v>
      </c>
      <c r="H238" t="inlineStr">
        <is>
          <t>USD</t>
        </is>
      </c>
      <c r="I238" t="inlineStr">
        <is>
          <t>GBP</t>
        </is>
      </c>
      <c r="J238" s="20" t="n">
        <v>0.75634544</v>
      </c>
      <c r="K238" s="4" t="n">
        <v>33.32</v>
      </c>
      <c r="L238" t="inlineStr">
        <is>
          <t>documents</t>
        </is>
      </c>
      <c r="M238" s="21" t="inlineStr">
        <is>
          <t>4484711-AS-109262</t>
        </is>
      </c>
      <c r="N238" t="inlineStr">
        <is>
          <t>https://drive.google.com/file/d/1g2rCagUiFrWufRG2cigJM_MwKvFG_TVz/view?usp=drivesdk</t>
        </is>
      </c>
    </row>
    <row r="239" ht="12" customHeight="1">
      <c r="A239" t="inlineStr">
        <is>
          <t>202606</t>
        </is>
      </c>
      <c r="B239" t="inlineStr">
        <is>
          <t>LTD</t>
        </is>
      </c>
      <c r="C239" t="inlineStr">
        <is>
          <t>cogs</t>
        </is>
      </c>
      <c r="D239" t="inlineStr">
        <is>
          <t>manufacturing</t>
        </is>
      </c>
      <c r="E239" t="inlineStr">
        <is>
          <t>JONDO</t>
        </is>
      </c>
      <c r="F239" t="inlineStr">
        <is>
          <t>invoice</t>
        </is>
      </c>
      <c r="G239" s="4" t="n">
        <v>24.54</v>
      </c>
      <c r="H239" t="inlineStr">
        <is>
          <t>USD</t>
        </is>
      </c>
      <c r="I239" t="inlineStr">
        <is>
          <t>GBP</t>
        </is>
      </c>
      <c r="J239" s="20" t="n">
        <v>0.75634544</v>
      </c>
      <c r="K239" s="4" t="n">
        <v>18.56</v>
      </c>
      <c r="L239" t="inlineStr">
        <is>
          <t>documents</t>
        </is>
      </c>
      <c r="M239" s="21" t="inlineStr">
        <is>
          <t>4484712-AS-109205</t>
        </is>
      </c>
      <c r="N239" t="inlineStr">
        <is>
          <t>https://drive.google.com/file/d/1m4tDu-Qv9G7N2180DKziSDxNdCfEl_WO/view?usp=drivesdk</t>
        </is>
      </c>
    </row>
    <row r="240" ht="12" customHeight="1">
      <c r="A240" t="inlineStr">
        <is>
          <t>202606</t>
        </is>
      </c>
      <c r="B240" t="inlineStr">
        <is>
          <t>LTD</t>
        </is>
      </c>
      <c r="C240" t="inlineStr">
        <is>
          <t>cogs</t>
        </is>
      </c>
      <c r="D240" t="inlineStr">
        <is>
          <t>manufacturing</t>
        </is>
      </c>
      <c r="E240" t="inlineStr">
        <is>
          <t>JONDO</t>
        </is>
      </c>
      <c r="F240" t="inlineStr">
        <is>
          <t>invoice</t>
        </is>
      </c>
      <c r="G240" s="4" t="n">
        <v>917.04</v>
      </c>
      <c r="H240" t="inlineStr">
        <is>
          <t>USD</t>
        </is>
      </c>
      <c r="I240" t="inlineStr">
        <is>
          <t>GBP</t>
        </is>
      </c>
      <c r="J240" s="20" t="n">
        <v>0.75634544</v>
      </c>
      <c r="K240" s="4" t="n">
        <v>693.6</v>
      </c>
      <c r="L240" t="inlineStr">
        <is>
          <t>documents</t>
        </is>
      </c>
      <c r="M240" s="21" t="inlineStr">
        <is>
          <t>4484723-AS-108955</t>
        </is>
      </c>
      <c r="N240" t="inlineStr">
        <is>
          <t>https://drive.google.com/file/d/1sVxaM7c7ro_BWT619qMcLYsIadHXGWjf/view?usp=drivesdk</t>
        </is>
      </c>
    </row>
    <row r="241" ht="12" customHeight="1">
      <c r="A241" t="inlineStr">
        <is>
          <t>202606</t>
        </is>
      </c>
      <c r="B241" t="inlineStr">
        <is>
          <t>LTD</t>
        </is>
      </c>
      <c r="C241" t="inlineStr">
        <is>
          <t>cogs</t>
        </is>
      </c>
      <c r="D241" t="inlineStr">
        <is>
          <t>manufacturing</t>
        </is>
      </c>
      <c r="E241" t="inlineStr">
        <is>
          <t>JONDO</t>
        </is>
      </c>
      <c r="F241" t="inlineStr">
        <is>
          <t>invoice</t>
        </is>
      </c>
      <c r="G241" s="4" t="n">
        <v>56.22</v>
      </c>
      <c r="H241" t="inlineStr">
        <is>
          <t>USD</t>
        </is>
      </c>
      <c r="I241" t="inlineStr">
        <is>
          <t>GBP</t>
        </is>
      </c>
      <c r="J241" s="20" t="n">
        <v>0.75634544</v>
      </c>
      <c r="K241" s="4" t="n">
        <v>42.52</v>
      </c>
      <c r="L241" t="inlineStr">
        <is>
          <t>documents</t>
        </is>
      </c>
      <c r="M241" s="21" t="inlineStr">
        <is>
          <t>4487359-AS-109346</t>
        </is>
      </c>
      <c r="N241" t="inlineStr">
        <is>
          <t>https://drive.google.com/file/d/1HdpQJ4SzVgnALHIwXcV9Uc359z0F959t/view?usp=drivesdk</t>
        </is>
      </c>
    </row>
    <row r="242" ht="12" customHeight="1">
      <c r="A242" t="inlineStr">
        <is>
          <t>202606</t>
        </is>
      </c>
      <c r="B242" t="inlineStr">
        <is>
          <t>LTD</t>
        </is>
      </c>
      <c r="C242" t="inlineStr">
        <is>
          <t>cogs</t>
        </is>
      </c>
      <c r="D242" t="inlineStr">
        <is>
          <t>manufacturing</t>
        </is>
      </c>
      <c r="E242" t="inlineStr">
        <is>
          <t>JONDO</t>
        </is>
      </c>
      <c r="F242" t="inlineStr">
        <is>
          <t>invoice</t>
        </is>
      </c>
      <c r="G242" s="4" t="n">
        <v>93.04000000000001</v>
      </c>
      <c r="H242" t="inlineStr">
        <is>
          <t>USD</t>
        </is>
      </c>
      <c r="I242" t="inlineStr">
        <is>
          <t>GBP</t>
        </is>
      </c>
      <c r="J242" s="20" t="n">
        <v>0.75634544</v>
      </c>
      <c r="K242" s="4" t="n">
        <v>70.37</v>
      </c>
      <c r="L242" t="inlineStr">
        <is>
          <t>documents</t>
        </is>
      </c>
      <c r="M242" s="21" t="inlineStr">
        <is>
          <t>4487372-AS-109336</t>
        </is>
      </c>
      <c r="N242" t="inlineStr">
        <is>
          <t>https://drive.google.com/file/d/11fzh7v-knNoebz-SL7BAO0xFvhdcG1pc/view?usp=drivesdk</t>
        </is>
      </c>
    </row>
    <row r="243" ht="12" customHeight="1">
      <c r="A243" t="inlineStr">
        <is>
          <t>202606</t>
        </is>
      </c>
      <c r="B243" t="inlineStr">
        <is>
          <t>LTD</t>
        </is>
      </c>
      <c r="C243" t="inlineStr">
        <is>
          <t>cogs</t>
        </is>
      </c>
      <c r="D243" t="inlineStr">
        <is>
          <t>manufacturing</t>
        </is>
      </c>
      <c r="E243" t="inlineStr">
        <is>
          <t>JONDO</t>
        </is>
      </c>
      <c r="F243" t="inlineStr">
        <is>
          <t>invoice</t>
        </is>
      </c>
      <c r="G243" s="4" t="n">
        <v>182.02</v>
      </c>
      <c r="H243" t="inlineStr">
        <is>
          <t>USD</t>
        </is>
      </c>
      <c r="I243" t="inlineStr">
        <is>
          <t>GBP</t>
        </is>
      </c>
      <c r="J243" s="20" t="n">
        <v>0.75634544</v>
      </c>
      <c r="K243" s="4" t="n">
        <v>137.67</v>
      </c>
      <c r="L243" t="inlineStr">
        <is>
          <t>documents</t>
        </is>
      </c>
      <c r="M243" s="21" t="inlineStr">
        <is>
          <t>4487373-AS-109358</t>
        </is>
      </c>
      <c r="N243" t="inlineStr">
        <is>
          <t>https://drive.google.com/file/d/1JJ5U5VcH4sPcZutpn8t0O91NeqmU9h4Z/view?usp=drivesdk</t>
        </is>
      </c>
    </row>
    <row r="244" ht="12" customHeight="1">
      <c r="A244" t="inlineStr">
        <is>
          <t>202606</t>
        </is>
      </c>
      <c r="B244" t="inlineStr">
        <is>
          <t>LTD</t>
        </is>
      </c>
      <c r="C244" t="inlineStr">
        <is>
          <t>cogs</t>
        </is>
      </c>
      <c r="D244" t="inlineStr">
        <is>
          <t>manufacturing</t>
        </is>
      </c>
      <c r="E244" t="inlineStr">
        <is>
          <t>JONDO</t>
        </is>
      </c>
      <c r="F244" t="inlineStr">
        <is>
          <t>invoice</t>
        </is>
      </c>
      <c r="G244" s="4" t="n">
        <v>20.5</v>
      </c>
      <c r="H244" t="inlineStr">
        <is>
          <t>USD</t>
        </is>
      </c>
      <c r="I244" t="inlineStr">
        <is>
          <t>GBP</t>
        </is>
      </c>
      <c r="J244" s="20" t="n">
        <v>0.75634544</v>
      </c>
      <c r="K244" s="4" t="n">
        <v>15.51</v>
      </c>
      <c r="L244" t="inlineStr">
        <is>
          <t>documents</t>
        </is>
      </c>
      <c r="M244" s="21" t="inlineStr">
        <is>
          <t>4489451-AS-109662</t>
        </is>
      </c>
      <c r="N244" t="inlineStr">
        <is>
          <t>https://drive.google.com/file/d/1hsrjTnQRs5UZHmyGtU8GEKmhg6OnaOR0/view?usp=drivesdk</t>
        </is>
      </c>
    </row>
    <row r="245" ht="12" customHeight="1">
      <c r="A245" t="inlineStr">
        <is>
          <t>202606</t>
        </is>
      </c>
      <c r="B245" t="inlineStr">
        <is>
          <t>LTD</t>
        </is>
      </c>
      <c r="C245" t="inlineStr">
        <is>
          <t>cogs</t>
        </is>
      </c>
      <c r="D245" t="inlineStr">
        <is>
          <t>manufacturing</t>
        </is>
      </c>
      <c r="E245" t="inlineStr">
        <is>
          <t>JONDO</t>
        </is>
      </c>
      <c r="F245" t="inlineStr">
        <is>
          <t>invoice</t>
        </is>
      </c>
      <c r="G245" s="4" t="n">
        <v>24.54</v>
      </c>
      <c r="H245" t="inlineStr">
        <is>
          <t>USD</t>
        </is>
      </c>
      <c r="I245" t="inlineStr">
        <is>
          <t>GBP</t>
        </is>
      </c>
      <c r="J245" s="20" t="n">
        <v>0.75634544</v>
      </c>
      <c r="K245" s="4" t="n">
        <v>18.56</v>
      </c>
      <c r="L245" t="inlineStr">
        <is>
          <t>documents</t>
        </is>
      </c>
      <c r="M245" s="21" t="inlineStr">
        <is>
          <t>4489453-AS-109664</t>
        </is>
      </c>
      <c r="N245" t="inlineStr">
        <is>
          <t>https://drive.google.com/file/d/14SWt4aI3mpcc2JcOyEvtNVRpfTeEApJx/view?usp=drivesdk</t>
        </is>
      </c>
    </row>
    <row r="246" ht="12" customHeight="1">
      <c r="A246" t="inlineStr">
        <is>
          <t>202606</t>
        </is>
      </c>
      <c r="B246" t="inlineStr">
        <is>
          <t>LTD</t>
        </is>
      </c>
      <c r="C246" t="inlineStr">
        <is>
          <t>cogs</t>
        </is>
      </c>
      <c r="D246" t="inlineStr">
        <is>
          <t>manufacturing</t>
        </is>
      </c>
      <c r="E246" t="inlineStr">
        <is>
          <t>JONDO</t>
        </is>
      </c>
      <c r="F246" t="inlineStr">
        <is>
          <t>invoice</t>
        </is>
      </c>
      <c r="G246" s="4" t="n">
        <v>24.54</v>
      </c>
      <c r="H246" t="inlineStr">
        <is>
          <t>USD</t>
        </is>
      </c>
      <c r="I246" t="inlineStr">
        <is>
          <t>GBP</t>
        </is>
      </c>
      <c r="J246" s="20" t="n">
        <v>0.75634544</v>
      </c>
      <c r="K246" s="4" t="n">
        <v>18.56</v>
      </c>
      <c r="L246" t="inlineStr">
        <is>
          <t>documents</t>
        </is>
      </c>
      <c r="M246" s="21" t="inlineStr">
        <is>
          <t>4489454-AS-109676</t>
        </is>
      </c>
      <c r="N246" t="inlineStr">
        <is>
          <t>https://drive.google.com/file/d/1ySbsUOivk1CHzuqLZMmYflN7JGgb7YxG/view?usp=drivesdk</t>
        </is>
      </c>
    </row>
    <row r="247" ht="12" customHeight="1">
      <c r="A247" t="inlineStr">
        <is>
          <t>202606</t>
        </is>
      </c>
      <c r="B247" t="inlineStr">
        <is>
          <t>LTD</t>
        </is>
      </c>
      <c r="C247" t="inlineStr">
        <is>
          <t>cogs</t>
        </is>
      </c>
      <c r="D247" t="inlineStr">
        <is>
          <t>manufacturing</t>
        </is>
      </c>
      <c r="E247" t="inlineStr">
        <is>
          <t>JONDO</t>
        </is>
      </c>
      <c r="F247" t="inlineStr">
        <is>
          <t>invoice</t>
        </is>
      </c>
      <c r="G247" s="4" t="n">
        <v>44.06</v>
      </c>
      <c r="H247" t="inlineStr">
        <is>
          <t>USD</t>
        </is>
      </c>
      <c r="I247" t="inlineStr">
        <is>
          <t>GBP</t>
        </is>
      </c>
      <c r="J247" s="20" t="n">
        <v>0.75634544</v>
      </c>
      <c r="K247" s="4" t="n">
        <v>33.32</v>
      </c>
      <c r="L247" t="inlineStr">
        <is>
          <t>documents</t>
        </is>
      </c>
      <c r="M247" s="21" t="inlineStr">
        <is>
          <t>4489488-AS-109803</t>
        </is>
      </c>
      <c r="N247" t="inlineStr">
        <is>
          <t>https://drive.google.com/file/d/16YChZbBCf1mQOM_XcL3wiQ3I6ZTwG3TC/view?usp=drivesdk</t>
        </is>
      </c>
    </row>
    <row r="248" ht="12" customHeight="1">
      <c r="A248" t="inlineStr">
        <is>
          <t>202606</t>
        </is>
      </c>
      <c r="B248" t="inlineStr">
        <is>
          <t>LTD</t>
        </is>
      </c>
      <c r="C248" t="inlineStr">
        <is>
          <t>cogs</t>
        </is>
      </c>
      <c r="D248" t="inlineStr">
        <is>
          <t>manufacturing</t>
        </is>
      </c>
      <c r="E248" t="inlineStr">
        <is>
          <t>JONDO</t>
        </is>
      </c>
      <c r="F248" t="inlineStr">
        <is>
          <t>invoice</t>
        </is>
      </c>
      <c r="G248" s="4" t="n">
        <v>148.85</v>
      </c>
      <c r="H248" t="inlineStr">
        <is>
          <t>USD</t>
        </is>
      </c>
      <c r="I248" t="inlineStr">
        <is>
          <t>GBP</t>
        </is>
      </c>
      <c r="J248" s="20" t="n">
        <v>0.75634544</v>
      </c>
      <c r="K248" s="4" t="n">
        <v>112.58</v>
      </c>
      <c r="L248" t="inlineStr">
        <is>
          <t>documents</t>
        </is>
      </c>
      <c r="M248" s="21" t="inlineStr">
        <is>
          <t>4489489-AS-109815</t>
        </is>
      </c>
      <c r="N248" t="inlineStr">
        <is>
          <t>https://drive.google.com/file/d/1lOPw9iNdJu3W3I9AY83Ba64ZUyx-zQ2H/view?usp=drivesdk</t>
        </is>
      </c>
    </row>
    <row r="249" ht="12" customHeight="1">
      <c r="A249" t="inlineStr">
        <is>
          <t>202606</t>
        </is>
      </c>
      <c r="B249" t="inlineStr">
        <is>
          <t>LTD</t>
        </is>
      </c>
      <c r="C249" t="inlineStr">
        <is>
          <t>cogs</t>
        </is>
      </c>
      <c r="D249" t="inlineStr">
        <is>
          <t>manufacturing</t>
        </is>
      </c>
      <c r="E249" t="inlineStr">
        <is>
          <t>JONDO</t>
        </is>
      </c>
      <c r="F249" t="inlineStr">
        <is>
          <t>invoice</t>
        </is>
      </c>
      <c r="G249" s="4" t="n">
        <v>71.59999999999999</v>
      </c>
      <c r="H249" t="inlineStr">
        <is>
          <t>USD</t>
        </is>
      </c>
      <c r="I249" t="inlineStr">
        <is>
          <t>GBP</t>
        </is>
      </c>
      <c r="J249" s="20" t="n">
        <v>0.75634544</v>
      </c>
      <c r="K249" s="4" t="n">
        <v>54.15</v>
      </c>
      <c r="L249" t="inlineStr">
        <is>
          <t>documents</t>
        </is>
      </c>
      <c r="M249" s="21" t="inlineStr">
        <is>
          <t>4489490-AS-109683</t>
        </is>
      </c>
      <c r="N249" t="inlineStr">
        <is>
          <t>https://drive.google.com/file/d/18Q_wneeRJsY-rIVc2cgljHGg851sdIXn/view?usp=drivesdk</t>
        </is>
      </c>
    </row>
    <row r="250" ht="12" customHeight="1">
      <c r="A250" t="inlineStr">
        <is>
          <t>202606</t>
        </is>
      </c>
      <c r="B250" t="inlineStr">
        <is>
          <t>LTD</t>
        </is>
      </c>
      <c r="C250" t="inlineStr">
        <is>
          <t>cogs</t>
        </is>
      </c>
      <c r="D250" t="inlineStr">
        <is>
          <t>manufacturing</t>
        </is>
      </c>
      <c r="E250" t="inlineStr">
        <is>
          <t>JONDO</t>
        </is>
      </c>
      <c r="F250" t="inlineStr">
        <is>
          <t>invoice</t>
        </is>
      </c>
      <c r="G250" s="4" t="n">
        <v>63.91</v>
      </c>
      <c r="H250" t="inlineStr">
        <is>
          <t>USD</t>
        </is>
      </c>
      <c r="I250" t="inlineStr">
        <is>
          <t>GBP</t>
        </is>
      </c>
      <c r="J250" s="20" t="n">
        <v>0.75634544</v>
      </c>
      <c r="K250" s="4" t="n">
        <v>48.34</v>
      </c>
      <c r="L250" t="inlineStr">
        <is>
          <t>documents</t>
        </is>
      </c>
      <c r="M250" s="21" t="inlineStr">
        <is>
          <t>4490303-AS-109942</t>
        </is>
      </c>
      <c r="N250" t="inlineStr">
        <is>
          <t>https://drive.google.com/file/d/1yP5EMaXBB_RAkXZBCYiBhdZivL2RL9vu/view?usp=drivesdk</t>
        </is>
      </c>
    </row>
    <row r="251" ht="12" customHeight="1">
      <c r="A251" t="inlineStr">
        <is>
          <t>202606</t>
        </is>
      </c>
      <c r="B251" t="inlineStr">
        <is>
          <t>LTD</t>
        </is>
      </c>
      <c r="C251" t="inlineStr">
        <is>
          <t>cogs</t>
        </is>
      </c>
      <c r="D251" t="inlineStr">
        <is>
          <t>manufacturing</t>
        </is>
      </c>
      <c r="E251" t="inlineStr">
        <is>
          <t>JONDO</t>
        </is>
      </c>
      <c r="F251" t="inlineStr">
        <is>
          <t>invoice</t>
        </is>
      </c>
      <c r="G251" s="4" t="n">
        <v>31.28</v>
      </c>
      <c r="H251" t="inlineStr">
        <is>
          <t>USD</t>
        </is>
      </c>
      <c r="I251" t="inlineStr">
        <is>
          <t>GBP</t>
        </is>
      </c>
      <c r="J251" s="20" t="n">
        <v>0.75634544</v>
      </c>
      <c r="K251" s="4" t="n">
        <v>23.66</v>
      </c>
      <c r="L251" t="inlineStr">
        <is>
          <t>documents</t>
        </is>
      </c>
      <c r="M251" s="21" t="inlineStr">
        <is>
          <t>4490304-AS-109610</t>
        </is>
      </c>
      <c r="N251" t="inlineStr">
        <is>
          <t>https://drive.google.com/file/d/1NzZGjsV5UqowNMJybtHzUpOwptbWP90U/view?usp=drivesdk</t>
        </is>
      </c>
    </row>
    <row r="252" ht="12" customHeight="1">
      <c r="A252" t="inlineStr">
        <is>
          <t>202606</t>
        </is>
      </c>
      <c r="B252" t="inlineStr">
        <is>
          <t>LTD</t>
        </is>
      </c>
      <c r="C252" t="inlineStr">
        <is>
          <t>cogs</t>
        </is>
      </c>
      <c r="D252" t="inlineStr">
        <is>
          <t>manufacturing</t>
        </is>
      </c>
      <c r="E252" t="inlineStr">
        <is>
          <t>JONDO</t>
        </is>
      </c>
      <c r="F252" t="inlineStr">
        <is>
          <t>invoice</t>
        </is>
      </c>
      <c r="G252" s="4" t="n">
        <v>63.91</v>
      </c>
      <c r="H252" t="inlineStr">
        <is>
          <t>USD</t>
        </is>
      </c>
      <c r="I252" t="inlineStr">
        <is>
          <t>GBP</t>
        </is>
      </c>
      <c r="J252" s="20" t="n">
        <v>0.75634544</v>
      </c>
      <c r="K252" s="4" t="n">
        <v>48.34</v>
      </c>
      <c r="L252" t="inlineStr">
        <is>
          <t>documents</t>
        </is>
      </c>
      <c r="M252" s="21" t="inlineStr">
        <is>
          <t>4492199-AS-110029</t>
        </is>
      </c>
      <c r="N252" t="inlineStr">
        <is>
          <t>https://drive.google.com/file/d/1dc_aCSfMK0aOZu_N-KKgXaADVO-6nJEq/view?usp=drivesdk</t>
        </is>
      </c>
    </row>
    <row r="253" ht="12" customHeight="1">
      <c r="A253" t="inlineStr">
        <is>
          <t>202606</t>
        </is>
      </c>
      <c r="B253" t="inlineStr">
        <is>
          <t>LTD</t>
        </is>
      </c>
      <c r="C253" t="inlineStr">
        <is>
          <t>cogs</t>
        </is>
      </c>
      <c r="D253" t="inlineStr">
        <is>
          <t>manufacturing</t>
        </is>
      </c>
      <c r="E253" t="inlineStr">
        <is>
          <t>JONDO</t>
        </is>
      </c>
      <c r="F253" t="inlineStr">
        <is>
          <t>invoice</t>
        </is>
      </c>
      <c r="G253" s="4" t="n">
        <v>24.54</v>
      </c>
      <c r="H253" t="inlineStr">
        <is>
          <t>USD</t>
        </is>
      </c>
      <c r="I253" t="inlineStr">
        <is>
          <t>GBP</t>
        </is>
      </c>
      <c r="J253" s="20" t="n">
        <v>0.75634544</v>
      </c>
      <c r="K253" s="4" t="n">
        <v>18.56</v>
      </c>
      <c r="L253" t="inlineStr">
        <is>
          <t>documents</t>
        </is>
      </c>
      <c r="M253" s="21" t="inlineStr">
        <is>
          <t>4492200-AS-110050</t>
        </is>
      </c>
      <c r="N253" t="inlineStr">
        <is>
          <t>https://drive.google.com/file/d/11nkukv17pfAVrTptnbX00vOKulu5jUmH/view?usp=drivesdk</t>
        </is>
      </c>
    </row>
    <row r="254" ht="12" customHeight="1">
      <c r="A254" t="inlineStr">
        <is>
          <t>202606</t>
        </is>
      </c>
      <c r="B254" t="inlineStr">
        <is>
          <t>LTD</t>
        </is>
      </c>
      <c r="C254" t="inlineStr">
        <is>
          <t>cogs</t>
        </is>
      </c>
      <c r="D254" t="inlineStr">
        <is>
          <t>manufacturing</t>
        </is>
      </c>
      <c r="E254" t="inlineStr">
        <is>
          <t>JONDO</t>
        </is>
      </c>
      <c r="F254" t="inlineStr">
        <is>
          <t>invoice</t>
        </is>
      </c>
      <c r="G254" s="4" t="n">
        <v>20.5</v>
      </c>
      <c r="H254" t="inlineStr">
        <is>
          <t>USD</t>
        </is>
      </c>
      <c r="I254" t="inlineStr">
        <is>
          <t>GBP</t>
        </is>
      </c>
      <c r="J254" s="20" t="n">
        <v>0.75634544</v>
      </c>
      <c r="K254" s="4" t="n">
        <v>15.51</v>
      </c>
      <c r="L254" t="inlineStr">
        <is>
          <t>documents</t>
        </is>
      </c>
      <c r="M254" s="21" t="inlineStr">
        <is>
          <t>4492201-AS-109986</t>
        </is>
      </c>
      <c r="N254" t="inlineStr">
        <is>
          <t>https://drive.google.com/file/d/16zkuCldvX7RVt9lyKacMvkxmSaaog8ul/view?usp=drivesdk</t>
        </is>
      </c>
    </row>
    <row r="255" ht="12" customHeight="1">
      <c r="A255" t="inlineStr">
        <is>
          <t>202606</t>
        </is>
      </c>
      <c r="B255" t="inlineStr">
        <is>
          <t>LTD</t>
        </is>
      </c>
      <c r="C255" t="inlineStr">
        <is>
          <t>cogs</t>
        </is>
      </c>
      <c r="D255" t="inlineStr">
        <is>
          <t>manufacturing</t>
        </is>
      </c>
      <c r="E255" t="inlineStr">
        <is>
          <t>JONDO</t>
        </is>
      </c>
      <c r="F255" t="inlineStr">
        <is>
          <t>invoice</t>
        </is>
      </c>
      <c r="G255" s="4" t="n">
        <v>36.41</v>
      </c>
      <c r="H255" t="inlineStr">
        <is>
          <t>USD</t>
        </is>
      </c>
      <c r="I255" t="inlineStr">
        <is>
          <t>GBP</t>
        </is>
      </c>
      <c r="J255" s="20" t="n">
        <v>0.75634544</v>
      </c>
      <c r="K255" s="4" t="n">
        <v>27.54</v>
      </c>
      <c r="L255" t="inlineStr">
        <is>
          <t>documents</t>
        </is>
      </c>
      <c r="M255" s="21" t="inlineStr">
        <is>
          <t>4493901-AS-110157</t>
        </is>
      </c>
      <c r="N255" t="inlineStr">
        <is>
          <t>https://drive.google.com/file/d/166wUMgV3SBHipXkuxTNrS2CzTQEhUbUO/view?usp=drivesdk</t>
        </is>
      </c>
    </row>
    <row r="256" ht="12" customHeight="1">
      <c r="A256" t="inlineStr">
        <is>
          <t>202606</t>
        </is>
      </c>
      <c r="B256" t="inlineStr">
        <is>
          <t>LTD</t>
        </is>
      </c>
      <c r="C256" t="inlineStr">
        <is>
          <t>cogs</t>
        </is>
      </c>
      <c r="D256" t="inlineStr">
        <is>
          <t>manufacturing</t>
        </is>
      </c>
      <c r="E256" t="inlineStr">
        <is>
          <t>JONDO</t>
        </is>
      </c>
      <c r="F256" t="inlineStr">
        <is>
          <t>invoice</t>
        </is>
      </c>
      <c r="G256" s="4" t="n">
        <v>15.64</v>
      </c>
      <c r="H256" t="inlineStr">
        <is>
          <t>USD</t>
        </is>
      </c>
      <c r="I256" t="inlineStr">
        <is>
          <t>GBP</t>
        </is>
      </c>
      <c r="J256" s="20" t="n">
        <v>0.75634544</v>
      </c>
      <c r="K256" s="4" t="n">
        <v>11.83</v>
      </c>
      <c r="L256" t="inlineStr">
        <is>
          <t>documents</t>
        </is>
      </c>
      <c r="M256" s="21" t="inlineStr">
        <is>
          <t>AS-110124</t>
        </is>
      </c>
      <c r="N256" t="inlineStr">
        <is>
          <t>https://drive.google.com/file/d/1Qh59vzSEgMwIBqMHSI4mm6VBzOKGBHy6/view?usp=drivesdk</t>
        </is>
      </c>
    </row>
    <row r="257" ht="12" customHeight="1">
      <c r="A257" t="inlineStr">
        <is>
          <t>202606</t>
        </is>
      </c>
      <c r="B257" t="inlineStr">
        <is>
          <t>LTD</t>
        </is>
      </c>
      <c r="C257" t="inlineStr">
        <is>
          <t>cogs</t>
        </is>
      </c>
      <c r="D257" t="inlineStr">
        <is>
          <t>logistics</t>
        </is>
      </c>
      <c r="E257" t="inlineStr">
        <is>
          <t>PORTCLEARANCE</t>
        </is>
      </c>
      <c r="F257" t="inlineStr">
        <is>
          <t>logistics</t>
        </is>
      </c>
      <c r="G257" s="4" t="n">
        <v>52</v>
      </c>
      <c r="H257" t="inlineStr">
        <is>
          <t>GBP</t>
        </is>
      </c>
      <c r="I257" t="inlineStr">
        <is>
          <t>GBP</t>
        </is>
      </c>
      <c r="J257" s="20" t="n">
        <v>1</v>
      </c>
      <c r="K257" s="4" t="n">
        <v>52</v>
      </c>
      <c r="L257" t="inlineStr">
        <is>
          <t>documents</t>
        </is>
      </c>
      <c r="M257" s="21" t="inlineStr">
        <is>
          <t>PCSI2603240</t>
        </is>
      </c>
      <c r="N257" t="inlineStr">
        <is>
          <t>https://drive.google.com/file/d/1oYdGNNkTH5UHIJqKmry7Hwd4blTXwx2U/view?usp=drivesdk</t>
        </is>
      </c>
    </row>
    <row r="258" ht="12" customHeight="1">
      <c r="A258" t="inlineStr">
        <is>
          <t>202606</t>
        </is>
      </c>
      <c r="B258" t="inlineStr">
        <is>
          <t>LTD</t>
        </is>
      </c>
      <c r="C258" t="inlineStr">
        <is>
          <t>opex</t>
        </is>
      </c>
      <c r="D258" t="inlineStr">
        <is>
          <t>technology</t>
        </is>
      </c>
      <c r="E258" t="inlineStr">
        <is>
          <t>REVER</t>
        </is>
      </c>
      <c r="F258" t="inlineStr">
        <is>
          <t>invoice</t>
        </is>
      </c>
      <c r="G258" s="4" t="n">
        <v>81.37</v>
      </c>
      <c r="H258" t="inlineStr">
        <is>
          <t>EUR</t>
        </is>
      </c>
      <c r="I258" t="inlineStr">
        <is>
          <t>GBP</t>
        </is>
      </c>
      <c r="J258" s="20" t="n">
        <v>0.86178</v>
      </c>
      <c r="K258" s="4" t="n">
        <v>70.12</v>
      </c>
      <c r="L258" t="inlineStr">
        <is>
          <t>documents</t>
        </is>
      </c>
      <c r="M258" s="21" t="inlineStr">
        <is>
          <t>RVR-21359</t>
        </is>
      </c>
      <c r="N258" t="inlineStr">
        <is>
          <t>https://drive.google.com/file/d/1g2_Uzz2pZyxRIvLeLbm92_NRpSRWFhWC/view?usp=drivesdk</t>
        </is>
      </c>
    </row>
    <row r="259" ht="12" customHeight="1">
      <c r="A259" t="inlineStr">
        <is>
          <t>202606</t>
        </is>
      </c>
      <c r="B259" t="inlineStr">
        <is>
          <t>LTD</t>
        </is>
      </c>
      <c r="C259" t="inlineStr">
        <is>
          <t>opex</t>
        </is>
      </c>
      <c r="D259" t="inlineStr">
        <is>
          <t>shared_services</t>
        </is>
      </c>
      <c r="E259" t="inlineStr">
        <is>
          <t>SHAREDSERVICESSL</t>
        </is>
      </c>
      <c r="F259" t="inlineStr">
        <is>
          <t>invoice</t>
        </is>
      </c>
      <c r="G259" s="4" t="n">
        <v>12520.32</v>
      </c>
      <c r="H259" t="inlineStr">
        <is>
          <t>EUR</t>
        </is>
      </c>
      <c r="I259" t="inlineStr">
        <is>
          <t>GBP</t>
        </is>
      </c>
      <c r="J259" s="20" t="n">
        <v>0.86178</v>
      </c>
      <c r="K259" s="4" t="n">
        <v>10789.76</v>
      </c>
      <c r="L259" t="inlineStr">
        <is>
          <t>documents</t>
        </is>
      </c>
      <c r="M259" s="21" t="inlineStr">
        <is>
          <t>2026-0029</t>
        </is>
      </c>
      <c r="N259" t="inlineStr">
        <is>
          <t>https://drive.google.com/file/d/1NTTQ0GfYXGRLMjb9JzaVQUreuF5aARGp/view?usp=drivesdk</t>
        </is>
      </c>
    </row>
    <row r="260" ht="12" customHeight="1">
      <c r="A260" t="inlineStr">
        <is>
          <t>202606</t>
        </is>
      </c>
      <c r="B260" t="inlineStr">
        <is>
          <t>LTD</t>
        </is>
      </c>
      <c r="C260" t="inlineStr">
        <is>
          <t>opex</t>
        </is>
      </c>
      <c r="D260" t="inlineStr">
        <is>
          <t>administration</t>
        </is>
      </c>
      <c r="E260" t="inlineStr">
        <is>
          <t>YOURACCOUNTSTAXES</t>
        </is>
      </c>
      <c r="F260" t="inlineStr">
        <is>
          <t>invoice</t>
        </is>
      </c>
      <c r="G260" s="4" t="n">
        <v>26.5</v>
      </c>
      <c r="H260" t="inlineStr">
        <is>
          <t>GBP</t>
        </is>
      </c>
      <c r="I260" t="inlineStr">
        <is>
          <t>GBP</t>
        </is>
      </c>
      <c r="J260" s="20" t="n">
        <v>1</v>
      </c>
      <c r="K260" s="4" t="n">
        <v>26.5</v>
      </c>
      <c r="L260" t="inlineStr">
        <is>
          <t>documents</t>
        </is>
      </c>
      <c r="M260" s="21" t="inlineStr">
        <is>
          <t>INV-0679_PERIODIFICADA_6_12</t>
        </is>
      </c>
      <c r="N260" t="inlineStr">
        <is>
          <t>https://drive.google.com/file/d/1I6H1omawcw5Be01IubiDlz8RDBKB0kcd/view?usp=drivesdk</t>
        </is>
      </c>
    </row>
    <row r="261" ht="12" customHeight="1">
      <c r="A261" t="inlineStr">
        <is>
          <t>202606</t>
        </is>
      </c>
      <c r="B261" t="inlineStr">
        <is>
          <t>LTD</t>
        </is>
      </c>
      <c r="C261" t="inlineStr">
        <is>
          <t>opex</t>
        </is>
      </c>
      <c r="D261" t="inlineStr">
        <is>
          <t>administration</t>
        </is>
      </c>
      <c r="E261" t="inlineStr">
        <is>
          <t>YOURACCOUNTSTAXES</t>
        </is>
      </c>
      <c r="F261" t="inlineStr">
        <is>
          <t>invoice</t>
        </is>
      </c>
      <c r="G261" s="4" t="n">
        <v>55</v>
      </c>
      <c r="H261" t="inlineStr">
        <is>
          <t>GBP</t>
        </is>
      </c>
      <c r="I261" t="inlineStr">
        <is>
          <t>GBP</t>
        </is>
      </c>
      <c r="J261" s="20" t="n">
        <v>1</v>
      </c>
      <c r="K261" s="4" t="n">
        <v>55</v>
      </c>
      <c r="L261" t="inlineStr">
        <is>
          <t>documents</t>
        </is>
      </c>
      <c r="M261" s="21" t="inlineStr">
        <is>
          <t>INV-0681_PERIODIFICADA_5_12</t>
        </is>
      </c>
      <c r="N261" t="inlineStr">
        <is>
          <t>https://drive.google.com/file/d/14VMCuf4u87NNWjcx9C3H2yysZN1jqyTf/view?usp=drivesdk</t>
        </is>
      </c>
    </row>
    <row r="262" ht="12" customHeight="1">
      <c r="A262" t="inlineStr">
        <is>
          <t>202606</t>
        </is>
      </c>
      <c r="B262" t="inlineStr">
        <is>
          <t>LTD</t>
        </is>
      </c>
      <c r="C262" t="inlineStr">
        <is>
          <t>opex</t>
        </is>
      </c>
      <c r="D262" t="inlineStr">
        <is>
          <t>administration</t>
        </is>
      </c>
      <c r="E262" t="inlineStr">
        <is>
          <t>YOURACCOUNTSTAXES</t>
        </is>
      </c>
      <c r="F262" t="inlineStr">
        <is>
          <t>invoice</t>
        </is>
      </c>
      <c r="G262" s="4" t="n">
        <v>103.67</v>
      </c>
      <c r="H262" t="inlineStr">
        <is>
          <t>GBP</t>
        </is>
      </c>
      <c r="I262" t="inlineStr">
        <is>
          <t>GBP</t>
        </is>
      </c>
      <c r="J262" s="20" t="n">
        <v>1</v>
      </c>
      <c r="K262" s="4" t="n">
        <v>103.67</v>
      </c>
      <c r="L262" t="inlineStr">
        <is>
          <t>documents</t>
        </is>
      </c>
      <c r="M262" s="21" t="inlineStr">
        <is>
          <t>INV-0682_PERIODIFICADA_6_12</t>
        </is>
      </c>
      <c r="N262" t="inlineStr">
        <is>
          <t>https://drive.google.com/file/d/1gmWh5ZgXhifus_kfGZ-bL8_sLe8eUug3/view?usp=drivesdk</t>
        </is>
      </c>
    </row>
    <row r="263" ht="12" customHeight="1">
      <c r="A263" t="inlineStr">
        <is>
          <t>202607</t>
        </is>
      </c>
      <c r="B263" t="inlineStr">
        <is>
          <t>LTD</t>
        </is>
      </c>
      <c r="C263" t="inlineStr">
        <is>
          <t>opex</t>
        </is>
      </c>
      <c r="D263" t="inlineStr">
        <is>
          <t>administration</t>
        </is>
      </c>
      <c r="E263" t="inlineStr">
        <is>
          <t>YOURACCOUNTSTAXES</t>
        </is>
      </c>
      <c r="F263" t="inlineStr">
        <is>
          <t>invoice</t>
        </is>
      </c>
      <c r="G263" s="4" t="n">
        <v>26.5</v>
      </c>
      <c r="H263" t="inlineStr">
        <is>
          <t>GBP</t>
        </is>
      </c>
      <c r="I263" t="inlineStr">
        <is>
          <t>GBP</t>
        </is>
      </c>
      <c r="J263" s="20" t="n">
        <v>1</v>
      </c>
      <c r="K263" s="4" t="n">
        <v>26.5</v>
      </c>
      <c r="L263" t="inlineStr">
        <is>
          <t>documents</t>
        </is>
      </c>
      <c r="M263" s="21" t="inlineStr">
        <is>
          <t>INV-0679_PERIODIFICADA_7_12</t>
        </is>
      </c>
      <c r="N263" t="inlineStr">
        <is>
          <t>https://drive.google.com/file/d/17hLMBW75hT4b6Q8RWmnLCnkK6axE-wzU/view?usp=drivesdk</t>
        </is>
      </c>
    </row>
    <row r="264" ht="12" customHeight="1">
      <c r="A264" t="inlineStr">
        <is>
          <t>202607</t>
        </is>
      </c>
      <c r="B264" t="inlineStr">
        <is>
          <t>LTD</t>
        </is>
      </c>
      <c r="C264" t="inlineStr">
        <is>
          <t>opex</t>
        </is>
      </c>
      <c r="D264" t="inlineStr">
        <is>
          <t>administration</t>
        </is>
      </c>
      <c r="E264" t="inlineStr">
        <is>
          <t>YOURACCOUNTSTAXES</t>
        </is>
      </c>
      <c r="F264" t="inlineStr">
        <is>
          <t>invoice</t>
        </is>
      </c>
      <c r="G264" s="4" t="n">
        <v>55</v>
      </c>
      <c r="H264" t="inlineStr">
        <is>
          <t>GBP</t>
        </is>
      </c>
      <c r="I264" t="inlineStr">
        <is>
          <t>GBP</t>
        </is>
      </c>
      <c r="J264" s="20" t="n">
        <v>1</v>
      </c>
      <c r="K264" s="4" t="n">
        <v>55</v>
      </c>
      <c r="L264" t="inlineStr">
        <is>
          <t>documents</t>
        </is>
      </c>
      <c r="M264" s="21" t="inlineStr">
        <is>
          <t>INV-0681_PERIODIFICADA_6_12</t>
        </is>
      </c>
      <c r="N264" t="inlineStr">
        <is>
          <t>https://drive.google.com/file/d/1-4m6d0UYjYO2RBrJjkiKAjW12aRalpOJ/view?usp=drivesdk</t>
        </is>
      </c>
    </row>
    <row r="265" ht="12" customHeight="1">
      <c r="A265" t="inlineStr">
        <is>
          <t>202607</t>
        </is>
      </c>
      <c r="B265" t="inlineStr">
        <is>
          <t>LTD</t>
        </is>
      </c>
      <c r="C265" t="inlineStr">
        <is>
          <t>opex</t>
        </is>
      </c>
      <c r="D265" t="inlineStr">
        <is>
          <t>administration</t>
        </is>
      </c>
      <c r="E265" t="inlineStr">
        <is>
          <t>YOURACCOUNTSTAXES</t>
        </is>
      </c>
      <c r="F265" t="inlineStr">
        <is>
          <t>invoice</t>
        </is>
      </c>
      <c r="G265" s="4" t="n">
        <v>103.67</v>
      </c>
      <c r="H265" t="inlineStr">
        <is>
          <t>GBP</t>
        </is>
      </c>
      <c r="I265" t="inlineStr">
        <is>
          <t>GBP</t>
        </is>
      </c>
      <c r="J265" s="20" t="n">
        <v>1</v>
      </c>
      <c r="K265" s="4" t="n">
        <v>103.67</v>
      </c>
      <c r="L265" t="inlineStr">
        <is>
          <t>documents</t>
        </is>
      </c>
      <c r="M265" s="21" t="inlineStr">
        <is>
          <t>INV-0682_PERIODIFICADA_7_12</t>
        </is>
      </c>
      <c r="N265" t="inlineStr">
        <is>
          <t>https://drive.google.com/file/d/1c_luteIVUmgrg6i_GlfSo_qh5drW456A/view?usp=drivesdk</t>
        </is>
      </c>
    </row>
    <row r="266" ht="12" customHeight="1">
      <c r="A266" t="inlineStr">
        <is>
          <t>202608</t>
        </is>
      </c>
      <c r="B266" t="inlineStr">
        <is>
          <t>LTD</t>
        </is>
      </c>
      <c r="C266" t="inlineStr">
        <is>
          <t>opex</t>
        </is>
      </c>
      <c r="D266" t="inlineStr">
        <is>
          <t>administration</t>
        </is>
      </c>
      <c r="E266" t="inlineStr">
        <is>
          <t>YOURACCOUNTSTAXES</t>
        </is>
      </c>
      <c r="F266" t="inlineStr">
        <is>
          <t>invoice</t>
        </is>
      </c>
      <c r="G266" s="4" t="n">
        <v>26.5</v>
      </c>
      <c r="H266" t="inlineStr">
        <is>
          <t>GBP</t>
        </is>
      </c>
      <c r="I266" t="inlineStr">
        <is>
          <t>GBP</t>
        </is>
      </c>
      <c r="J266" s="20" t="n">
        <v>1</v>
      </c>
      <c r="K266" s="4" t="n">
        <v>26.5</v>
      </c>
      <c r="L266" t="inlineStr">
        <is>
          <t>documents</t>
        </is>
      </c>
      <c r="M266" s="21" t="inlineStr">
        <is>
          <t>INV-0679_PERIODIFICADA_8_12</t>
        </is>
      </c>
      <c r="N266" t="inlineStr">
        <is>
          <t>https://drive.google.com/file/d/11RmOMn_ZgHdnziLzDS8hsaK7ZIkvkgTY/view?usp=drivesdk</t>
        </is>
      </c>
    </row>
    <row r="267" ht="12" customHeight="1">
      <c r="A267" t="inlineStr">
        <is>
          <t>202608</t>
        </is>
      </c>
      <c r="B267" t="inlineStr">
        <is>
          <t>LTD</t>
        </is>
      </c>
      <c r="C267" t="inlineStr">
        <is>
          <t>opex</t>
        </is>
      </c>
      <c r="D267" t="inlineStr">
        <is>
          <t>administration</t>
        </is>
      </c>
      <c r="E267" t="inlineStr">
        <is>
          <t>YOURACCOUNTSTAXES</t>
        </is>
      </c>
      <c r="F267" t="inlineStr">
        <is>
          <t>invoice</t>
        </is>
      </c>
      <c r="G267" s="4" t="n">
        <v>55</v>
      </c>
      <c r="H267" t="inlineStr">
        <is>
          <t>GBP</t>
        </is>
      </c>
      <c r="I267" t="inlineStr">
        <is>
          <t>GBP</t>
        </is>
      </c>
      <c r="J267" s="20" t="n">
        <v>1</v>
      </c>
      <c r="K267" s="4" t="n">
        <v>55</v>
      </c>
      <c r="L267" t="inlineStr">
        <is>
          <t>documents</t>
        </is>
      </c>
      <c r="M267" s="21" t="inlineStr">
        <is>
          <t>INV-0681_PERIODIFICADA_7_12</t>
        </is>
      </c>
      <c r="N267" t="inlineStr">
        <is>
          <t>https://drive.google.com/file/d/11RGpKkEMdK77095ybWBCzfeU7QXtAazR/view?usp=drivesdk</t>
        </is>
      </c>
    </row>
    <row r="268" ht="12" customHeight="1">
      <c r="A268" t="inlineStr">
        <is>
          <t>202608</t>
        </is>
      </c>
      <c r="B268" t="inlineStr">
        <is>
          <t>LTD</t>
        </is>
      </c>
      <c r="C268" t="inlineStr">
        <is>
          <t>opex</t>
        </is>
      </c>
      <c r="D268" t="inlineStr">
        <is>
          <t>administration</t>
        </is>
      </c>
      <c r="E268" t="inlineStr">
        <is>
          <t>YOURACCOUNTSTAXES</t>
        </is>
      </c>
      <c r="F268" t="inlineStr">
        <is>
          <t>invoice</t>
        </is>
      </c>
      <c r="G268" s="4" t="n">
        <v>103.67</v>
      </c>
      <c r="H268" t="inlineStr">
        <is>
          <t>GBP</t>
        </is>
      </c>
      <c r="I268" t="inlineStr">
        <is>
          <t>GBP</t>
        </is>
      </c>
      <c r="J268" s="20" t="n">
        <v>1</v>
      </c>
      <c r="K268" s="4" t="n">
        <v>103.67</v>
      </c>
      <c r="L268" t="inlineStr">
        <is>
          <t>documents</t>
        </is>
      </c>
      <c r="M268" s="21" t="inlineStr">
        <is>
          <t>INV-0682_PERIODIFICADA_8_12</t>
        </is>
      </c>
      <c r="N268" t="inlineStr">
        <is>
          <t>https://drive.google.com/file/d/1YItJo27rxIk2KucnIbPWCgV-kg6_TIFw/view?usp=drivesdk</t>
        </is>
      </c>
    </row>
    <row r="269" ht="12" customHeight="1">
      <c r="A269" t="inlineStr">
        <is>
          <t>202609</t>
        </is>
      </c>
      <c r="B269" t="inlineStr">
        <is>
          <t>LTD</t>
        </is>
      </c>
      <c r="C269" t="inlineStr">
        <is>
          <t>opex</t>
        </is>
      </c>
      <c r="D269" t="inlineStr">
        <is>
          <t>administration</t>
        </is>
      </c>
      <c r="E269" t="inlineStr">
        <is>
          <t>YOURACCOUNTSTAXES</t>
        </is>
      </c>
      <c r="F269" t="inlineStr">
        <is>
          <t>invoice</t>
        </is>
      </c>
      <c r="G269" s="4" t="n">
        <v>26.5</v>
      </c>
      <c r="H269" t="inlineStr">
        <is>
          <t>GBP</t>
        </is>
      </c>
      <c r="I269" t="inlineStr">
        <is>
          <t>GBP</t>
        </is>
      </c>
      <c r="J269" s="20" t="n">
        <v>1</v>
      </c>
      <c r="K269" s="4" t="n">
        <v>26.5</v>
      </c>
      <c r="L269" t="inlineStr">
        <is>
          <t>documents</t>
        </is>
      </c>
      <c r="M269" s="21" t="inlineStr">
        <is>
          <t>INV-0679_PERIODIFICADA_9_12</t>
        </is>
      </c>
      <c r="N269" t="inlineStr">
        <is>
          <t>https://drive.google.com/file/d/1TiRvkJ6K7ctWCKH70UZtwyVtiBFJcZS3/view?usp=drivesdk</t>
        </is>
      </c>
    </row>
    <row r="270" ht="12" customHeight="1">
      <c r="A270" t="inlineStr">
        <is>
          <t>202609</t>
        </is>
      </c>
      <c r="B270" t="inlineStr">
        <is>
          <t>LTD</t>
        </is>
      </c>
      <c r="C270" t="inlineStr">
        <is>
          <t>opex</t>
        </is>
      </c>
      <c r="D270" t="inlineStr">
        <is>
          <t>administration</t>
        </is>
      </c>
      <c r="E270" t="inlineStr">
        <is>
          <t>YOURACCOUNTSTAXES</t>
        </is>
      </c>
      <c r="F270" t="inlineStr">
        <is>
          <t>invoice</t>
        </is>
      </c>
      <c r="G270" s="4" t="n">
        <v>55</v>
      </c>
      <c r="H270" t="inlineStr">
        <is>
          <t>GBP</t>
        </is>
      </c>
      <c r="I270" t="inlineStr">
        <is>
          <t>GBP</t>
        </is>
      </c>
      <c r="J270" s="20" t="n">
        <v>1</v>
      </c>
      <c r="K270" s="4" t="n">
        <v>55</v>
      </c>
      <c r="L270" t="inlineStr">
        <is>
          <t>documents</t>
        </is>
      </c>
      <c r="M270" s="21" t="inlineStr">
        <is>
          <t>INV-0681_PERIODIFICADA_8_12</t>
        </is>
      </c>
      <c r="N270" t="inlineStr">
        <is>
          <t>https://drive.google.com/file/d/1TCM1PAyZN1h600czUy8h9Vl6JYkcuBnA/view?usp=drivesdk</t>
        </is>
      </c>
    </row>
    <row r="271" ht="12" customHeight="1">
      <c r="A271" t="inlineStr">
        <is>
          <t>202609</t>
        </is>
      </c>
      <c r="B271" t="inlineStr">
        <is>
          <t>LTD</t>
        </is>
      </c>
      <c r="C271" t="inlineStr">
        <is>
          <t>opex</t>
        </is>
      </c>
      <c r="D271" t="inlineStr">
        <is>
          <t>administration</t>
        </is>
      </c>
      <c r="E271" t="inlineStr">
        <is>
          <t>YOURACCOUNTSTAXES</t>
        </is>
      </c>
      <c r="F271" t="inlineStr">
        <is>
          <t>invoice</t>
        </is>
      </c>
      <c r="G271" s="4" t="n">
        <v>103.67</v>
      </c>
      <c r="H271" t="inlineStr">
        <is>
          <t>GBP</t>
        </is>
      </c>
      <c r="I271" t="inlineStr">
        <is>
          <t>GBP</t>
        </is>
      </c>
      <c r="J271" s="20" t="n">
        <v>1</v>
      </c>
      <c r="K271" s="4" t="n">
        <v>103.67</v>
      </c>
      <c r="L271" t="inlineStr">
        <is>
          <t>documents</t>
        </is>
      </c>
      <c r="M271" s="21" t="inlineStr">
        <is>
          <t>INV-0682_PERIODIFICADA_9_12</t>
        </is>
      </c>
      <c r="N271" t="inlineStr">
        <is>
          <t>https://drive.google.com/file/d/1j8eIoueeiDvnTZMGmyiF-LMtx0IPr9pM/view?usp=drivesdk</t>
        </is>
      </c>
    </row>
    <row r="272" ht="12" customHeight="1">
      <c r="A272" t="inlineStr">
        <is>
          <t>202610</t>
        </is>
      </c>
      <c r="B272" t="inlineStr">
        <is>
          <t>LTD</t>
        </is>
      </c>
      <c r="C272" t="inlineStr">
        <is>
          <t>opex</t>
        </is>
      </c>
      <c r="D272" t="inlineStr">
        <is>
          <t>administration</t>
        </is>
      </c>
      <c r="E272" t="inlineStr">
        <is>
          <t>YOURACCOUNTSTAXES</t>
        </is>
      </c>
      <c r="F272" t="inlineStr">
        <is>
          <t>invoice</t>
        </is>
      </c>
      <c r="G272" s="4" t="n">
        <v>26.5</v>
      </c>
      <c r="H272" t="inlineStr">
        <is>
          <t>GBP</t>
        </is>
      </c>
      <c r="I272" t="inlineStr">
        <is>
          <t>GBP</t>
        </is>
      </c>
      <c r="J272" s="20" t="n">
        <v>1</v>
      </c>
      <c r="K272" s="4" t="n">
        <v>26.5</v>
      </c>
      <c r="L272" t="inlineStr">
        <is>
          <t>documents</t>
        </is>
      </c>
      <c r="M272" s="21" t="inlineStr">
        <is>
          <t>INV-0679_PERIODIFICADA_10_12</t>
        </is>
      </c>
      <c r="N272" t="inlineStr">
        <is>
          <t>https://drive.google.com/file/d/1y9fclbPoT1LX8B-Ccm6UQFRfFv51MzCl/view?usp=drivesdk</t>
        </is>
      </c>
    </row>
    <row r="273" ht="12" customHeight="1">
      <c r="A273" t="inlineStr">
        <is>
          <t>202610</t>
        </is>
      </c>
      <c r="B273" t="inlineStr">
        <is>
          <t>LTD</t>
        </is>
      </c>
      <c r="C273" t="inlineStr">
        <is>
          <t>opex</t>
        </is>
      </c>
      <c r="D273" t="inlineStr">
        <is>
          <t>administration</t>
        </is>
      </c>
      <c r="E273" t="inlineStr">
        <is>
          <t>YOURACCOUNTSTAXES</t>
        </is>
      </c>
      <c r="F273" t="inlineStr">
        <is>
          <t>invoice</t>
        </is>
      </c>
      <c r="G273" s="4" t="n">
        <v>55</v>
      </c>
      <c r="H273" t="inlineStr">
        <is>
          <t>GBP</t>
        </is>
      </c>
      <c r="I273" t="inlineStr">
        <is>
          <t>GBP</t>
        </is>
      </c>
      <c r="J273" s="20" t="n">
        <v>1</v>
      </c>
      <c r="K273" s="4" t="n">
        <v>55</v>
      </c>
      <c r="L273" t="inlineStr">
        <is>
          <t>documents</t>
        </is>
      </c>
      <c r="M273" s="21" t="inlineStr">
        <is>
          <t>INV-0681_PERIODIFICADA_9_12</t>
        </is>
      </c>
      <c r="N273" t="inlineStr">
        <is>
          <t>https://drive.google.com/file/d/1F_ojYavt0rOVF-WoA4DILVHACGqB_Xhn/view?usp=drivesdk</t>
        </is>
      </c>
    </row>
    <row r="274" ht="12" customHeight="1">
      <c r="A274" t="inlineStr">
        <is>
          <t>202610</t>
        </is>
      </c>
      <c r="B274" t="inlineStr">
        <is>
          <t>LTD</t>
        </is>
      </c>
      <c r="C274" t="inlineStr">
        <is>
          <t>opex</t>
        </is>
      </c>
      <c r="D274" t="inlineStr">
        <is>
          <t>administration</t>
        </is>
      </c>
      <c r="E274" t="inlineStr">
        <is>
          <t>YOURACCOUNTSTAXES</t>
        </is>
      </c>
      <c r="F274" t="inlineStr">
        <is>
          <t>invoice</t>
        </is>
      </c>
      <c r="G274" s="4" t="n">
        <v>103.67</v>
      </c>
      <c r="H274" t="inlineStr">
        <is>
          <t>GBP</t>
        </is>
      </c>
      <c r="I274" t="inlineStr">
        <is>
          <t>GBP</t>
        </is>
      </c>
      <c r="J274" s="20" t="n">
        <v>1</v>
      </c>
      <c r="K274" s="4" t="n">
        <v>103.67</v>
      </c>
      <c r="L274" t="inlineStr">
        <is>
          <t>documents</t>
        </is>
      </c>
      <c r="M274" s="21" t="inlineStr">
        <is>
          <t>INV-0682_PERIODIFICADA_10_12</t>
        </is>
      </c>
      <c r="N274" t="inlineStr">
        <is>
          <t>https://drive.google.com/file/d/1AB8Xr6NvMGSBv1SkJcKECSxweSG6nBi-/view?usp=drivesdk</t>
        </is>
      </c>
    </row>
    <row r="275" ht="12" customHeight="1">
      <c r="A275" t="inlineStr">
        <is>
          <t>202611</t>
        </is>
      </c>
      <c r="B275" t="inlineStr">
        <is>
          <t>LTD</t>
        </is>
      </c>
      <c r="C275" t="inlineStr">
        <is>
          <t>opex</t>
        </is>
      </c>
      <c r="D275" t="inlineStr">
        <is>
          <t>administration</t>
        </is>
      </c>
      <c r="E275" t="inlineStr">
        <is>
          <t>YOURACCOUNTSTAXES</t>
        </is>
      </c>
      <c r="F275" t="inlineStr">
        <is>
          <t>invoice</t>
        </is>
      </c>
      <c r="G275" s="4" t="n">
        <v>26.5</v>
      </c>
      <c r="H275" t="inlineStr">
        <is>
          <t>GBP</t>
        </is>
      </c>
      <c r="I275" t="inlineStr">
        <is>
          <t>GBP</t>
        </is>
      </c>
      <c r="J275" s="20" t="n">
        <v>1</v>
      </c>
      <c r="K275" s="4" t="n">
        <v>26.5</v>
      </c>
      <c r="L275" t="inlineStr">
        <is>
          <t>documents</t>
        </is>
      </c>
      <c r="M275" s="21" t="inlineStr">
        <is>
          <t>INV-0679_PERIODIFICADA_11_12</t>
        </is>
      </c>
      <c r="N275" t="inlineStr">
        <is>
          <t>https://drive.google.com/file/d/1L3a_vME8SLzq0VCnSYsQFsMpA3aEhGLE/view?usp=drivesdk</t>
        </is>
      </c>
    </row>
    <row r="276" ht="12" customHeight="1">
      <c r="A276" t="inlineStr">
        <is>
          <t>202611</t>
        </is>
      </c>
      <c r="B276" t="inlineStr">
        <is>
          <t>LTD</t>
        </is>
      </c>
      <c r="C276" t="inlineStr">
        <is>
          <t>opex</t>
        </is>
      </c>
      <c r="D276" t="inlineStr">
        <is>
          <t>administration</t>
        </is>
      </c>
      <c r="E276" t="inlineStr">
        <is>
          <t>YOURACCOUNTSTAXES</t>
        </is>
      </c>
      <c r="F276" t="inlineStr">
        <is>
          <t>invoice</t>
        </is>
      </c>
      <c r="G276" s="4" t="n">
        <v>55</v>
      </c>
      <c r="H276" t="inlineStr">
        <is>
          <t>GBP</t>
        </is>
      </c>
      <c r="I276" t="inlineStr">
        <is>
          <t>GBP</t>
        </is>
      </c>
      <c r="J276" s="20" t="n">
        <v>1</v>
      </c>
      <c r="K276" s="4" t="n">
        <v>55</v>
      </c>
      <c r="L276" t="inlineStr">
        <is>
          <t>documents</t>
        </is>
      </c>
      <c r="M276" s="21" t="inlineStr">
        <is>
          <t>INV-0681_PERIODIFICADA_10_12</t>
        </is>
      </c>
      <c r="N276" t="inlineStr">
        <is>
          <t>https://drive.google.com/file/d/1IG_3iLDTE3hoYuVx4M46MqklrzCKpRhc/view?usp=drivesdk</t>
        </is>
      </c>
    </row>
    <row r="277" ht="12" customHeight="1">
      <c r="A277" t="inlineStr">
        <is>
          <t>202611</t>
        </is>
      </c>
      <c r="B277" t="inlineStr">
        <is>
          <t>LTD</t>
        </is>
      </c>
      <c r="C277" t="inlineStr">
        <is>
          <t>opex</t>
        </is>
      </c>
      <c r="D277" t="inlineStr">
        <is>
          <t>administration</t>
        </is>
      </c>
      <c r="E277" t="inlineStr">
        <is>
          <t>YOURACCOUNTSTAXES</t>
        </is>
      </c>
      <c r="F277" t="inlineStr">
        <is>
          <t>invoice</t>
        </is>
      </c>
      <c r="G277" s="4" t="n">
        <v>103.67</v>
      </c>
      <c r="H277" t="inlineStr">
        <is>
          <t>GBP</t>
        </is>
      </c>
      <c r="I277" t="inlineStr">
        <is>
          <t>GBP</t>
        </is>
      </c>
      <c r="J277" s="20" t="n">
        <v>1</v>
      </c>
      <c r="K277" s="4" t="n">
        <v>103.67</v>
      </c>
      <c r="L277" t="inlineStr">
        <is>
          <t>documents</t>
        </is>
      </c>
      <c r="M277" s="21" t="inlineStr">
        <is>
          <t>INV-0682_PERIODIFICADA_11_12</t>
        </is>
      </c>
      <c r="N277" t="inlineStr">
        <is>
          <t>https://drive.google.com/file/d/11zNwha_ZMtf4Wq3wVF4QzJj4bweWWdGI/view?usp=drivesdk</t>
        </is>
      </c>
    </row>
    <row r="278" ht="12" customHeight="1">
      <c r="A278" t="inlineStr">
        <is>
          <t>202612</t>
        </is>
      </c>
      <c r="B278" t="inlineStr">
        <is>
          <t>LTD</t>
        </is>
      </c>
      <c r="C278" t="inlineStr">
        <is>
          <t>opex</t>
        </is>
      </c>
      <c r="D278" t="inlineStr">
        <is>
          <t>administration</t>
        </is>
      </c>
      <c r="E278" t="inlineStr">
        <is>
          <t>YOURACCOUNTSTAXES</t>
        </is>
      </c>
      <c r="F278" t="inlineStr">
        <is>
          <t>invoice</t>
        </is>
      </c>
      <c r="G278" s="4" t="n">
        <v>26.5</v>
      </c>
      <c r="H278" t="inlineStr">
        <is>
          <t>GBP</t>
        </is>
      </c>
      <c r="I278" t="inlineStr">
        <is>
          <t>GBP</t>
        </is>
      </c>
      <c r="J278" s="20" t="n">
        <v>1</v>
      </c>
      <c r="K278" s="4" t="n">
        <v>26.5</v>
      </c>
      <c r="L278" t="inlineStr">
        <is>
          <t>documents</t>
        </is>
      </c>
      <c r="M278" s="21" t="inlineStr">
        <is>
          <t>INV-0679_PERIODIFICADA_12_12</t>
        </is>
      </c>
      <c r="N278" t="inlineStr">
        <is>
          <t>https://drive.google.com/file/d/1ynEcwwwFHRw_j4UIzVQllup-ekY2huWO/view?usp=drivesdk</t>
        </is>
      </c>
    </row>
    <row r="279" ht="12" customHeight="1">
      <c r="A279" t="inlineStr">
        <is>
          <t>202612</t>
        </is>
      </c>
      <c r="B279" t="inlineStr">
        <is>
          <t>LTD</t>
        </is>
      </c>
      <c r="C279" t="inlineStr">
        <is>
          <t>opex</t>
        </is>
      </c>
      <c r="D279" t="inlineStr">
        <is>
          <t>administration</t>
        </is>
      </c>
      <c r="E279" t="inlineStr">
        <is>
          <t>YOURACCOUNTSTAXES</t>
        </is>
      </c>
      <c r="F279" t="inlineStr">
        <is>
          <t>invoice</t>
        </is>
      </c>
      <c r="G279" s="4" t="n">
        <v>55</v>
      </c>
      <c r="H279" t="inlineStr">
        <is>
          <t>GBP</t>
        </is>
      </c>
      <c r="I279" t="inlineStr">
        <is>
          <t>GBP</t>
        </is>
      </c>
      <c r="J279" s="20" t="n">
        <v>1</v>
      </c>
      <c r="K279" s="4" t="n">
        <v>55</v>
      </c>
      <c r="L279" t="inlineStr">
        <is>
          <t>documents</t>
        </is>
      </c>
      <c r="M279" s="21" t="inlineStr">
        <is>
          <t>INV-0681_PERIODIFICADA_11_12</t>
        </is>
      </c>
      <c r="N279" t="inlineStr">
        <is>
          <t>https://drive.google.com/file/d/1RskEVbYtAKWbS4SEumveN8YHrWbIys-_/view?usp=drivesdk</t>
        </is>
      </c>
    </row>
    <row r="280" ht="12" customHeight="1">
      <c r="A280" t="inlineStr">
        <is>
          <t>202612</t>
        </is>
      </c>
      <c r="B280" t="inlineStr">
        <is>
          <t>LTD</t>
        </is>
      </c>
      <c r="C280" t="inlineStr">
        <is>
          <t>opex</t>
        </is>
      </c>
      <c r="D280" t="inlineStr">
        <is>
          <t>administration</t>
        </is>
      </c>
      <c r="E280" t="inlineStr">
        <is>
          <t>YOURACCOUNTSTAXES</t>
        </is>
      </c>
      <c r="F280" t="inlineStr">
        <is>
          <t>invoice</t>
        </is>
      </c>
      <c r="G280" s="4" t="n">
        <v>103.67</v>
      </c>
      <c r="H280" t="inlineStr">
        <is>
          <t>GBP</t>
        </is>
      </c>
      <c r="I280" t="inlineStr">
        <is>
          <t>GBP</t>
        </is>
      </c>
      <c r="J280" s="20" t="n">
        <v>1</v>
      </c>
      <c r="K280" s="4" t="n">
        <v>103.67</v>
      </c>
      <c r="L280" t="inlineStr">
        <is>
          <t>documents</t>
        </is>
      </c>
      <c r="M280" s="21" t="inlineStr">
        <is>
          <t>INV-0682_PERIODIFICADA_12_12</t>
        </is>
      </c>
      <c r="N280" t="inlineStr">
        <is>
          <t>https://drive.google.com/file/d/1vPskc5Qm4-Coe1JxTlzp2VdJWX8WiKRm/view?usp=drivesdk</t>
        </is>
      </c>
    </row>
    <row r="281" ht="12" customHeight="1">
      <c r="A281" t="inlineStr">
        <is>
          <t>202603</t>
        </is>
      </c>
      <c r="B281" t="inlineStr">
        <is>
          <t>LTD</t>
        </is>
      </c>
      <c r="C281" t="inlineStr">
        <is>
          <t>opex</t>
        </is>
      </c>
      <c r="D281" t="inlineStr">
        <is>
          <t>otros_gastos</t>
        </is>
      </c>
      <c r="E281" t="inlineStr">
        <is>
          <t>OTROSGASTOS</t>
        </is>
      </c>
      <c r="F281" t="inlineStr">
        <is>
          <t>REVER RVR-17773 saldo aplicado / importe adeudado adicional segun factura: 17,13 EUR</t>
        </is>
      </c>
      <c r="G281" s="4" t="n">
        <v>17.13</v>
      </c>
      <c r="H281" t="inlineStr">
        <is>
          <t>EUR</t>
        </is>
      </c>
      <c r="I281" t="inlineStr">
        <is>
          <t>GBP</t>
        </is>
      </c>
      <c r="J281" s="20" t="n">
        <v>0.86833</v>
      </c>
      <c r="K281" s="4" t="n">
        <v>14.87</v>
      </c>
      <c r="L281" t="inlineStr">
        <is>
          <t>otros_gastos</t>
        </is>
      </c>
      <c r="M281" t="inlineStr"/>
      <c r="N281" t="inlineStr"/>
    </row>
  </sheetData>
  <hyperlinks>
    <hyperlink ref="A1" location="'P&amp;G-LTD'!A1" display="&lt;- Volver a P&amp;G-LTD"/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0" r:id="rId78"/>
    <hyperlink xmlns:r="http://schemas.openxmlformats.org/officeDocument/2006/relationships" ref="M81" r:id="rId79"/>
    <hyperlink xmlns:r="http://schemas.openxmlformats.org/officeDocument/2006/relationships" ref="M82" r:id="rId80"/>
    <hyperlink xmlns:r="http://schemas.openxmlformats.org/officeDocument/2006/relationships" ref="M83" r:id="rId81"/>
    <hyperlink xmlns:r="http://schemas.openxmlformats.org/officeDocument/2006/relationships" ref="M84" r:id="rId82"/>
    <hyperlink xmlns:r="http://schemas.openxmlformats.org/officeDocument/2006/relationships" ref="M85" r:id="rId83"/>
    <hyperlink xmlns:r="http://schemas.openxmlformats.org/officeDocument/2006/relationships" ref="M86" r:id="rId84"/>
    <hyperlink xmlns:r="http://schemas.openxmlformats.org/officeDocument/2006/relationships" ref="M87" r:id="rId85"/>
    <hyperlink xmlns:r="http://schemas.openxmlformats.org/officeDocument/2006/relationships" ref="M88" r:id="rId86"/>
    <hyperlink xmlns:r="http://schemas.openxmlformats.org/officeDocument/2006/relationships" ref="M89" r:id="rId87"/>
    <hyperlink xmlns:r="http://schemas.openxmlformats.org/officeDocument/2006/relationships" ref="M90" r:id="rId88"/>
    <hyperlink xmlns:r="http://schemas.openxmlformats.org/officeDocument/2006/relationships" ref="M91" r:id="rId89"/>
    <hyperlink xmlns:r="http://schemas.openxmlformats.org/officeDocument/2006/relationships" ref="M92" r:id="rId90"/>
    <hyperlink xmlns:r="http://schemas.openxmlformats.org/officeDocument/2006/relationships" ref="M93" r:id="rId91"/>
    <hyperlink xmlns:r="http://schemas.openxmlformats.org/officeDocument/2006/relationships" ref="M94" r:id="rId92"/>
    <hyperlink xmlns:r="http://schemas.openxmlformats.org/officeDocument/2006/relationships" ref="M95" r:id="rId93"/>
    <hyperlink xmlns:r="http://schemas.openxmlformats.org/officeDocument/2006/relationships" ref="M96" r:id="rId94"/>
    <hyperlink xmlns:r="http://schemas.openxmlformats.org/officeDocument/2006/relationships" ref="M97" r:id="rId95"/>
    <hyperlink xmlns:r="http://schemas.openxmlformats.org/officeDocument/2006/relationships" ref="M98" r:id="rId96"/>
    <hyperlink xmlns:r="http://schemas.openxmlformats.org/officeDocument/2006/relationships" ref="M99" r:id="rId97"/>
    <hyperlink xmlns:r="http://schemas.openxmlformats.org/officeDocument/2006/relationships" ref="M100" r:id="rId98"/>
    <hyperlink xmlns:r="http://schemas.openxmlformats.org/officeDocument/2006/relationships" ref="M101" r:id="rId99"/>
    <hyperlink xmlns:r="http://schemas.openxmlformats.org/officeDocument/2006/relationships" ref="M102" r:id="rId100"/>
    <hyperlink xmlns:r="http://schemas.openxmlformats.org/officeDocument/2006/relationships" ref="M103" r:id="rId101"/>
    <hyperlink xmlns:r="http://schemas.openxmlformats.org/officeDocument/2006/relationships" ref="M104" r:id="rId102"/>
    <hyperlink xmlns:r="http://schemas.openxmlformats.org/officeDocument/2006/relationships" ref="M105" r:id="rId103"/>
    <hyperlink xmlns:r="http://schemas.openxmlformats.org/officeDocument/2006/relationships" ref="M106" r:id="rId104"/>
    <hyperlink xmlns:r="http://schemas.openxmlformats.org/officeDocument/2006/relationships" ref="M107" r:id="rId105"/>
    <hyperlink xmlns:r="http://schemas.openxmlformats.org/officeDocument/2006/relationships" ref="M108" r:id="rId106"/>
    <hyperlink xmlns:r="http://schemas.openxmlformats.org/officeDocument/2006/relationships" ref="M109" r:id="rId107"/>
    <hyperlink xmlns:r="http://schemas.openxmlformats.org/officeDocument/2006/relationships" ref="M110" r:id="rId108"/>
    <hyperlink xmlns:r="http://schemas.openxmlformats.org/officeDocument/2006/relationships" ref="M111" r:id="rId109"/>
    <hyperlink xmlns:r="http://schemas.openxmlformats.org/officeDocument/2006/relationships" ref="M112" r:id="rId110"/>
    <hyperlink xmlns:r="http://schemas.openxmlformats.org/officeDocument/2006/relationships" ref="M113" r:id="rId111"/>
    <hyperlink xmlns:r="http://schemas.openxmlformats.org/officeDocument/2006/relationships" ref="M114" r:id="rId112"/>
    <hyperlink xmlns:r="http://schemas.openxmlformats.org/officeDocument/2006/relationships" ref="M115" r:id="rId113"/>
    <hyperlink xmlns:r="http://schemas.openxmlformats.org/officeDocument/2006/relationships" ref="M116" r:id="rId114"/>
    <hyperlink xmlns:r="http://schemas.openxmlformats.org/officeDocument/2006/relationships" ref="M117" r:id="rId115"/>
    <hyperlink xmlns:r="http://schemas.openxmlformats.org/officeDocument/2006/relationships" ref="M118" r:id="rId116"/>
    <hyperlink xmlns:r="http://schemas.openxmlformats.org/officeDocument/2006/relationships" ref="M119" r:id="rId117"/>
    <hyperlink xmlns:r="http://schemas.openxmlformats.org/officeDocument/2006/relationships" ref="M120" r:id="rId118"/>
    <hyperlink xmlns:r="http://schemas.openxmlformats.org/officeDocument/2006/relationships" ref="M121" r:id="rId119"/>
    <hyperlink xmlns:r="http://schemas.openxmlformats.org/officeDocument/2006/relationships" ref="M122" r:id="rId120"/>
    <hyperlink xmlns:r="http://schemas.openxmlformats.org/officeDocument/2006/relationships" ref="M123" r:id="rId121"/>
    <hyperlink xmlns:r="http://schemas.openxmlformats.org/officeDocument/2006/relationships" ref="M124" r:id="rId122"/>
    <hyperlink xmlns:r="http://schemas.openxmlformats.org/officeDocument/2006/relationships" ref="M125" r:id="rId123"/>
    <hyperlink xmlns:r="http://schemas.openxmlformats.org/officeDocument/2006/relationships" ref="M126" r:id="rId124"/>
    <hyperlink xmlns:r="http://schemas.openxmlformats.org/officeDocument/2006/relationships" ref="M127" r:id="rId125"/>
    <hyperlink xmlns:r="http://schemas.openxmlformats.org/officeDocument/2006/relationships" ref="M128" r:id="rId126"/>
    <hyperlink xmlns:r="http://schemas.openxmlformats.org/officeDocument/2006/relationships" ref="M129" r:id="rId127"/>
    <hyperlink xmlns:r="http://schemas.openxmlformats.org/officeDocument/2006/relationships" ref="M130" r:id="rId128"/>
    <hyperlink xmlns:r="http://schemas.openxmlformats.org/officeDocument/2006/relationships" ref="M131" r:id="rId129"/>
    <hyperlink xmlns:r="http://schemas.openxmlformats.org/officeDocument/2006/relationships" ref="M132" r:id="rId130"/>
    <hyperlink xmlns:r="http://schemas.openxmlformats.org/officeDocument/2006/relationships" ref="M133" r:id="rId131"/>
    <hyperlink xmlns:r="http://schemas.openxmlformats.org/officeDocument/2006/relationships" ref="M134" r:id="rId132"/>
    <hyperlink xmlns:r="http://schemas.openxmlformats.org/officeDocument/2006/relationships" ref="M135" r:id="rId133"/>
    <hyperlink xmlns:r="http://schemas.openxmlformats.org/officeDocument/2006/relationships" ref="M136" r:id="rId134"/>
    <hyperlink xmlns:r="http://schemas.openxmlformats.org/officeDocument/2006/relationships" ref="M137" r:id="rId135"/>
    <hyperlink xmlns:r="http://schemas.openxmlformats.org/officeDocument/2006/relationships" ref="M138" r:id="rId136"/>
    <hyperlink xmlns:r="http://schemas.openxmlformats.org/officeDocument/2006/relationships" ref="M139" r:id="rId137"/>
    <hyperlink xmlns:r="http://schemas.openxmlformats.org/officeDocument/2006/relationships" ref="M140" r:id="rId138"/>
    <hyperlink xmlns:r="http://schemas.openxmlformats.org/officeDocument/2006/relationships" ref="M141" r:id="rId139"/>
    <hyperlink xmlns:r="http://schemas.openxmlformats.org/officeDocument/2006/relationships" ref="M142" r:id="rId140"/>
    <hyperlink xmlns:r="http://schemas.openxmlformats.org/officeDocument/2006/relationships" ref="M143" r:id="rId141"/>
    <hyperlink xmlns:r="http://schemas.openxmlformats.org/officeDocument/2006/relationships" ref="M144" r:id="rId142"/>
    <hyperlink xmlns:r="http://schemas.openxmlformats.org/officeDocument/2006/relationships" ref="M145" r:id="rId143"/>
    <hyperlink xmlns:r="http://schemas.openxmlformats.org/officeDocument/2006/relationships" ref="M146" r:id="rId144"/>
    <hyperlink xmlns:r="http://schemas.openxmlformats.org/officeDocument/2006/relationships" ref="M147" r:id="rId145"/>
    <hyperlink xmlns:r="http://schemas.openxmlformats.org/officeDocument/2006/relationships" ref="M148" r:id="rId146"/>
    <hyperlink xmlns:r="http://schemas.openxmlformats.org/officeDocument/2006/relationships" ref="M149" r:id="rId147"/>
    <hyperlink xmlns:r="http://schemas.openxmlformats.org/officeDocument/2006/relationships" ref="M150" r:id="rId148"/>
    <hyperlink xmlns:r="http://schemas.openxmlformats.org/officeDocument/2006/relationships" ref="M151" r:id="rId149"/>
    <hyperlink xmlns:r="http://schemas.openxmlformats.org/officeDocument/2006/relationships" ref="M152" r:id="rId150"/>
    <hyperlink xmlns:r="http://schemas.openxmlformats.org/officeDocument/2006/relationships" ref="M153" r:id="rId151"/>
    <hyperlink xmlns:r="http://schemas.openxmlformats.org/officeDocument/2006/relationships" ref="M154" r:id="rId152"/>
    <hyperlink xmlns:r="http://schemas.openxmlformats.org/officeDocument/2006/relationships" ref="M155" r:id="rId153"/>
    <hyperlink xmlns:r="http://schemas.openxmlformats.org/officeDocument/2006/relationships" ref="M156" r:id="rId154"/>
    <hyperlink xmlns:r="http://schemas.openxmlformats.org/officeDocument/2006/relationships" ref="M157" r:id="rId155"/>
    <hyperlink xmlns:r="http://schemas.openxmlformats.org/officeDocument/2006/relationships" ref="M158" r:id="rId156"/>
    <hyperlink xmlns:r="http://schemas.openxmlformats.org/officeDocument/2006/relationships" ref="M159" r:id="rId157"/>
    <hyperlink xmlns:r="http://schemas.openxmlformats.org/officeDocument/2006/relationships" ref="M160" r:id="rId158"/>
    <hyperlink xmlns:r="http://schemas.openxmlformats.org/officeDocument/2006/relationships" ref="M161" r:id="rId159"/>
    <hyperlink xmlns:r="http://schemas.openxmlformats.org/officeDocument/2006/relationships" ref="M162" r:id="rId160"/>
    <hyperlink xmlns:r="http://schemas.openxmlformats.org/officeDocument/2006/relationships" ref="M163" r:id="rId161"/>
    <hyperlink xmlns:r="http://schemas.openxmlformats.org/officeDocument/2006/relationships" ref="M164" r:id="rId162"/>
    <hyperlink xmlns:r="http://schemas.openxmlformats.org/officeDocument/2006/relationships" ref="M165" r:id="rId163"/>
    <hyperlink xmlns:r="http://schemas.openxmlformats.org/officeDocument/2006/relationships" ref="M166" r:id="rId164"/>
    <hyperlink xmlns:r="http://schemas.openxmlformats.org/officeDocument/2006/relationships" ref="M167" r:id="rId165"/>
    <hyperlink xmlns:r="http://schemas.openxmlformats.org/officeDocument/2006/relationships" ref="M168" r:id="rId166"/>
    <hyperlink xmlns:r="http://schemas.openxmlformats.org/officeDocument/2006/relationships" ref="M169" r:id="rId167"/>
    <hyperlink xmlns:r="http://schemas.openxmlformats.org/officeDocument/2006/relationships" ref="M170" r:id="rId168"/>
    <hyperlink xmlns:r="http://schemas.openxmlformats.org/officeDocument/2006/relationships" ref="M171" r:id="rId169"/>
    <hyperlink xmlns:r="http://schemas.openxmlformats.org/officeDocument/2006/relationships" ref="M172" r:id="rId170"/>
    <hyperlink xmlns:r="http://schemas.openxmlformats.org/officeDocument/2006/relationships" ref="M173" r:id="rId171"/>
    <hyperlink xmlns:r="http://schemas.openxmlformats.org/officeDocument/2006/relationships" ref="M174" r:id="rId172"/>
    <hyperlink xmlns:r="http://schemas.openxmlformats.org/officeDocument/2006/relationships" ref="M175" r:id="rId173"/>
    <hyperlink xmlns:r="http://schemas.openxmlformats.org/officeDocument/2006/relationships" ref="M176" r:id="rId174"/>
    <hyperlink xmlns:r="http://schemas.openxmlformats.org/officeDocument/2006/relationships" ref="M177" r:id="rId175"/>
    <hyperlink xmlns:r="http://schemas.openxmlformats.org/officeDocument/2006/relationships" ref="M178" r:id="rId176"/>
    <hyperlink xmlns:r="http://schemas.openxmlformats.org/officeDocument/2006/relationships" ref="M179" r:id="rId177"/>
    <hyperlink xmlns:r="http://schemas.openxmlformats.org/officeDocument/2006/relationships" ref="M180" r:id="rId178"/>
    <hyperlink xmlns:r="http://schemas.openxmlformats.org/officeDocument/2006/relationships" ref="M181" r:id="rId179"/>
    <hyperlink xmlns:r="http://schemas.openxmlformats.org/officeDocument/2006/relationships" ref="M182" r:id="rId180"/>
    <hyperlink xmlns:r="http://schemas.openxmlformats.org/officeDocument/2006/relationships" ref="M183" r:id="rId181"/>
    <hyperlink xmlns:r="http://schemas.openxmlformats.org/officeDocument/2006/relationships" ref="M184" r:id="rId182"/>
    <hyperlink xmlns:r="http://schemas.openxmlformats.org/officeDocument/2006/relationships" ref="M185" r:id="rId183"/>
    <hyperlink xmlns:r="http://schemas.openxmlformats.org/officeDocument/2006/relationships" ref="M186" r:id="rId184"/>
    <hyperlink xmlns:r="http://schemas.openxmlformats.org/officeDocument/2006/relationships" ref="M187" r:id="rId185"/>
    <hyperlink xmlns:r="http://schemas.openxmlformats.org/officeDocument/2006/relationships" ref="M188" r:id="rId186"/>
    <hyperlink xmlns:r="http://schemas.openxmlformats.org/officeDocument/2006/relationships" ref="M189" r:id="rId187"/>
    <hyperlink xmlns:r="http://schemas.openxmlformats.org/officeDocument/2006/relationships" ref="M190" r:id="rId188"/>
    <hyperlink xmlns:r="http://schemas.openxmlformats.org/officeDocument/2006/relationships" ref="M191" r:id="rId189"/>
    <hyperlink xmlns:r="http://schemas.openxmlformats.org/officeDocument/2006/relationships" ref="M192" r:id="rId190"/>
    <hyperlink xmlns:r="http://schemas.openxmlformats.org/officeDocument/2006/relationships" ref="M193" r:id="rId191"/>
    <hyperlink xmlns:r="http://schemas.openxmlformats.org/officeDocument/2006/relationships" ref="M194" r:id="rId192"/>
    <hyperlink xmlns:r="http://schemas.openxmlformats.org/officeDocument/2006/relationships" ref="M195" r:id="rId193"/>
    <hyperlink xmlns:r="http://schemas.openxmlformats.org/officeDocument/2006/relationships" ref="M196" r:id="rId194"/>
    <hyperlink xmlns:r="http://schemas.openxmlformats.org/officeDocument/2006/relationships" ref="M197" r:id="rId195"/>
    <hyperlink xmlns:r="http://schemas.openxmlformats.org/officeDocument/2006/relationships" ref="M198" r:id="rId196"/>
    <hyperlink xmlns:r="http://schemas.openxmlformats.org/officeDocument/2006/relationships" ref="M199" r:id="rId197"/>
    <hyperlink xmlns:r="http://schemas.openxmlformats.org/officeDocument/2006/relationships" ref="M200" r:id="rId198"/>
    <hyperlink xmlns:r="http://schemas.openxmlformats.org/officeDocument/2006/relationships" ref="M201" r:id="rId199"/>
    <hyperlink xmlns:r="http://schemas.openxmlformats.org/officeDocument/2006/relationships" ref="M202" r:id="rId200"/>
    <hyperlink xmlns:r="http://schemas.openxmlformats.org/officeDocument/2006/relationships" ref="M203" r:id="rId201"/>
    <hyperlink xmlns:r="http://schemas.openxmlformats.org/officeDocument/2006/relationships" ref="M204" r:id="rId202"/>
    <hyperlink xmlns:r="http://schemas.openxmlformats.org/officeDocument/2006/relationships" ref="M205" r:id="rId203"/>
    <hyperlink xmlns:r="http://schemas.openxmlformats.org/officeDocument/2006/relationships" ref="M206" r:id="rId204"/>
    <hyperlink xmlns:r="http://schemas.openxmlformats.org/officeDocument/2006/relationships" ref="M207" r:id="rId205"/>
    <hyperlink xmlns:r="http://schemas.openxmlformats.org/officeDocument/2006/relationships" ref="M208" r:id="rId206"/>
    <hyperlink xmlns:r="http://schemas.openxmlformats.org/officeDocument/2006/relationships" ref="M209" r:id="rId207"/>
    <hyperlink xmlns:r="http://schemas.openxmlformats.org/officeDocument/2006/relationships" ref="M210" r:id="rId208"/>
    <hyperlink xmlns:r="http://schemas.openxmlformats.org/officeDocument/2006/relationships" ref="M211" r:id="rId209"/>
    <hyperlink xmlns:r="http://schemas.openxmlformats.org/officeDocument/2006/relationships" ref="M212" r:id="rId210"/>
    <hyperlink xmlns:r="http://schemas.openxmlformats.org/officeDocument/2006/relationships" ref="M213" r:id="rId211"/>
    <hyperlink xmlns:r="http://schemas.openxmlformats.org/officeDocument/2006/relationships" ref="M214" r:id="rId212"/>
    <hyperlink xmlns:r="http://schemas.openxmlformats.org/officeDocument/2006/relationships" ref="M215" r:id="rId213"/>
    <hyperlink xmlns:r="http://schemas.openxmlformats.org/officeDocument/2006/relationships" ref="M216" r:id="rId214"/>
    <hyperlink xmlns:r="http://schemas.openxmlformats.org/officeDocument/2006/relationships" ref="M217" r:id="rId215"/>
    <hyperlink xmlns:r="http://schemas.openxmlformats.org/officeDocument/2006/relationships" ref="M218" r:id="rId216"/>
    <hyperlink xmlns:r="http://schemas.openxmlformats.org/officeDocument/2006/relationships" ref="M219" r:id="rId217"/>
    <hyperlink xmlns:r="http://schemas.openxmlformats.org/officeDocument/2006/relationships" ref="M220" r:id="rId218"/>
    <hyperlink xmlns:r="http://schemas.openxmlformats.org/officeDocument/2006/relationships" ref="M221" r:id="rId219"/>
    <hyperlink xmlns:r="http://schemas.openxmlformats.org/officeDocument/2006/relationships" ref="M222" r:id="rId220"/>
    <hyperlink xmlns:r="http://schemas.openxmlformats.org/officeDocument/2006/relationships" ref="M223" r:id="rId221"/>
    <hyperlink xmlns:r="http://schemas.openxmlformats.org/officeDocument/2006/relationships" ref="M224" r:id="rId222"/>
    <hyperlink xmlns:r="http://schemas.openxmlformats.org/officeDocument/2006/relationships" ref="M225" r:id="rId223"/>
    <hyperlink xmlns:r="http://schemas.openxmlformats.org/officeDocument/2006/relationships" ref="M226" r:id="rId224"/>
    <hyperlink xmlns:r="http://schemas.openxmlformats.org/officeDocument/2006/relationships" ref="M227" r:id="rId225"/>
    <hyperlink xmlns:r="http://schemas.openxmlformats.org/officeDocument/2006/relationships" ref="M228" r:id="rId226"/>
    <hyperlink xmlns:r="http://schemas.openxmlformats.org/officeDocument/2006/relationships" ref="M229" r:id="rId227"/>
    <hyperlink xmlns:r="http://schemas.openxmlformats.org/officeDocument/2006/relationships" ref="M230" r:id="rId228"/>
    <hyperlink xmlns:r="http://schemas.openxmlformats.org/officeDocument/2006/relationships" ref="M231" r:id="rId229"/>
    <hyperlink xmlns:r="http://schemas.openxmlformats.org/officeDocument/2006/relationships" ref="M232" r:id="rId230"/>
    <hyperlink xmlns:r="http://schemas.openxmlformats.org/officeDocument/2006/relationships" ref="M233" r:id="rId231"/>
    <hyperlink xmlns:r="http://schemas.openxmlformats.org/officeDocument/2006/relationships" ref="M234" r:id="rId232"/>
    <hyperlink xmlns:r="http://schemas.openxmlformats.org/officeDocument/2006/relationships" ref="M235" r:id="rId233"/>
    <hyperlink xmlns:r="http://schemas.openxmlformats.org/officeDocument/2006/relationships" ref="M236" r:id="rId234"/>
    <hyperlink xmlns:r="http://schemas.openxmlformats.org/officeDocument/2006/relationships" ref="M237" r:id="rId235"/>
    <hyperlink xmlns:r="http://schemas.openxmlformats.org/officeDocument/2006/relationships" ref="M238" r:id="rId236"/>
    <hyperlink xmlns:r="http://schemas.openxmlformats.org/officeDocument/2006/relationships" ref="M239" r:id="rId237"/>
    <hyperlink xmlns:r="http://schemas.openxmlformats.org/officeDocument/2006/relationships" ref="M240" r:id="rId238"/>
    <hyperlink xmlns:r="http://schemas.openxmlformats.org/officeDocument/2006/relationships" ref="M241" r:id="rId239"/>
    <hyperlink xmlns:r="http://schemas.openxmlformats.org/officeDocument/2006/relationships" ref="M242" r:id="rId240"/>
    <hyperlink xmlns:r="http://schemas.openxmlformats.org/officeDocument/2006/relationships" ref="M243" r:id="rId241"/>
    <hyperlink xmlns:r="http://schemas.openxmlformats.org/officeDocument/2006/relationships" ref="M244" r:id="rId242"/>
    <hyperlink xmlns:r="http://schemas.openxmlformats.org/officeDocument/2006/relationships" ref="M245" r:id="rId243"/>
    <hyperlink xmlns:r="http://schemas.openxmlformats.org/officeDocument/2006/relationships" ref="M246" r:id="rId244"/>
    <hyperlink xmlns:r="http://schemas.openxmlformats.org/officeDocument/2006/relationships" ref="M247" r:id="rId245"/>
    <hyperlink xmlns:r="http://schemas.openxmlformats.org/officeDocument/2006/relationships" ref="M248" r:id="rId246"/>
    <hyperlink xmlns:r="http://schemas.openxmlformats.org/officeDocument/2006/relationships" ref="M249" r:id="rId247"/>
    <hyperlink xmlns:r="http://schemas.openxmlformats.org/officeDocument/2006/relationships" ref="M250" r:id="rId248"/>
    <hyperlink xmlns:r="http://schemas.openxmlformats.org/officeDocument/2006/relationships" ref="M251" r:id="rId249"/>
    <hyperlink xmlns:r="http://schemas.openxmlformats.org/officeDocument/2006/relationships" ref="M252" r:id="rId250"/>
    <hyperlink xmlns:r="http://schemas.openxmlformats.org/officeDocument/2006/relationships" ref="M253" r:id="rId251"/>
    <hyperlink xmlns:r="http://schemas.openxmlformats.org/officeDocument/2006/relationships" ref="M254" r:id="rId252"/>
    <hyperlink xmlns:r="http://schemas.openxmlformats.org/officeDocument/2006/relationships" ref="M255" r:id="rId253"/>
    <hyperlink xmlns:r="http://schemas.openxmlformats.org/officeDocument/2006/relationships" ref="M256" r:id="rId254"/>
    <hyperlink xmlns:r="http://schemas.openxmlformats.org/officeDocument/2006/relationships" ref="M257" r:id="rId255"/>
    <hyperlink xmlns:r="http://schemas.openxmlformats.org/officeDocument/2006/relationships" ref="M258" r:id="rId256"/>
    <hyperlink xmlns:r="http://schemas.openxmlformats.org/officeDocument/2006/relationships" ref="M259" r:id="rId257"/>
    <hyperlink xmlns:r="http://schemas.openxmlformats.org/officeDocument/2006/relationships" ref="M260" r:id="rId258"/>
    <hyperlink xmlns:r="http://schemas.openxmlformats.org/officeDocument/2006/relationships" ref="M261" r:id="rId259"/>
    <hyperlink xmlns:r="http://schemas.openxmlformats.org/officeDocument/2006/relationships" ref="M262" r:id="rId260"/>
    <hyperlink xmlns:r="http://schemas.openxmlformats.org/officeDocument/2006/relationships" ref="M263" r:id="rId261"/>
    <hyperlink xmlns:r="http://schemas.openxmlformats.org/officeDocument/2006/relationships" ref="M264" r:id="rId262"/>
    <hyperlink xmlns:r="http://schemas.openxmlformats.org/officeDocument/2006/relationships" ref="M265" r:id="rId263"/>
    <hyperlink xmlns:r="http://schemas.openxmlformats.org/officeDocument/2006/relationships" ref="M266" r:id="rId264"/>
    <hyperlink xmlns:r="http://schemas.openxmlformats.org/officeDocument/2006/relationships" ref="M267" r:id="rId265"/>
    <hyperlink xmlns:r="http://schemas.openxmlformats.org/officeDocument/2006/relationships" ref="M268" r:id="rId266"/>
    <hyperlink xmlns:r="http://schemas.openxmlformats.org/officeDocument/2006/relationships" ref="M269" r:id="rId267"/>
    <hyperlink xmlns:r="http://schemas.openxmlformats.org/officeDocument/2006/relationships" ref="M270" r:id="rId268"/>
    <hyperlink xmlns:r="http://schemas.openxmlformats.org/officeDocument/2006/relationships" ref="M271" r:id="rId269"/>
    <hyperlink xmlns:r="http://schemas.openxmlformats.org/officeDocument/2006/relationships" ref="M272" r:id="rId270"/>
    <hyperlink xmlns:r="http://schemas.openxmlformats.org/officeDocument/2006/relationships" ref="M273" r:id="rId271"/>
    <hyperlink xmlns:r="http://schemas.openxmlformats.org/officeDocument/2006/relationships" ref="M274" r:id="rId272"/>
    <hyperlink xmlns:r="http://schemas.openxmlformats.org/officeDocument/2006/relationships" ref="M275" r:id="rId273"/>
    <hyperlink xmlns:r="http://schemas.openxmlformats.org/officeDocument/2006/relationships" ref="M276" r:id="rId274"/>
    <hyperlink xmlns:r="http://schemas.openxmlformats.org/officeDocument/2006/relationships" ref="M277" r:id="rId275"/>
    <hyperlink xmlns:r="http://schemas.openxmlformats.org/officeDocument/2006/relationships" ref="M278" r:id="rId276"/>
    <hyperlink xmlns:r="http://schemas.openxmlformats.org/officeDocument/2006/relationships" ref="M279" r:id="rId277"/>
    <hyperlink xmlns:r="http://schemas.openxmlformats.org/officeDocument/2006/relationships" ref="M280" r:id="rId2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9" customWidth="1" min="5" max="5"/>
    <col width="20" customWidth="1" min="6" max="6"/>
    <col width="14" customWidth="1" min="7" max="7"/>
    <col width="18" customWidth="1" min="8" max="8"/>
    <col width="14" customWidth="1" min="9" max="9"/>
  </cols>
  <sheetData>
    <row r="1" ht="12" customHeight="1">
      <c r="A1" s="18" t="inlineStr">
        <is>
          <t>&lt;- Volver a P&amp;G-LTD</t>
        </is>
      </c>
    </row>
    <row r="2" ht="12" customHeight="1">
      <c r="A2" s="19" t="inlineStr">
        <is>
          <t>yyyymm</t>
        </is>
      </c>
      <c r="B2" s="19" t="inlineStr">
        <is>
          <t>entity</t>
        </is>
      </c>
      <c r="C2" s="19" t="inlineStr">
        <is>
          <t>supplier_code</t>
        </is>
      </c>
      <c r="D2" s="19" t="inlineStr">
        <is>
          <t>amount_original</t>
        </is>
      </c>
      <c r="E2" s="19" t="inlineStr">
        <is>
          <t>currency_original</t>
        </is>
      </c>
      <c r="F2" s="19" t="inlineStr">
        <is>
          <t>reporting_currency</t>
        </is>
      </c>
      <c r="G2" s="19" t="inlineStr">
        <is>
          <t>fx_rate</t>
        </is>
      </c>
      <c r="H2" s="19" t="inlineStr">
        <is>
          <t>amount_reporting</t>
        </is>
      </c>
      <c r="I2" s="19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LTD</t>
        </is>
      </c>
      <c r="C3" t="inlineStr">
        <is>
          <t>SHOPIFY</t>
        </is>
      </c>
      <c r="D3" s="4" t="n">
        <v>394.29</v>
      </c>
      <c r="E3" t="inlineStr">
        <is>
          <t>GBP</t>
        </is>
      </c>
      <c r="F3" t="inlineStr">
        <is>
          <t>GBP</t>
        </is>
      </c>
      <c r="G3" s="20" t="n">
        <v>1</v>
      </c>
      <c r="H3" s="4" t="n">
        <v>394.29</v>
      </c>
      <c r="I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LTD</t>
        </is>
      </c>
      <c r="C4" t="inlineStr">
        <is>
          <t>SHOPIFY</t>
        </is>
      </c>
      <c r="D4" s="4" t="n">
        <v>488.84</v>
      </c>
      <c r="E4" t="inlineStr">
        <is>
          <t>GBP</t>
        </is>
      </c>
      <c r="F4" t="inlineStr">
        <is>
          <t>GBP</t>
        </is>
      </c>
      <c r="G4" s="20" t="n">
        <v>1</v>
      </c>
      <c r="H4" s="4" t="n">
        <v>488.84</v>
      </c>
      <c r="I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LTD</t>
        </is>
      </c>
      <c r="C5" t="inlineStr">
        <is>
          <t>SHOPIFY</t>
        </is>
      </c>
      <c r="D5" s="4" t="n">
        <v>564.5</v>
      </c>
      <c r="E5" t="inlineStr">
        <is>
          <t>GBP</t>
        </is>
      </c>
      <c r="F5" t="inlineStr">
        <is>
          <t>GBP</t>
        </is>
      </c>
      <c r="G5" s="20" t="n">
        <v>1</v>
      </c>
      <c r="H5" s="4" t="n">
        <v>564.5</v>
      </c>
      <c r="I5" t="inlineStr">
        <is>
          <t>payment_fee_monthly_summary</t>
        </is>
      </c>
    </row>
    <row r="6" ht="12" customHeight="1">
      <c r="A6" t="inlineStr">
        <is>
          <t>202604</t>
        </is>
      </c>
      <c r="B6" t="inlineStr">
        <is>
          <t>LTD</t>
        </is>
      </c>
      <c r="C6" t="inlineStr">
        <is>
          <t>SHOPIFY</t>
        </is>
      </c>
      <c r="D6" s="4" t="n">
        <v>492.78</v>
      </c>
      <c r="E6" t="inlineStr">
        <is>
          <t>GBP</t>
        </is>
      </c>
      <c r="F6" t="inlineStr">
        <is>
          <t>GBP</t>
        </is>
      </c>
      <c r="G6" s="20" t="n">
        <v>1</v>
      </c>
      <c r="H6" s="4" t="n">
        <v>492.78</v>
      </c>
      <c r="I6" t="inlineStr">
        <is>
          <t>payment_fee_monthly_summary</t>
        </is>
      </c>
    </row>
    <row r="7" ht="12" customHeight="1">
      <c r="A7" t="inlineStr">
        <is>
          <t>202605</t>
        </is>
      </c>
      <c r="B7" t="inlineStr">
        <is>
          <t>LTD</t>
        </is>
      </c>
      <c r="C7" t="inlineStr">
        <is>
          <t>SHOPIFY</t>
        </is>
      </c>
      <c r="D7" s="4" t="n">
        <v>501.87</v>
      </c>
      <c r="E7" t="inlineStr">
        <is>
          <t>GBP</t>
        </is>
      </c>
      <c r="F7" t="inlineStr">
        <is>
          <t>GBP</t>
        </is>
      </c>
      <c r="G7" s="20" t="n">
        <v>1</v>
      </c>
      <c r="H7" s="4" t="n">
        <v>501.87</v>
      </c>
      <c r="I7" t="inlineStr">
        <is>
          <t>payment_fee_monthly_summary</t>
        </is>
      </c>
    </row>
    <row r="8" ht="12" customHeight="1">
      <c r="A8" t="inlineStr">
        <is>
          <t>202606</t>
        </is>
      </c>
      <c r="B8" t="inlineStr">
        <is>
          <t>LTD</t>
        </is>
      </c>
      <c r="C8" t="inlineStr">
        <is>
          <t>SHOPIFY</t>
        </is>
      </c>
      <c r="D8" s="4" t="n">
        <v>501.86</v>
      </c>
      <c r="E8" t="inlineStr">
        <is>
          <t>GBP</t>
        </is>
      </c>
      <c r="F8" t="inlineStr">
        <is>
          <t>GBP</t>
        </is>
      </c>
      <c r="G8" s="20" t="n">
        <v>1</v>
      </c>
      <c r="H8" s="4" t="n">
        <v>501.86</v>
      </c>
      <c r="I8" t="inlineStr">
        <is>
          <t>payment_fee_monthly_summary</t>
        </is>
      </c>
    </row>
    <row r="9" ht="12" customHeight="1">
      <c r="A9" t="inlineStr">
        <is>
          <t>202607</t>
        </is>
      </c>
      <c r="B9" t="inlineStr">
        <is>
          <t>LTD</t>
        </is>
      </c>
      <c r="C9" t="inlineStr">
        <is>
          <t>SHOPIFY</t>
        </is>
      </c>
      <c r="D9" s="4" t="n">
        <v>446.24</v>
      </c>
      <c r="E9" t="inlineStr">
        <is>
          <t>GBP</t>
        </is>
      </c>
      <c r="F9" t="inlineStr">
        <is>
          <t>GBP</t>
        </is>
      </c>
      <c r="G9" s="20" t="n">
        <v>1</v>
      </c>
      <c r="H9" s="4" t="n">
        <v>446.24</v>
      </c>
      <c r="I9" t="inlineStr">
        <is>
          <t>payment_fee_monthly_summary</t>
        </is>
      </c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 ht="12" customHeight="1">
      <c r="A1" s="18" t="inlineStr">
        <is>
          <t>&lt;- Volver a P&amp;G-LTD</t>
        </is>
      </c>
    </row>
    <row r="2" ht="12" customHeight="1">
      <c r="A2" s="19" t="inlineStr">
        <is>
          <t>yyyymm</t>
        </is>
      </c>
      <c r="B2" s="19" t="inlineStr">
        <is>
          <t>rate_date</t>
        </is>
      </c>
      <c r="C2" s="19" t="inlineStr">
        <is>
          <t>currency_original</t>
        </is>
      </c>
      <c r="D2" s="19" t="inlineStr">
        <is>
          <t>reporting_currency</t>
        </is>
      </c>
      <c r="E2" s="19" t="inlineStr">
        <is>
          <t>reference_rate</t>
        </is>
      </c>
      <c r="F2" s="19" t="inlineStr">
        <is>
          <t>fx_rate</t>
        </is>
      </c>
      <c r="G2" s="19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2026-01-01</t>
        </is>
      </c>
      <c r="C3" t="inlineStr">
        <is>
          <t>EUR</t>
        </is>
      </c>
      <c r="D3" t="inlineStr">
        <is>
          <t>GBP</t>
        </is>
      </c>
      <c r="E3" s="20" t="n">
        <v>1</v>
      </c>
      <c r="F3" s="20" t="n">
        <v>0.8662</v>
      </c>
      <c r="G3" t="inlineStr">
        <is>
          <t>identity -&gt; https://www.ecb.europa.eu/stats/eurofxref/eurofxref-hist.xml</t>
        </is>
      </c>
    </row>
    <row r="4" ht="12" customHeight="1">
      <c r="A4" t="inlineStr">
        <is>
          <t>202601</t>
        </is>
      </c>
      <c r="B4" t="inlineStr">
        <is>
          <t>2026-01-01</t>
        </is>
      </c>
      <c r="C4" t="inlineStr">
        <is>
          <t>GBP</t>
        </is>
      </c>
      <c r="D4" t="inlineStr">
        <is>
          <t>GBP</t>
        </is>
      </c>
      <c r="E4" s="20" t="n">
        <v>1</v>
      </c>
      <c r="F4" s="20" t="n">
        <v>1</v>
      </c>
      <c r="G4" t="inlineStr">
        <is>
          <t>identity</t>
        </is>
      </c>
    </row>
    <row r="5" ht="12" customHeight="1">
      <c r="A5" t="inlineStr">
        <is>
          <t>202601</t>
        </is>
      </c>
      <c r="B5" t="inlineStr">
        <is>
          <t>2026-01-30</t>
        </is>
      </c>
      <c r="C5" t="inlineStr">
        <is>
          <t>USD</t>
        </is>
      </c>
      <c r="D5" t="inlineStr">
        <is>
          <t>GBP</t>
        </is>
      </c>
      <c r="E5" s="20" t="n">
        <v>1.1919</v>
      </c>
      <c r="F5" s="20" t="n">
        <v>0.72673882</v>
      </c>
      <c r="G5" t="inlineStr">
        <is>
          <t>https://www.ecb.europa.eu/stats/eurofxref/eurofxref-hist.xml -&gt; https://www.ecb.europa.eu/stats/eurofxref/eurofxref-hist.xml</t>
        </is>
      </c>
    </row>
    <row r="6" ht="12" customHeight="1">
      <c r="A6" t="inlineStr">
        <is>
          <t>202602</t>
        </is>
      </c>
      <c r="B6" t="inlineStr">
        <is>
          <t>2026-02-01</t>
        </is>
      </c>
      <c r="C6" t="inlineStr">
        <is>
          <t>EUR</t>
        </is>
      </c>
      <c r="D6" t="inlineStr">
        <is>
          <t>GBP</t>
        </is>
      </c>
      <c r="E6" s="20" t="n">
        <v>1</v>
      </c>
      <c r="F6" s="20" t="n">
        <v>0.8763</v>
      </c>
      <c r="G6" t="inlineStr">
        <is>
          <t>identity -&gt; https://www.ecb.europa.eu/stats/eurofxref/eurofxref-hist.xml</t>
        </is>
      </c>
    </row>
    <row r="7" ht="12" customHeight="1">
      <c r="A7" t="inlineStr">
        <is>
          <t>202602</t>
        </is>
      </c>
      <c r="B7" t="inlineStr">
        <is>
          <t>2026-02-01</t>
        </is>
      </c>
      <c r="C7" t="inlineStr">
        <is>
          <t>GBP</t>
        </is>
      </c>
      <c r="D7" t="inlineStr">
        <is>
          <t>GBP</t>
        </is>
      </c>
      <c r="E7" s="20" t="n">
        <v>1</v>
      </c>
      <c r="F7" s="20" t="n">
        <v>1</v>
      </c>
      <c r="G7" t="inlineStr">
        <is>
          <t>identity</t>
        </is>
      </c>
    </row>
    <row r="8" ht="12" customHeight="1">
      <c r="A8" t="inlineStr">
        <is>
          <t>202602</t>
        </is>
      </c>
      <c r="B8" t="inlineStr">
        <is>
          <t>2026-02-27</t>
        </is>
      </c>
      <c r="C8" t="inlineStr">
        <is>
          <t>USD</t>
        </is>
      </c>
      <c r="D8" t="inlineStr">
        <is>
          <t>GBP</t>
        </is>
      </c>
      <c r="E8" s="20" t="n">
        <v>1.1805</v>
      </c>
      <c r="F8" s="20" t="n">
        <v>0.74231258</v>
      </c>
      <c r="G8" t="inlineStr">
        <is>
          <t>https://www.ecb.europa.eu/stats/eurofxref/eurofxref-hist.xml -&gt; https://www.ecb.europa.eu/stats/eurofxref/eurofxref-hist.xml</t>
        </is>
      </c>
    </row>
    <row r="9" ht="12" customHeight="1">
      <c r="A9" t="inlineStr">
        <is>
          <t>202603</t>
        </is>
      </c>
      <c r="B9" t="inlineStr">
        <is>
          <t>2026-03-01</t>
        </is>
      </c>
      <c r="C9" t="inlineStr">
        <is>
          <t>EUR</t>
        </is>
      </c>
      <c r="D9" t="inlineStr">
        <is>
          <t>GBP</t>
        </is>
      </c>
      <c r="E9" s="20" t="n">
        <v>1</v>
      </c>
      <c r="F9" s="20" t="n">
        <v>0.86833</v>
      </c>
      <c r="G9" t="inlineStr">
        <is>
          <t>identity -&gt; https://www.ecb.europa.eu/stats/eurofxref/eurofxref-hist.xml</t>
        </is>
      </c>
    </row>
    <row r="10" ht="12" customHeight="1">
      <c r="A10" t="inlineStr">
        <is>
          <t>202603</t>
        </is>
      </c>
      <c r="B10" t="inlineStr">
        <is>
          <t>2026-03-01</t>
        </is>
      </c>
      <c r="C10" t="inlineStr">
        <is>
          <t>GBP</t>
        </is>
      </c>
      <c r="D10" t="inlineStr">
        <is>
          <t>GBP</t>
        </is>
      </c>
      <c r="E10" s="20" t="n">
        <v>1</v>
      </c>
      <c r="F10" s="20" t="n">
        <v>1</v>
      </c>
      <c r="G10" t="inlineStr">
        <is>
          <t>identity</t>
        </is>
      </c>
    </row>
    <row r="11" ht="12" customHeight="1">
      <c r="A11" t="inlineStr">
        <is>
          <t>202603</t>
        </is>
      </c>
      <c r="B11" t="inlineStr">
        <is>
          <t>2026-03-31</t>
        </is>
      </c>
      <c r="C11" t="inlineStr">
        <is>
          <t>USD</t>
        </is>
      </c>
      <c r="D11" t="inlineStr">
        <is>
          <t>GBP</t>
        </is>
      </c>
      <c r="E11" s="20" t="n">
        <v>1.1498</v>
      </c>
      <c r="F11" s="20" t="n">
        <v>0.7552009</v>
      </c>
      <c r="G11" t="inlineStr">
        <is>
          <t>https://www.ecb.europa.eu/stats/eurofxref/eurofxref-hist.xml -&gt; https://www.ecb.europa.eu/stats/eurofxref/eurofxref-hist.xml</t>
        </is>
      </c>
    </row>
    <row r="12" ht="12" customHeight="1">
      <c r="A12" t="inlineStr">
        <is>
          <t>202604</t>
        </is>
      </c>
      <c r="B12" t="inlineStr">
        <is>
          <t>2026-04-01</t>
        </is>
      </c>
      <c r="C12" t="inlineStr">
        <is>
          <t>EUR</t>
        </is>
      </c>
      <c r="D12" t="inlineStr">
        <is>
          <t>GBP</t>
        </is>
      </c>
      <c r="E12" s="20" t="n">
        <v>1</v>
      </c>
      <c r="F12" s="20" t="n">
        <v>0.86625</v>
      </c>
      <c r="G12" t="inlineStr">
        <is>
          <t>identity -&gt; https://www.ecb.europa.eu/stats/eurofxref/eurofxref-hist.xml</t>
        </is>
      </c>
    </row>
    <row r="13" ht="12" customHeight="1">
      <c r="A13" t="inlineStr">
        <is>
          <t>202604</t>
        </is>
      </c>
      <c r="B13" t="inlineStr">
        <is>
          <t>2026-04-01</t>
        </is>
      </c>
      <c r="C13" t="inlineStr">
        <is>
          <t>GBP</t>
        </is>
      </c>
      <c r="D13" t="inlineStr">
        <is>
          <t>GBP</t>
        </is>
      </c>
      <c r="E13" s="20" t="n">
        <v>1</v>
      </c>
      <c r="F13" s="20" t="n">
        <v>1</v>
      </c>
      <c r="G13" t="inlineStr">
        <is>
          <t>identity</t>
        </is>
      </c>
    </row>
    <row r="14" ht="12" customHeight="1">
      <c r="A14" t="inlineStr">
        <is>
          <t>202604</t>
        </is>
      </c>
      <c r="B14" t="inlineStr">
        <is>
          <t>2026-04-30</t>
        </is>
      </c>
      <c r="C14" t="inlineStr">
        <is>
          <t>USD</t>
        </is>
      </c>
      <c r="D14" t="inlineStr">
        <is>
          <t>GBP</t>
        </is>
      </c>
      <c r="E14" s="20" t="n">
        <v>1.1702</v>
      </c>
      <c r="F14" s="20" t="n">
        <v>0.74025808</v>
      </c>
      <c r="G14" t="inlineStr">
        <is>
          <t>https://www.ecb.europa.eu/stats/eurofxref/eurofxref-hist.xml -&gt; https://www.ecb.europa.eu/stats/eurofxref/eurofxref-hist.xml</t>
        </is>
      </c>
    </row>
    <row r="15" ht="12" customHeight="1">
      <c r="A15" t="inlineStr">
        <is>
          <t>202605</t>
        </is>
      </c>
      <c r="B15" t="inlineStr">
        <is>
          <t>2026-05-01</t>
        </is>
      </c>
      <c r="C15" t="inlineStr">
        <is>
          <t>EUR</t>
        </is>
      </c>
      <c r="D15" t="inlineStr">
        <is>
          <t>GBP</t>
        </is>
      </c>
      <c r="E15" s="20" t="n">
        <v>1</v>
      </c>
      <c r="F15" s="20" t="n">
        <v>0.8672299999999999</v>
      </c>
      <c r="G15" t="inlineStr">
        <is>
          <t>identity -&gt; https://www.ecb.europa.eu/stats/eurofxref/eurofxref-hist.xml</t>
        </is>
      </c>
    </row>
    <row r="16" ht="12" customHeight="1">
      <c r="A16" t="inlineStr">
        <is>
          <t>202605</t>
        </is>
      </c>
      <c r="B16" t="inlineStr">
        <is>
          <t>2026-05-01</t>
        </is>
      </c>
      <c r="C16" t="inlineStr">
        <is>
          <t>GBP</t>
        </is>
      </c>
      <c r="D16" t="inlineStr">
        <is>
          <t>GBP</t>
        </is>
      </c>
      <c r="E16" s="20" t="n">
        <v>1</v>
      </c>
      <c r="F16" s="20" t="n">
        <v>1</v>
      </c>
      <c r="G16" t="inlineStr">
        <is>
          <t>identity</t>
        </is>
      </c>
    </row>
    <row r="17" ht="12" customHeight="1">
      <c r="A17" t="inlineStr">
        <is>
          <t>202605</t>
        </is>
      </c>
      <c r="B17" t="inlineStr">
        <is>
          <t>2026-05-29</t>
        </is>
      </c>
      <c r="C17" t="inlineStr">
        <is>
          <t>USD</t>
        </is>
      </c>
      <c r="D17" t="inlineStr">
        <is>
          <t>GBP</t>
        </is>
      </c>
      <c r="E17" s="20" t="n">
        <v>1.1644</v>
      </c>
      <c r="F17" s="20" t="n">
        <v>0.74478701</v>
      </c>
      <c r="G17" t="inlineStr">
        <is>
          <t>https://www.ecb.europa.eu/stats/eurofxref/eurofxref-hist.xml -&gt; https://www.ecb.europa.eu/stats/eurofxref/eurofxref-hist.xml</t>
        </is>
      </c>
    </row>
    <row r="18" ht="12" customHeight="1">
      <c r="A18" t="inlineStr">
        <is>
          <t>202606</t>
        </is>
      </c>
      <c r="B18" t="inlineStr">
        <is>
          <t>2026-06-01</t>
        </is>
      </c>
      <c r="C18" t="inlineStr">
        <is>
          <t>EUR</t>
        </is>
      </c>
      <c r="D18" t="inlineStr">
        <is>
          <t>GBP</t>
        </is>
      </c>
      <c r="E18" s="20" t="n">
        <v>1</v>
      </c>
      <c r="F18" s="20" t="n">
        <v>0.86178</v>
      </c>
      <c r="G18" t="inlineStr">
        <is>
          <t>identity -&gt; https://www.ecb.europa.eu/stats/eurofxref/eurofxref-hist.xml</t>
        </is>
      </c>
    </row>
    <row r="19" ht="12" customHeight="1">
      <c r="A19" t="inlineStr">
        <is>
          <t>202606</t>
        </is>
      </c>
      <c r="B19" t="inlineStr">
        <is>
          <t>2026-06-01</t>
        </is>
      </c>
      <c r="C19" t="inlineStr">
        <is>
          <t>GBP</t>
        </is>
      </c>
      <c r="D19" t="inlineStr">
        <is>
          <t>GBP</t>
        </is>
      </c>
      <c r="E19" s="20" t="n">
        <v>1</v>
      </c>
      <c r="F19" s="20" t="n">
        <v>1</v>
      </c>
      <c r="G19" t="inlineStr">
        <is>
          <t>identity</t>
        </is>
      </c>
    </row>
    <row r="20" ht="12" customHeight="1">
      <c r="A20" t="inlineStr">
        <is>
          <t>202606</t>
        </is>
      </c>
      <c r="B20" t="inlineStr">
        <is>
          <t>2026-06-30</t>
        </is>
      </c>
      <c r="C20" t="inlineStr">
        <is>
          <t>USD</t>
        </is>
      </c>
      <c r="D20" t="inlineStr">
        <is>
          <t>GBP</t>
        </is>
      </c>
      <c r="E20" s="20" t="n">
        <v>1.1394</v>
      </c>
      <c r="F20" s="20" t="n">
        <v>0.75634544</v>
      </c>
      <c r="G20" t="inlineStr">
        <is>
          <t>https://www.ecb.europa.eu/stats/eurofxref/eurofxref-hist.xml -&gt; https://www.ecb.europa.eu/stats/eurofxref/eurofxref-hist.xml</t>
        </is>
      </c>
    </row>
    <row r="21" ht="12" customHeight="1">
      <c r="A21" t="inlineStr">
        <is>
          <t>202607</t>
        </is>
      </c>
      <c r="B21" t="inlineStr">
        <is>
          <t>2026-07-01</t>
        </is>
      </c>
      <c r="C21" t="inlineStr">
        <is>
          <t>GBP</t>
        </is>
      </c>
      <c r="D21" t="inlineStr">
        <is>
          <t>GBP</t>
        </is>
      </c>
      <c r="E21" s="20" t="n">
        <v>1</v>
      </c>
      <c r="F21" s="20" t="n">
        <v>1</v>
      </c>
      <c r="G21" t="inlineStr">
        <is>
          <t>identity</t>
        </is>
      </c>
    </row>
    <row r="22" ht="12" customHeight="1">
      <c r="A22" t="inlineStr">
        <is>
          <t>202608</t>
        </is>
      </c>
      <c r="B22" t="inlineStr">
        <is>
          <t>2026-08-01</t>
        </is>
      </c>
      <c r="C22" t="inlineStr">
        <is>
          <t>GBP</t>
        </is>
      </c>
      <c r="D22" t="inlineStr">
        <is>
          <t>GBP</t>
        </is>
      </c>
      <c r="E22" s="20" t="n">
        <v>1</v>
      </c>
      <c r="F22" s="20" t="n">
        <v>1</v>
      </c>
      <c r="G22" t="inlineStr">
        <is>
          <t>identity</t>
        </is>
      </c>
    </row>
    <row r="23" ht="12" customHeight="1">
      <c r="A23" t="inlineStr">
        <is>
          <t>202609</t>
        </is>
      </c>
      <c r="B23" t="inlineStr">
        <is>
          <t>2026-09-01</t>
        </is>
      </c>
      <c r="C23" t="inlineStr">
        <is>
          <t>GBP</t>
        </is>
      </c>
      <c r="D23" t="inlineStr">
        <is>
          <t>GBP</t>
        </is>
      </c>
      <c r="E23" s="20" t="n">
        <v>1</v>
      </c>
      <c r="F23" s="20" t="n">
        <v>1</v>
      </c>
      <c r="G23" t="inlineStr">
        <is>
          <t>identity</t>
        </is>
      </c>
    </row>
    <row r="24" ht="12" customHeight="1">
      <c r="A24" t="inlineStr">
        <is>
          <t>202610</t>
        </is>
      </c>
      <c r="B24" t="inlineStr">
        <is>
          <t>2026-10-01</t>
        </is>
      </c>
      <c r="C24" t="inlineStr">
        <is>
          <t>GBP</t>
        </is>
      </c>
      <c r="D24" t="inlineStr">
        <is>
          <t>GBP</t>
        </is>
      </c>
      <c r="E24" s="20" t="n">
        <v>1</v>
      </c>
      <c r="F24" s="20" t="n">
        <v>1</v>
      </c>
      <c r="G24" t="inlineStr">
        <is>
          <t>identity</t>
        </is>
      </c>
    </row>
    <row r="25" ht="12" customHeight="1">
      <c r="A25" t="inlineStr">
        <is>
          <t>202611</t>
        </is>
      </c>
      <c r="B25" t="inlineStr">
        <is>
          <t>2026-11-01</t>
        </is>
      </c>
      <c r="C25" t="inlineStr">
        <is>
          <t>GBP</t>
        </is>
      </c>
      <c r="D25" t="inlineStr">
        <is>
          <t>GBP</t>
        </is>
      </c>
      <c r="E25" s="20" t="n">
        <v>1</v>
      </c>
      <c r="F25" s="20" t="n">
        <v>1</v>
      </c>
      <c r="G25" t="inlineStr">
        <is>
          <t>identity</t>
        </is>
      </c>
    </row>
    <row r="26" ht="12" customHeight="1">
      <c r="A26" t="inlineStr">
        <is>
          <t>202612</t>
        </is>
      </c>
      <c r="B26" t="inlineStr">
        <is>
          <t>2026-12-01</t>
        </is>
      </c>
      <c r="C26" t="inlineStr">
        <is>
          <t>GBP</t>
        </is>
      </c>
      <c r="D26" t="inlineStr">
        <is>
          <t>GBP</t>
        </is>
      </c>
      <c r="E26" s="20" t="n">
        <v>1</v>
      </c>
      <c r="F26" s="20" t="n">
        <v>1</v>
      </c>
      <c r="G26" t="inlineStr">
        <is>
          <t>identity</t>
        </is>
      </c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18" t="inlineStr">
        <is>
          <t>&lt;- Volver a P&amp;G-LTD</t>
        </is>
      </c>
    </row>
    <row r="2" ht="12" customHeight="1">
      <c r="A2" s="19" t="inlineStr">
        <is>
          <t>supplier_code</t>
        </is>
      </c>
      <c r="B2" s="19" t="inlineStr">
        <is>
          <t>supplier_name</t>
        </is>
      </c>
      <c r="C2" s="19" t="inlineStr">
        <is>
          <t>current_folder</t>
        </is>
      </c>
      <c r="D2" s="19" t="inlineStr">
        <is>
          <t>destination_path</t>
        </is>
      </c>
      <c r="E2" s="19" t="inlineStr">
        <is>
          <t>notes</t>
        </is>
      </c>
    </row>
    <row r="3" ht="12" customHeight="1">
      <c r="A3" t="inlineStr">
        <is>
          <t>ARTLINK</t>
        </is>
      </c>
      <c r="B3" t="inlineStr">
        <is>
          <t>ARTLINK</t>
        </is>
      </c>
      <c r="C3" t="inlineStr">
        <is>
          <t>Artlink</t>
        </is>
      </c>
      <c r="D3" t="inlineStr">
        <is>
          <t>expenses/cogs/manufacturing</t>
        </is>
      </c>
      <c r="E3" t="inlineStr">
        <is>
          <t>Frame purchases and related freight are treated as manufacturing</t>
        </is>
      </c>
    </row>
    <row r="4" ht="12" customHeight="1">
      <c r="A4" t="inlineStr">
        <is>
          <t>PORTCLEARANCE</t>
        </is>
      </c>
      <c r="B4" t="inlineStr">
        <is>
          <t>PORTCLEARANCE</t>
        </is>
      </c>
      <c r="C4" t="inlineStr">
        <is>
          <t>port clearence</t>
        </is>
      </c>
      <c r="D4" t="inlineStr">
        <is>
          <t>expenses/cogs/manufacturing</t>
        </is>
      </c>
      <c r="E4" t="inlineStr">
        <is>
          <t>Import customs and clearance for frame purchases</t>
        </is>
      </c>
    </row>
    <row r="5" ht="12" customHeight="1">
      <c r="A5" t="inlineStr">
        <is>
          <t>JONDO</t>
        </is>
      </c>
      <c r="B5" t="inlineStr">
        <is>
          <t>JONDO</t>
        </is>
      </c>
      <c r="C5" t="inlineStr">
        <is>
          <t>202602_jondogo</t>
        </is>
      </c>
      <c r="D5" t="inlineStr">
        <is>
          <t>expenses/cogs/manufacturing-logistics</t>
        </is>
      </c>
      <c r="E5" t="inlineStr"/>
    </row>
    <row r="6" ht="12" customHeight="1">
      <c r="A6" t="inlineStr">
        <is>
          <t>PROCO</t>
        </is>
      </c>
      <c r="B6" t="inlineStr">
        <is>
          <t>PROCO</t>
        </is>
      </c>
      <c r="C6" t="inlineStr">
        <is>
          <t>Proco</t>
        </is>
      </c>
      <c r="D6" t="inlineStr">
        <is>
          <t>expenses/cogs/manufacturing-logistics</t>
        </is>
      </c>
      <c r="E6" t="inlineStr">
        <is>
          <t>Trading name PROCO</t>
        </is>
      </c>
    </row>
    <row r="7" ht="12" customHeight="1">
      <c r="A7" t="inlineStr">
        <is>
          <t>YOURACCOUNTSTAXES</t>
        </is>
      </c>
      <c r="B7" t="inlineStr">
        <is>
          <t>YOURACCOUNTSTAXES</t>
        </is>
      </c>
      <c r="C7" t="inlineStr">
        <is>
          <t>Your Accounts and Taxes</t>
        </is>
      </c>
      <c r="D7" t="inlineStr">
        <is>
          <t>expenses/opex/administration</t>
        </is>
      </c>
      <c r="E7" t="inlineStr">
        <is>
          <t>UK accountancy and tax services</t>
        </is>
      </c>
    </row>
    <row r="8" ht="12" customHeight="1">
      <c r="A8" t="inlineStr">
        <is>
          <t>SHAREDSERVICESSL</t>
        </is>
      </c>
      <c r="B8" t="inlineStr">
        <is>
          <t>SHAREDSERVICESSL</t>
        </is>
      </c>
      <c r="C8" t="inlineStr">
        <is>
          <t>Shared Services</t>
        </is>
      </c>
      <c r="D8" t="inlineStr">
        <is>
          <t>expenses/opex/shared-services</t>
        </is>
      </c>
      <c r="E8" t="inlineStr">
        <is>
          <t>Intercompany</t>
        </is>
      </c>
    </row>
    <row r="9" ht="12" customHeight="1">
      <c r="A9" t="inlineStr">
        <is>
          <t>REVER</t>
        </is>
      </c>
      <c r="B9" t="inlineStr">
        <is>
          <t>REVER</t>
        </is>
      </c>
      <c r="C9" t="inlineStr">
        <is>
          <t>REVER</t>
        </is>
      </c>
      <c r="D9" t="inlineStr">
        <is>
          <t>expenses/opex/technology</t>
        </is>
      </c>
      <c r="E9" t="inlineStr"/>
    </row>
  </sheetData>
  <hyperlinks>
    <hyperlink ref="A1" location="'P&amp;G-LTD'!A1" display="&lt;- Volver a P&amp;G-LTD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1" customHeight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</row>
    <row r="2" ht="12" customHeight="1">
      <c r="A2" s="22" t="inlineStr">
        <is>
          <t>Nº Facturas LTD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</row>
    <row r="4" ht="12" customHeight="1">
      <c r="A4" s="23" t="inlineStr">
        <is>
          <t>Turnover</t>
        </is>
      </c>
      <c r="B4" s="24" t="n"/>
      <c r="C4" s="24" t="n"/>
      <c r="D4" s="24" t="n">
        <v>1</v>
      </c>
      <c r="E4" s="24" t="n">
        <v>1</v>
      </c>
      <c r="F4" s="24" t="n">
        <v>1</v>
      </c>
      <c r="G4" s="24" t="n">
        <v>1</v>
      </c>
      <c r="H4" s="24" t="n">
        <v>1</v>
      </c>
      <c r="I4" s="24" t="n">
        <v>1</v>
      </c>
      <c r="J4" s="24" t="n">
        <v>1</v>
      </c>
      <c r="K4" s="24" t="n">
        <v>0</v>
      </c>
      <c r="L4" s="24" t="n">
        <v>0</v>
      </c>
      <c r="M4" s="24" t="n">
        <v>0</v>
      </c>
      <c r="N4" s="24" t="n">
        <v>0</v>
      </c>
      <c r="O4" s="24" t="n">
        <v>0</v>
      </c>
      <c r="P4" s="24" t="n">
        <v>7</v>
      </c>
      <c r="Q4" s="24" t="n"/>
    </row>
    <row r="5" ht="12" customHeight="1">
      <c r="A5" s="25" t="n"/>
      <c r="B5" s="26" t="inlineStr">
        <is>
          <t>Product sales</t>
        </is>
      </c>
      <c r="C5" s="25" t="n"/>
      <c r="D5" s="25" t="n">
        <v>1</v>
      </c>
      <c r="E5" s="25" t="n">
        <v>1</v>
      </c>
      <c r="F5" s="25" t="n">
        <v>1</v>
      </c>
      <c r="G5" s="25" t="n">
        <v>1</v>
      </c>
      <c r="H5" s="25" t="n">
        <v>1</v>
      </c>
      <c r="I5" s="25" t="n">
        <v>1</v>
      </c>
      <c r="J5" s="25" t="n">
        <v>1</v>
      </c>
      <c r="K5" s="25" t="n">
        <v>0</v>
      </c>
      <c r="L5" s="25" t="n">
        <v>0</v>
      </c>
      <c r="M5" s="25" t="n">
        <v>0</v>
      </c>
      <c r="N5" s="25" t="n">
        <v>0</v>
      </c>
      <c r="O5" s="25" t="n">
        <v>0</v>
      </c>
      <c r="P5" s="25" t="n">
        <v>7</v>
      </c>
      <c r="Q5" s="25" t="n"/>
    </row>
    <row r="6" ht="12" customHeight="1">
      <c r="A6" s="27" t="n"/>
      <c r="B6" s="27" t="n"/>
      <c r="C6" s="9" t="inlineStr">
        <is>
          <t>Shopify</t>
        </is>
      </c>
      <c r="D6" s="27" t="n">
        <v>1</v>
      </c>
      <c r="E6" s="27" t="n">
        <v>1</v>
      </c>
      <c r="F6" s="27" t="n">
        <v>1</v>
      </c>
      <c r="G6" s="27" t="n">
        <v>1</v>
      </c>
      <c r="H6" s="27" t="n">
        <v>1</v>
      </c>
      <c r="I6" s="27" t="n">
        <v>1</v>
      </c>
      <c r="J6" s="27" t="n">
        <v>1</v>
      </c>
      <c r="K6" s="27" t="n">
        <v>0</v>
      </c>
      <c r="L6" s="27" t="n">
        <v>0</v>
      </c>
      <c r="M6" s="27" t="n">
        <v>0</v>
      </c>
      <c r="N6" s="27" t="n">
        <v>0</v>
      </c>
      <c r="O6" s="27" t="n">
        <v>0</v>
      </c>
      <c r="P6" s="27" t="n">
        <v>7</v>
      </c>
      <c r="Q6" s="27" t="n"/>
    </row>
    <row r="7" ht="12" customHeight="1">
      <c r="C7" t="inlineStr">
        <is>
          <t>GB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</row>
    <row r="8" ht="12" customHeight="1">
      <c r="A8" s="25" t="n"/>
      <c r="B8" s="26" t="inlineStr">
        <is>
          <t>Services</t>
        </is>
      </c>
      <c r="C8" s="25" t="n"/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5" t="n"/>
    </row>
    <row r="9" ht="12" customHeight="1">
      <c r="A9" s="27" t="n"/>
      <c r="B9" s="9" t="inlineStr">
        <is>
          <t>Uncategorized income</t>
        </is>
      </c>
      <c r="C9" s="27" t="n"/>
      <c r="D9" s="27" t="n">
        <v>0</v>
      </c>
      <c r="E9" s="27" t="n">
        <v>0</v>
      </c>
      <c r="F9" s="27" t="n">
        <v>0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  <c r="L9" s="27" t="n">
        <v>0</v>
      </c>
      <c r="M9" s="27" t="n">
        <v>0</v>
      </c>
      <c r="N9" s="27" t="n">
        <v>0</v>
      </c>
      <c r="O9" s="27" t="n">
        <v>0</v>
      </c>
      <c r="P9" s="27" t="n">
        <v>0</v>
      </c>
      <c r="Q9" s="27" t="n"/>
    </row>
    <row r="10" ht="12" customHeight="1"/>
    <row r="11" ht="12" customHeight="1">
      <c r="A11" s="23" t="inlineStr">
        <is>
          <t>Expenses</t>
        </is>
      </c>
      <c r="B11" s="24" t="n"/>
      <c r="C11" s="24" t="n"/>
      <c r="D11" s="24" t="n">
        <v>30</v>
      </c>
      <c r="E11" s="24" t="n">
        <v>36</v>
      </c>
      <c r="F11" s="24" t="n">
        <v>56</v>
      </c>
      <c r="G11" s="24" t="n">
        <v>50</v>
      </c>
      <c r="H11" s="24" t="n">
        <v>45</v>
      </c>
      <c r="I11" s="24" t="n">
        <v>50</v>
      </c>
      <c r="J11" s="24" t="n">
        <v>4</v>
      </c>
      <c r="K11" s="24" t="n">
        <v>3</v>
      </c>
      <c r="L11" s="24" t="n">
        <v>3</v>
      </c>
      <c r="M11" s="24" t="n">
        <v>3</v>
      </c>
      <c r="N11" s="24" t="n">
        <v>3</v>
      </c>
      <c r="O11" s="24" t="n">
        <v>3</v>
      </c>
      <c r="P11" s="24" t="n">
        <v>286</v>
      </c>
      <c r="Q11" s="24" t="n"/>
    </row>
    <row r="12" ht="12" customHeight="1">
      <c r="A12" s="25" t="n"/>
      <c r="B12" s="26" t="inlineStr">
        <is>
          <t>COGS</t>
        </is>
      </c>
      <c r="C12" s="25" t="n"/>
      <c r="D12" s="25" t="n">
        <v>27</v>
      </c>
      <c r="E12" s="25" t="n">
        <v>32</v>
      </c>
      <c r="F12" s="25" t="n">
        <v>49</v>
      </c>
      <c r="G12" s="25" t="n">
        <v>45</v>
      </c>
      <c r="H12" s="25" t="n">
        <v>40</v>
      </c>
      <c r="I12" s="25" t="n">
        <v>45</v>
      </c>
      <c r="J12" s="25" t="n">
        <v>1</v>
      </c>
      <c r="K12" s="25" t="n">
        <v>0</v>
      </c>
      <c r="L12" s="25" t="n">
        <v>0</v>
      </c>
      <c r="M12" s="25" t="n">
        <v>0</v>
      </c>
      <c r="N12" s="25" t="n">
        <v>0</v>
      </c>
      <c r="O12" s="25" t="n">
        <v>0</v>
      </c>
      <c r="P12" s="25" t="n">
        <v>239</v>
      </c>
      <c r="Q12" s="25" t="n"/>
    </row>
    <row r="13" ht="12" customHeight="1">
      <c r="A13" s="27" t="n"/>
      <c r="B13" s="27" t="n"/>
      <c r="C13" s="9" t="inlineStr">
        <is>
          <t>Manufacturing</t>
        </is>
      </c>
      <c r="D13" s="27" t="n">
        <v>25</v>
      </c>
      <c r="E13" s="27" t="n">
        <v>30</v>
      </c>
      <c r="F13" s="27" t="n">
        <v>46</v>
      </c>
      <c r="G13" s="27" t="n">
        <v>43</v>
      </c>
      <c r="H13" s="27" t="n">
        <v>38</v>
      </c>
      <c r="I13" s="27" t="n">
        <v>43</v>
      </c>
      <c r="J13" s="27" t="n">
        <v>0</v>
      </c>
      <c r="K13" s="27" t="n">
        <v>0</v>
      </c>
      <c r="L13" s="27" t="n">
        <v>0</v>
      </c>
      <c r="M13" s="27" t="n">
        <v>0</v>
      </c>
      <c r="N13" s="27" t="n">
        <v>0</v>
      </c>
      <c r="O13" s="27" t="n">
        <v>0</v>
      </c>
      <c r="P13" s="27" t="n">
        <v>225</v>
      </c>
      <c r="Q13" s="27" t="n"/>
    </row>
    <row r="14" ht="12" customHeight="1">
      <c r="C14" t="inlineStr">
        <is>
          <t>ARTLINK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 ht="12" customHeight="1">
      <c r="C15" t="inlineStr">
        <is>
          <t>JONDO</t>
        </is>
      </c>
      <c r="D15" t="n">
        <v>24</v>
      </c>
      <c r="E15" t="n">
        <v>29</v>
      </c>
      <c r="F15" t="n">
        <v>45</v>
      </c>
      <c r="G15" t="n">
        <v>42</v>
      </c>
      <c r="H15" t="n">
        <v>37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220</v>
      </c>
    </row>
    <row r="16" ht="12" customHeight="1">
      <c r="C16" t="inlineStr">
        <is>
          <t>PROCO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</row>
    <row r="17" ht="12" customHeight="1">
      <c r="A17" s="27" t="n"/>
      <c r="B17" s="27" t="n"/>
      <c r="C17" s="9" t="inlineStr">
        <is>
          <t>Logistics</t>
        </is>
      </c>
      <c r="D17" s="27" t="n">
        <v>1</v>
      </c>
      <c r="E17" s="27" t="n">
        <v>1</v>
      </c>
      <c r="F17" s="27" t="n">
        <v>2</v>
      </c>
      <c r="G17" s="27" t="n">
        <v>1</v>
      </c>
      <c r="H17" s="27" t="n">
        <v>1</v>
      </c>
      <c r="I17" s="27" t="n">
        <v>1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7" t="n">
        <v>0</v>
      </c>
      <c r="P17" s="27" t="n">
        <v>7</v>
      </c>
      <c r="Q17" s="27" t="n"/>
    </row>
    <row r="18" ht="12" customHeight="1">
      <c r="C18" t="inlineStr">
        <is>
          <t>PROCO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</row>
    <row r="19" ht="12" customHeight="1">
      <c r="C19" t="inlineStr">
        <is>
          <t>PORTCLEARANCE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</row>
    <row r="20" ht="12" customHeight="1">
      <c r="A20" s="27" t="n"/>
      <c r="B20" s="27" t="n"/>
      <c r="C20" s="9" t="inlineStr">
        <is>
          <t>Payment fees</t>
        </is>
      </c>
      <c r="D20" s="27" t="n">
        <v>1</v>
      </c>
      <c r="E20" s="27" t="n">
        <v>1</v>
      </c>
      <c r="F20" s="27" t="n">
        <v>1</v>
      </c>
      <c r="G20" s="27" t="n">
        <v>1</v>
      </c>
      <c r="H20" s="27" t="n">
        <v>1</v>
      </c>
      <c r="I20" s="27" t="n">
        <v>1</v>
      </c>
      <c r="J20" s="27" t="n">
        <v>1</v>
      </c>
      <c r="K20" s="27" t="n">
        <v>0</v>
      </c>
      <c r="L20" s="27" t="n">
        <v>0</v>
      </c>
      <c r="M20" s="27" t="n">
        <v>0</v>
      </c>
      <c r="N20" s="27" t="n">
        <v>0</v>
      </c>
      <c r="O20" s="27" t="n">
        <v>0</v>
      </c>
      <c r="P20" s="27" t="n">
        <v>7</v>
      </c>
      <c r="Q20" s="27" t="n"/>
    </row>
    <row r="21" ht="12" customHeight="1">
      <c r="C21" t="inlineStr">
        <is>
          <t>SHOPIFY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</v>
      </c>
    </row>
    <row r="22" ht="12" customHeight="1"/>
    <row r="23" ht="12" customHeight="1">
      <c r="A23" s="25" t="n"/>
      <c r="B23" s="26" t="inlineStr">
        <is>
          <t>Opex</t>
        </is>
      </c>
      <c r="C23" s="25" t="n"/>
      <c r="D23" s="25" t="n">
        <v>3</v>
      </c>
      <c r="E23" s="25" t="n">
        <v>4</v>
      </c>
      <c r="F23" s="25" t="n">
        <v>7</v>
      </c>
      <c r="G23" s="25" t="n">
        <v>5</v>
      </c>
      <c r="H23" s="25" t="n">
        <v>5</v>
      </c>
      <c r="I23" s="25" t="n">
        <v>5</v>
      </c>
      <c r="J23" s="25" t="n">
        <v>3</v>
      </c>
      <c r="K23" s="25" t="n">
        <v>3</v>
      </c>
      <c r="L23" s="25" t="n">
        <v>3</v>
      </c>
      <c r="M23" s="25" t="n">
        <v>3</v>
      </c>
      <c r="N23" s="25" t="n">
        <v>3</v>
      </c>
      <c r="O23" s="25" t="n">
        <v>3</v>
      </c>
      <c r="P23" s="25" t="n">
        <v>47</v>
      </c>
      <c r="Q23" s="25" t="n"/>
    </row>
    <row r="24" ht="12" customHeight="1">
      <c r="A24" s="27" t="n"/>
      <c r="B24" s="27" t="n"/>
      <c r="C24" s="9" t="inlineStr">
        <is>
          <t>Shared services</t>
        </is>
      </c>
      <c r="D24" s="27" t="n">
        <v>1</v>
      </c>
      <c r="E24" s="27" t="n">
        <v>1</v>
      </c>
      <c r="F24" s="27" t="n">
        <v>1</v>
      </c>
      <c r="G24" s="27" t="n">
        <v>1</v>
      </c>
      <c r="H24" s="27" t="n">
        <v>1</v>
      </c>
      <c r="I24" s="27" t="n">
        <v>1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7" t="n">
        <v>0</v>
      </c>
      <c r="P24" s="27" t="n">
        <v>6</v>
      </c>
      <c r="Q24" s="27" t="n"/>
    </row>
    <row r="25" ht="12" customHeight="1">
      <c r="C25" t="inlineStr">
        <is>
          <t>SHAREDSERVICESSL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</v>
      </c>
    </row>
    <row r="26" ht="12" customHeight="1">
      <c r="A26" s="27" t="n"/>
      <c r="B26" s="27" t="n"/>
      <c r="C26" s="9" t="inlineStr">
        <is>
          <t>Administration</t>
        </is>
      </c>
      <c r="D26" s="27" t="n">
        <v>2</v>
      </c>
      <c r="E26" s="27" t="n">
        <v>3</v>
      </c>
      <c r="F26" s="27" t="n">
        <v>3</v>
      </c>
      <c r="G26" s="27" t="n">
        <v>3</v>
      </c>
      <c r="H26" s="27" t="n">
        <v>3</v>
      </c>
      <c r="I26" s="27" t="n">
        <v>3</v>
      </c>
      <c r="J26" s="27" t="n">
        <v>3</v>
      </c>
      <c r="K26" s="27" t="n">
        <v>3</v>
      </c>
      <c r="L26" s="27" t="n">
        <v>3</v>
      </c>
      <c r="M26" s="27" t="n">
        <v>3</v>
      </c>
      <c r="N26" s="27" t="n">
        <v>3</v>
      </c>
      <c r="O26" s="27" t="n">
        <v>3</v>
      </c>
      <c r="P26" s="27" t="n">
        <v>35</v>
      </c>
      <c r="Q26" s="27" t="n"/>
    </row>
    <row r="27" ht="12" customHeight="1">
      <c r="C27" t="inlineStr">
        <is>
          <t>YOURACCOUNTSTAXES</t>
        </is>
      </c>
      <c r="D27" t="n">
        <v>2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35</v>
      </c>
    </row>
    <row r="28" ht="12" customHeight="1">
      <c r="A28" s="27" t="n"/>
      <c r="B28" s="27" t="n"/>
      <c r="C28" s="9" t="inlineStr">
        <is>
          <t>Technology</t>
        </is>
      </c>
      <c r="D28" s="27" t="n">
        <v>0</v>
      </c>
      <c r="E28" s="27" t="n">
        <v>0</v>
      </c>
      <c r="F28" s="27" t="n">
        <v>2</v>
      </c>
      <c r="G28" s="27" t="n">
        <v>1</v>
      </c>
      <c r="H28" s="27" t="n">
        <v>1</v>
      </c>
      <c r="I28" s="27" t="n">
        <v>1</v>
      </c>
      <c r="J28" s="27" t="n">
        <v>0</v>
      </c>
      <c r="K28" s="27" t="n">
        <v>0</v>
      </c>
      <c r="L28" s="27" t="n">
        <v>0</v>
      </c>
      <c r="M28" s="27" t="n">
        <v>0</v>
      </c>
      <c r="N28" s="27" t="n">
        <v>0</v>
      </c>
      <c r="O28" s="27" t="n">
        <v>0</v>
      </c>
      <c r="P28" s="27" t="n">
        <v>5</v>
      </c>
      <c r="Q28" s="27" t="n"/>
    </row>
    <row r="29" ht="12" customHeight="1">
      <c r="C29" t="inlineStr">
        <is>
          <t>REVER</t>
        </is>
      </c>
      <c r="D29" t="n">
        <v>0</v>
      </c>
      <c r="E29" t="n">
        <v>0</v>
      </c>
      <c r="F29" t="n">
        <v>2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</v>
      </c>
    </row>
    <row r="30" ht="12" customHeight="1">
      <c r="A30" s="27" t="n"/>
      <c r="B30" s="27" t="n"/>
      <c r="C30" s="9" t="inlineStr">
        <is>
          <t>Uncategorized Expenses</t>
        </is>
      </c>
      <c r="D30" s="27" t="n">
        <v>0</v>
      </c>
      <c r="E30" s="27" t="n">
        <v>0</v>
      </c>
      <c r="F30" s="27" t="n">
        <v>1</v>
      </c>
      <c r="G30" s="27" t="n">
        <v>0</v>
      </c>
      <c r="H30" s="27" t="n">
        <v>0</v>
      </c>
      <c r="I30" s="27" t="n">
        <v>0</v>
      </c>
      <c r="J30" s="27" t="n">
        <v>0</v>
      </c>
      <c r="K30" s="27" t="n">
        <v>0</v>
      </c>
      <c r="L30" s="27" t="n">
        <v>0</v>
      </c>
      <c r="M30" s="27" t="n">
        <v>0</v>
      </c>
      <c r="N30" s="27" t="n">
        <v>0</v>
      </c>
      <c r="O30" s="27" t="n">
        <v>0</v>
      </c>
      <c r="P30" s="27" t="n">
        <v>1</v>
      </c>
      <c r="Q30" s="27" t="n"/>
    </row>
    <row r="31" ht="12" customHeight="1">
      <c r="A31" s="27" t="n"/>
      <c r="B31" s="9" t="inlineStr">
        <is>
          <t>Currency Adjustment</t>
        </is>
      </c>
      <c r="C31" s="27" t="n"/>
      <c r="D31" s="27" t="n">
        <v>0</v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7" t="n">
        <v>0</v>
      </c>
      <c r="L31" s="27" t="n">
        <v>0</v>
      </c>
      <c r="M31" s="27" t="n">
        <v>0</v>
      </c>
      <c r="N31" s="27" t="n">
        <v>0</v>
      </c>
      <c r="O31" s="27" t="n">
        <v>0</v>
      </c>
      <c r="P31" s="27" t="n">
        <v>0</v>
      </c>
      <c r="Q31" s="27" t="n"/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2026-07-31T07:47:59Z</dcterms:created>
  <dcterms:modified xmlns:dcterms="http://purl.org/dc/terms/" xmlns:xsi="http://www.w3.org/2001/XMLSchema-instance" xsi:type="dcterms:W3CDTF">2026-07-31T07:47:59Z</dcterms:modified>
</cp:coreProperties>
</file>