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INC" sheetId="1" state="visible" r:id="rId1"/>
    <sheet name="params" sheetId="2" state="visible" r:id="rId2"/>
    <sheet name="i-shopify-inc" sheetId="3" state="visible" r:id="rId3"/>
    <sheet name="g-expenses-inc" sheetId="4" state="visible" r:id="rId4"/>
    <sheet name="g-payment-fees-inc" sheetId="5" state="visible" r:id="rId5"/>
    <sheet name="fx-rates" sheetId="6" state="visible" r:id="rId6"/>
    <sheet name="catalog-inc" sheetId="7" state="visible" r:id="rId7"/>
    <sheet name="Nº Facturas-INC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000000"/>
    <numFmt numFmtId="166" formatCode="0.0%;[Red](0.0%);-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i val="1"/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F3F6F8"/>
      </patternFill>
    </fill>
    <fill>
      <patternFill patternType="solid">
        <fgColor rgb="00FFAAAA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7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  <xf numFmtId="0" fontId="4" fillId="3" borderId="1" pivotButton="0" quotePrefix="0" xfId="0"/>
    <xf numFmtId="164" fontId="0" fillId="3" borderId="1" pivotButton="0" quotePrefix="0" xfId="0"/>
    <xf numFmtId="0" fontId="4" fillId="4" borderId="2" pivotButton="0" quotePrefix="0" xfId="0"/>
    <xf numFmtId="164" fontId="0" fillId="4" borderId="2" pivotButton="0" quotePrefix="0" xfId="0"/>
    <xf numFmtId="0" fontId="4" fillId="4" borderId="0" pivotButton="0" quotePrefix="0" xfId="0"/>
    <xf numFmtId="164" fontId="0" fillId="4" borderId="0" pivotButton="0" quotePrefix="0" xfId="0"/>
    <xf numFmtId="0" fontId="5" fillId="0" borderId="0" pivotButton="0" quotePrefix="0" xfId="0"/>
    <xf numFmtId="166" fontId="0" fillId="0" borderId="0" pivotButton="0" quotePrefix="0" xfId="0"/>
    <xf numFmtId="0" fontId="4" fillId="5" borderId="1" pivotButton="0" quotePrefix="0" xfId="0"/>
    <xf numFmtId="164" fontId="0" fillId="5" borderId="1" pivotButton="0" quotePrefix="0" xfId="0"/>
    <xf numFmtId="0" fontId="4" fillId="0" borderId="0" pivotButton="0" quotePrefix="0" xfId="0"/>
    <xf numFmtId="0" fontId="6" fillId="6" borderId="0" applyAlignment="1" pivotButton="0" quotePrefix="0" xfId="0">
      <alignment horizontal="left" vertical="center"/>
    </xf>
    <xf numFmtId="0" fontId="1" fillId="2" borderId="0" pivotButton="0" quotePrefix="0" xfId="0"/>
    <xf numFmtId="165" fontId="0" fillId="0" borderId="0" pivotButton="0" quotePrefix="0" xfId="0"/>
    <xf numFmtId="0" fontId="7" fillId="0" borderId="0" pivotButton="0" quotePrefix="0" xfId="1"/>
    <xf numFmtId="0" fontId="2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4" fillId="6" borderId="0" pivotButton="0" quotePrefix="0" xfId="0"/>
    <xf numFmtId="0" fontId="0" fillId="4" borderId="0" pivotButton="0" quotePrefix="0" xfId="0"/>
    <xf numFmtId="0" fontId="0" fillId="7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mKFpn4LbqABUwoYmmXsPKyq8s0DkaSsi/view?usp=drivesdk" TargetMode="External" Id="rId1" /><Relationship Type="http://schemas.openxmlformats.org/officeDocument/2006/relationships/hyperlink" Target="https://drive.google.com/file/d/1Atuoi43vLrx967JbrHqvFad_G-Oge25b/view?usp=drivesdk" TargetMode="External" Id="rId2" /><Relationship Type="http://schemas.openxmlformats.org/officeDocument/2006/relationships/hyperlink" Target="https://drive.google.com/file/d/1z2NTUrvh34fdW8Uot-vEEnGrjpPurFa2/view?usp=drivesdk" TargetMode="External" Id="rId3" /><Relationship Type="http://schemas.openxmlformats.org/officeDocument/2006/relationships/hyperlink" Target="https://drive.google.com/file/d/1KLoFCF3XJmDR7TouszZ14B1HOLhx7NSc/view?usp=drivesdk" TargetMode="External" Id="rId4" /><Relationship Type="http://schemas.openxmlformats.org/officeDocument/2006/relationships/hyperlink" Target="https://drive.google.com/file/d/1nl75_t5qMkq6sPp3sUcTJOTnphTbjler/view?usp=drivesdk" TargetMode="External" Id="rId5" /><Relationship Type="http://schemas.openxmlformats.org/officeDocument/2006/relationships/hyperlink" Target="https://drive.google.com/file/d/1bkYpNbXnMTF1EUK3gZ-m0pfXO6lfs_IK/view?usp=drivesdk" TargetMode="External" Id="rId6" /><Relationship Type="http://schemas.openxmlformats.org/officeDocument/2006/relationships/hyperlink" Target="https://drive.google.com/file/d/1mrh7-eV5laK5K-ZWeu8Qz8riNSBcDPrz/view?usp=drivesdk" TargetMode="External" Id="rId7" /><Relationship Type="http://schemas.openxmlformats.org/officeDocument/2006/relationships/hyperlink" Target="https://drive.google.com/file/d/1GvSiMT7dWe7h0r6ewcUbd76aacDTs55m/view?usp=drivesdk" TargetMode="External" Id="rId8" /><Relationship Type="http://schemas.openxmlformats.org/officeDocument/2006/relationships/hyperlink" Target="https://drive.google.com/file/d/1gHZvZG77dIxzMh9_SrTFhWatc1Wv61Vb/view?usp=drivesdk" TargetMode="External" Id="rId9" /><Relationship Type="http://schemas.openxmlformats.org/officeDocument/2006/relationships/hyperlink" Target="https://drive.google.com/file/d/10HjLo7Knu7gO7UHRqzRWWqLRJLFwaepb/view?usp=drivesdk" TargetMode="External" Id="rId10" /><Relationship Type="http://schemas.openxmlformats.org/officeDocument/2006/relationships/hyperlink" Target="https://drive.google.com/file/d/1GQls1efpPohPk4ex-UHu8N22dVykqohV/view?usp=drivesdk" TargetMode="External" Id="rId11" /><Relationship Type="http://schemas.openxmlformats.org/officeDocument/2006/relationships/hyperlink" Target="https://drive.google.com/file/d/1OM97FR799Ud946UpzcBMY1HZEW_yeR00/view?usp=drivesdk" TargetMode="External" Id="rId12" /><Relationship Type="http://schemas.openxmlformats.org/officeDocument/2006/relationships/hyperlink" Target="https://drive.google.com/file/d/1c30n3beZ_blU_wr0nBKs2xlsR3mQK-sY/view?usp=drivesdk" TargetMode="External" Id="rId13" /><Relationship Type="http://schemas.openxmlformats.org/officeDocument/2006/relationships/hyperlink" Target="https://drive.google.com/file/d/1ajIxZlwj-e2KtMqrZFsUE7dJSULNR6L_/view?usp=drivesdk" TargetMode="External" Id="rId14" /><Relationship Type="http://schemas.openxmlformats.org/officeDocument/2006/relationships/hyperlink" Target="https://drive.google.com/file/d/1jXmJMRc6ctrCESw8C3VorheG7NPxt2AJ/view?usp=drivesdk" TargetMode="External" Id="rId15" /><Relationship Type="http://schemas.openxmlformats.org/officeDocument/2006/relationships/hyperlink" Target="https://drive.google.com/file/d/14UZxKB2U2q-N_53JD0gY9FoxwtgnV3ku/view?usp=drivesdk" TargetMode="External" Id="rId16" /><Relationship Type="http://schemas.openxmlformats.org/officeDocument/2006/relationships/hyperlink" Target="https://drive.google.com/file/d/1-X6AIn3grXjJjbEmKQEXk8JFjRt9jxoG/view?usp=drivesdk" TargetMode="External" Id="rId17" /><Relationship Type="http://schemas.openxmlformats.org/officeDocument/2006/relationships/hyperlink" Target="https://drive.google.com/file/d/12BXCxv1v465UmWjqCahE1Dtzo2FSNqBo/view?usp=drivesdk" TargetMode="External" Id="rId18" /><Relationship Type="http://schemas.openxmlformats.org/officeDocument/2006/relationships/hyperlink" Target="https://drive.google.com/file/d/1V6AYGD0Bns0VYPibrFxy5kx-eb5aWSa1/view?usp=drivesdk" TargetMode="External" Id="rId19" /><Relationship Type="http://schemas.openxmlformats.org/officeDocument/2006/relationships/hyperlink" Target="https://drive.google.com/file/d/1Xpc2pXAYm5qg-uTyBv5d_I8hSd-yb06E/view?usp=drivesdk" TargetMode="External" Id="rId20" /><Relationship Type="http://schemas.openxmlformats.org/officeDocument/2006/relationships/hyperlink" Target="https://drive.google.com/file/d/11iOTWLqv3PNZpUEf758GBwiYaZrSdVAe/view?usp=drivesdk" TargetMode="External" Id="rId21" /><Relationship Type="http://schemas.openxmlformats.org/officeDocument/2006/relationships/hyperlink" Target="https://drive.google.com/file/d/1X6fzEm-pVVZsrlxW6Gz7ig2cNjbn3rrL/view?usp=drivesdk" TargetMode="External" Id="rId22" /><Relationship Type="http://schemas.openxmlformats.org/officeDocument/2006/relationships/hyperlink" Target="https://drive.google.com/file/d/1DMJzFa1bnH7cqMNJO2QCViwHa32bZMDH/view?usp=drivesdk" TargetMode="External" Id="rId23" /><Relationship Type="http://schemas.openxmlformats.org/officeDocument/2006/relationships/hyperlink" Target="https://drive.google.com/file/d/113kz058kpuPlieDY1btfzcQHG0_W_5CV/view?usp=drivesdk" TargetMode="External" Id="rId24" /><Relationship Type="http://schemas.openxmlformats.org/officeDocument/2006/relationships/hyperlink" Target="https://drive.google.com/file/d/1cIVqxYDO-MZjOShB9ipoQEMJ8AX0XaNi/view?usp=drivesdk" TargetMode="External" Id="rId25" /><Relationship Type="http://schemas.openxmlformats.org/officeDocument/2006/relationships/hyperlink" Target="https://drive.google.com/file/d/10tGtEzfDIbZgJJRXAUO6Nst9ZnGQkrqN/view?usp=drivesdk" TargetMode="External" Id="rId26" /><Relationship Type="http://schemas.openxmlformats.org/officeDocument/2006/relationships/hyperlink" Target="https://drive.google.com/file/d/18xTF-w1hEQDhzgOL9vd7lr7HlgMZV152/view?usp=drivesdk" TargetMode="External" Id="rId27" /><Relationship Type="http://schemas.openxmlformats.org/officeDocument/2006/relationships/hyperlink" Target="https://drive.google.com/file/d/1n8W9_RsChocO7_DRTGwSuAh1TYpZwOGG/view?usp=drivesdk" TargetMode="External" Id="rId28" /><Relationship Type="http://schemas.openxmlformats.org/officeDocument/2006/relationships/hyperlink" Target="https://drive.google.com/file/d/1K7wN36aSKckLFy7jC70BqUzQTymFc5nG/view?usp=drivesdk" TargetMode="External" Id="rId29" /><Relationship Type="http://schemas.openxmlformats.org/officeDocument/2006/relationships/hyperlink" Target="https://drive.google.com/file/d/1Hjn8RJAraIynzqs8bso_WYZtzAPP35id/view?usp=drivesdk" TargetMode="External" Id="rId30" /><Relationship Type="http://schemas.openxmlformats.org/officeDocument/2006/relationships/hyperlink" Target="https://drive.google.com/file/d/1nAVFTLWu3w-AA1UJWXx0xkDYc-DX209H/view?usp=drivesdk" TargetMode="External" Id="rId31" /><Relationship Type="http://schemas.openxmlformats.org/officeDocument/2006/relationships/hyperlink" Target="https://drive.google.com/file/d/10KpZp5uIVMXey-JAt91qRFY2j5aFHubF/view?usp=drivesdk" TargetMode="External" Id="rId32" /><Relationship Type="http://schemas.openxmlformats.org/officeDocument/2006/relationships/hyperlink" Target="https://drive.google.com/file/d/1JKtnafV8YldUASUqecl8pOgLOPpAdNdJ/view?usp=drivesdk" TargetMode="External" Id="rId33" /><Relationship Type="http://schemas.openxmlformats.org/officeDocument/2006/relationships/hyperlink" Target="https://drive.google.com/file/d/1NwONcHB9xoTWHo5VYO7rqShYUmN3HW43/view?usp=drivesdk" TargetMode="External" Id="rId34" /><Relationship Type="http://schemas.openxmlformats.org/officeDocument/2006/relationships/hyperlink" Target="https://drive.google.com/file/d/11v62FzVBYaAfieVssEIvUr9PBIW0v3tT/view?usp=drivesdk" TargetMode="External" Id="rId35" /><Relationship Type="http://schemas.openxmlformats.org/officeDocument/2006/relationships/hyperlink" Target="https://drive.google.com/file/d/19HR2ul1QqpQYWu5H1-VDA5-SV4VmrjPX/view?usp=drivesdk" TargetMode="External" Id="rId36" /><Relationship Type="http://schemas.openxmlformats.org/officeDocument/2006/relationships/hyperlink" Target="https://drive.google.com/file/d/16h2QM43NCeN6hbkGNJSPgOCCrO8BxTmz/view?usp=drivesdk" TargetMode="External" Id="rId37" /><Relationship Type="http://schemas.openxmlformats.org/officeDocument/2006/relationships/hyperlink" Target="https://drive.google.com/file/d/1IMBJWO0UUKcYzoYphD0d22Of_3IoLRSG/view?usp=drivesdk" TargetMode="External" Id="rId38" /><Relationship Type="http://schemas.openxmlformats.org/officeDocument/2006/relationships/hyperlink" Target="https://drive.google.com/file/d/1PCcrRyOtmlqVSoMZc17E2bLA1jsIQG-F/view?usp=drivesdk" TargetMode="External" Id="rId39" /><Relationship Type="http://schemas.openxmlformats.org/officeDocument/2006/relationships/hyperlink" Target="https://drive.google.com/file/d/1JXIEfoqcpK1EahsEdTqc0TOvXwVd0fGD/view?usp=drivesdk" TargetMode="External" Id="rId40" /><Relationship Type="http://schemas.openxmlformats.org/officeDocument/2006/relationships/hyperlink" Target="https://drive.google.com/file/d/1M2UbiwDf4E-rmEmK5zFgh6OnSUc2_D3P/view?usp=drivesdk" TargetMode="External" Id="rId41" /><Relationship Type="http://schemas.openxmlformats.org/officeDocument/2006/relationships/hyperlink" Target="https://drive.google.com/file/d/1-nPt6S-akvJNyzBdMaZjpieq0nNJGLeB/view?usp=drivesdk" TargetMode="External" Id="rId42" /><Relationship Type="http://schemas.openxmlformats.org/officeDocument/2006/relationships/hyperlink" Target="https://drive.google.com/file/d/1BWgq9Bk9u4DhPBHUnzurjMs6xrBLjOoT/view?usp=drivesdk" TargetMode="External" Id="rId43" /><Relationship Type="http://schemas.openxmlformats.org/officeDocument/2006/relationships/hyperlink" Target="https://drive.google.com/file/d/1-jsMYq93I75JXR08TmxSLu_c0z3VXlKf/view?usp=drivesdk" TargetMode="External" Id="rId44" /><Relationship Type="http://schemas.openxmlformats.org/officeDocument/2006/relationships/hyperlink" Target="https://drive.google.com/file/d/1tNOHTHHm40QxENAWBisBVkCo1DtfO1T6/view?usp=drivesdk" TargetMode="External" Id="rId45" /><Relationship Type="http://schemas.openxmlformats.org/officeDocument/2006/relationships/hyperlink" Target="https://drive.google.com/file/d/17ow474vMCn_sBzQAyJwkjmFzfu_E3F7V/view?usp=drivesdk" TargetMode="External" Id="rId46" /><Relationship Type="http://schemas.openxmlformats.org/officeDocument/2006/relationships/hyperlink" Target="https://drive.google.com/file/d/1M5xarsSho_Z5RxN4veT9GF-pJzcmbNDB/view?usp=drivesdk" TargetMode="External" Id="rId47" /><Relationship Type="http://schemas.openxmlformats.org/officeDocument/2006/relationships/hyperlink" Target="https://drive.google.com/file/d/1QoDZ4ViVSJ9fvnCToruE2ThLT1upF3Cq/view?usp=drivesdk" TargetMode="External" Id="rId48" /><Relationship Type="http://schemas.openxmlformats.org/officeDocument/2006/relationships/hyperlink" Target="https://drive.google.com/file/d/1kuFsoYCt3-zEiGnuasIocQnVAsGcGlXO/view?usp=drivesdk" TargetMode="External" Id="rId49" /><Relationship Type="http://schemas.openxmlformats.org/officeDocument/2006/relationships/hyperlink" Target="https://drive.google.com/file/d/1lOB1AxvofgMVMWluy4eBoLj3AhBwZ_57/view?usp=drivesdk" TargetMode="External" Id="rId50" /><Relationship Type="http://schemas.openxmlformats.org/officeDocument/2006/relationships/hyperlink" Target="https://drive.google.com/file/d/1mNRE8q4N-pdma349CBWPXUATiA2awfgA/view?usp=drivesdk" TargetMode="External" Id="rId51" /><Relationship Type="http://schemas.openxmlformats.org/officeDocument/2006/relationships/hyperlink" Target="https://drive.google.com/file/d/1HY1Ev3Td2YS2dhs5jQzYaxWBaGY2qtky/view?usp=drivesdk" TargetMode="External" Id="rId52" /><Relationship Type="http://schemas.openxmlformats.org/officeDocument/2006/relationships/hyperlink" Target="https://drive.google.com/file/d/1rEk53unN0S6gTDmxf0LfSYY8WyNe4P5U/view?usp=drivesdk" TargetMode="External" Id="rId53" /><Relationship Type="http://schemas.openxmlformats.org/officeDocument/2006/relationships/hyperlink" Target="https://drive.google.com/file/d/1Mjpwi2nZRCTnsQYQdZK2y-bpU5fXxUxk/view?usp=drivesdk" TargetMode="External" Id="rId54" /><Relationship Type="http://schemas.openxmlformats.org/officeDocument/2006/relationships/hyperlink" Target="https://drive.google.com/file/d/1YulUf_54Ge59FkZwFQzmjqL4MjucUD15/view?usp=drivesdk" TargetMode="External" Id="rId55" /><Relationship Type="http://schemas.openxmlformats.org/officeDocument/2006/relationships/hyperlink" Target="https://drive.google.com/file/d/13TKId50ynxQyvAg22kfmUtfhRE-pMxF4/view?usp=drivesdk" TargetMode="External" Id="rId56" /><Relationship Type="http://schemas.openxmlformats.org/officeDocument/2006/relationships/hyperlink" Target="https://drive.google.com/file/d/1Ao_XG_MMttqjUu0qAy5MhuEJcZWLawvw/view?usp=drivesdk" TargetMode="External" Id="rId57" /><Relationship Type="http://schemas.openxmlformats.org/officeDocument/2006/relationships/hyperlink" Target="https://drive.google.com/file/d/1zhRqZiBhtLN_OccKXt4geBsgt6MiLwB0/view?usp=drivesdk" TargetMode="External" Id="rId58" /><Relationship Type="http://schemas.openxmlformats.org/officeDocument/2006/relationships/hyperlink" Target="https://drive.google.com/file/d/1v3z_Cg15O_RWcC1XdWWFyRfW4Eib-Dt_/view?usp=drivesdk" TargetMode="External" Id="rId59" /><Relationship Type="http://schemas.openxmlformats.org/officeDocument/2006/relationships/hyperlink" Target="https://drive.google.com/file/d/1KCqdXDkBxXbNHbrxD6yufruxtuigPin8/view?usp=drivesdk" TargetMode="External" Id="rId60" /><Relationship Type="http://schemas.openxmlformats.org/officeDocument/2006/relationships/hyperlink" Target="https://drive.google.com/file/d/1dGaOhwcHmJ7E9xsHoMz5X0hT0s3-xisE/view?usp=drivesdk" TargetMode="External" Id="rId61" /><Relationship Type="http://schemas.openxmlformats.org/officeDocument/2006/relationships/hyperlink" Target="https://drive.google.com/file/d/1o65Tq0fDpxT59YHaZpXIjVwUf1MKoWxG/view?usp=drivesdk" TargetMode="External" Id="rId62" /><Relationship Type="http://schemas.openxmlformats.org/officeDocument/2006/relationships/hyperlink" Target="https://drive.google.com/file/d/15DVcEr8Ytfujv1tpQLgt6W6YMWHXljy_/view?usp=drivesdk" TargetMode="External" Id="rId63" /><Relationship Type="http://schemas.openxmlformats.org/officeDocument/2006/relationships/hyperlink" Target="https://drive.google.com/file/d/1v00B078Ae3MCj4_8IxpgmhLJoh60v_pH/view?usp=drivesdk" TargetMode="External" Id="rId64" /><Relationship Type="http://schemas.openxmlformats.org/officeDocument/2006/relationships/hyperlink" Target="https://drive.google.com/file/d/1Rdtd5bFpCWCdRwjt5JS8ninB09DgnSSY/view?usp=drivesdk" TargetMode="External" Id="rId65" /><Relationship Type="http://schemas.openxmlformats.org/officeDocument/2006/relationships/hyperlink" Target="https://drive.google.com/file/d/1JPw1TNvghTI6YSGC7_wDxk6ZSKSiu5UJ/view?usp=drivesdk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4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hidden="1" width="2" customWidth="1" min="2" max="2"/>
    <col hidden="1" width="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202501</t>
        </is>
      </c>
      <c r="E1" s="1" t="inlineStr">
        <is>
          <t>202502</t>
        </is>
      </c>
      <c r="F1" s="1" t="inlineStr">
        <is>
          <t>202503</t>
        </is>
      </c>
      <c r="G1" s="1" t="inlineStr">
        <is>
          <t>202504</t>
        </is>
      </c>
      <c r="H1" s="1" t="inlineStr">
        <is>
          <t>202505</t>
        </is>
      </c>
      <c r="I1" s="1" t="inlineStr">
        <is>
          <t>202506</t>
        </is>
      </c>
      <c r="J1" s="1" t="inlineStr">
        <is>
          <t>202507</t>
        </is>
      </c>
      <c r="K1" s="1" t="inlineStr">
        <is>
          <t>202508</t>
        </is>
      </c>
      <c r="L1" s="1" t="inlineStr">
        <is>
          <t>202509</t>
        </is>
      </c>
      <c r="M1" s="1" t="inlineStr">
        <is>
          <t>202510</t>
        </is>
      </c>
      <c r="N1" s="1" t="inlineStr">
        <is>
          <t>202511</t>
        </is>
      </c>
      <c r="O1" s="1" t="inlineStr">
        <is>
          <t>202512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INC 2025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30/03/2026 16:18 h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 ht="12" customHeight="1">
      <c r="A4" s="5" t="inlineStr">
        <is>
          <t>Turnover</t>
        </is>
      </c>
      <c r="B4" s="6" t="n"/>
      <c r="C4" s="6" t="n"/>
      <c r="D4" s="6">
        <f>D5+D8</f>
        <v/>
      </c>
      <c r="E4" s="6">
        <f>E5+E8</f>
        <v/>
      </c>
      <c r="F4" s="6">
        <f>F5+F8</f>
        <v/>
      </c>
      <c r="G4" s="6">
        <f>G5+G8</f>
        <v/>
      </c>
      <c r="H4" s="6">
        <f>H5+H8</f>
        <v/>
      </c>
      <c r="I4" s="6">
        <f>I5+I8</f>
        <v/>
      </c>
      <c r="J4" s="6">
        <f>J5+J8</f>
        <v/>
      </c>
      <c r="K4" s="6">
        <f>K5+K8</f>
        <v/>
      </c>
      <c r="L4" s="6">
        <f>L5+L8</f>
        <v/>
      </c>
      <c r="M4" s="6">
        <f>M5+M8</f>
        <v/>
      </c>
      <c r="N4" s="6">
        <f>N5+N8</f>
        <v/>
      </c>
      <c r="O4" s="6">
        <f>O5+O8</f>
        <v/>
      </c>
      <c r="P4" s="6">
        <f>SUM(D4:O4)</f>
        <v/>
      </c>
      <c r="Q4" s="6" t="n"/>
    </row>
    <row r="5" outlineLevel="1" ht="12" customHeight="1">
      <c r="A5" s="7" t="inlineStr">
        <is>
          <t xml:space="preserve">  Product sales</t>
        </is>
      </c>
      <c r="B5" s="8" t="n"/>
      <c r="C5" s="8" t="n"/>
      <c r="D5" s="8">
        <f>D6</f>
        <v/>
      </c>
      <c r="E5" s="8">
        <f>E6</f>
        <v/>
      </c>
      <c r="F5" s="8">
        <f>F6</f>
        <v/>
      </c>
      <c r="G5" s="8">
        <f>G6</f>
        <v/>
      </c>
      <c r="H5" s="8">
        <f>H6</f>
        <v/>
      </c>
      <c r="I5" s="8">
        <f>I6</f>
        <v/>
      </c>
      <c r="J5" s="8">
        <f>J6</f>
        <v/>
      </c>
      <c r="K5" s="8">
        <f>K6</f>
        <v/>
      </c>
      <c r="L5" s="8">
        <f>L6</f>
        <v/>
      </c>
      <c r="M5" s="8">
        <f>M6</f>
        <v/>
      </c>
      <c r="N5" s="8">
        <f>N6</f>
        <v/>
      </c>
      <c r="O5" s="8">
        <f>O6</f>
        <v/>
      </c>
      <c r="P5" s="8">
        <f>SUM(D5:O5)</f>
        <v/>
      </c>
      <c r="Q5" s="8" t="n"/>
    </row>
    <row r="6" hidden="1" outlineLevel="2" ht="12" customHeight="1">
      <c r="A6" s="9" t="inlineStr">
        <is>
          <t xml:space="preserve">    Shopify</t>
        </is>
      </c>
      <c r="B6" s="10" t="n"/>
      <c r="C6" s="10" t="n"/>
      <c r="D6" s="10">
        <f>SUM(D7:D7)</f>
        <v/>
      </c>
      <c r="E6" s="10">
        <f>SUM(E7:E7)</f>
        <v/>
      </c>
      <c r="F6" s="10">
        <f>SUM(F7:F7)</f>
        <v/>
      </c>
      <c r="G6" s="10">
        <f>SUM(G7:G7)</f>
        <v/>
      </c>
      <c r="H6" s="10">
        <f>SUM(H7:H7)</f>
        <v/>
      </c>
      <c r="I6" s="10">
        <f>SUM(I7:I7)</f>
        <v/>
      </c>
      <c r="J6" s="10">
        <f>SUM(J7:J7)</f>
        <v/>
      </c>
      <c r="K6" s="10">
        <f>SUM(K7:K7)</f>
        <v/>
      </c>
      <c r="L6" s="10">
        <f>SUM(L7:L7)</f>
        <v/>
      </c>
      <c r="M6" s="10">
        <f>SUM(M7:M7)</f>
        <v/>
      </c>
      <c r="N6" s="10">
        <f>SUM(N7:N7)</f>
        <v/>
      </c>
      <c r="O6" s="10">
        <f>SUM(O7:O7)</f>
        <v/>
      </c>
      <c r="P6" s="10">
        <f>SUM(D6:O6)</f>
        <v/>
      </c>
      <c r="Q6" s="10" t="inlineStr">
        <is>
          <t>-&gt;</t>
        </is>
      </c>
    </row>
    <row r="7" hidden="1" outlineLevel="3" ht="12" customHeight="1">
      <c r="A7" t="inlineStr">
        <is>
          <t xml:space="preserve">      US</t>
        </is>
      </c>
      <c r="B7" s="4" t="n"/>
      <c r="C7" s="4" t="n"/>
      <c r="D7" s="4">
        <f>SUMIFS('i-shopify-inc'!$I:$I,'i-shopify-inc'!$A:$A,D$1,'i-shopify-inc'!$C:$C,TRIM($A7))</f>
        <v/>
      </c>
      <c r="E7" s="4">
        <f>SUMIFS('i-shopify-inc'!$I:$I,'i-shopify-inc'!$A:$A,E$1,'i-shopify-inc'!$C:$C,TRIM($A7))</f>
        <v/>
      </c>
      <c r="F7" s="4">
        <f>SUMIFS('i-shopify-inc'!$I:$I,'i-shopify-inc'!$A:$A,F$1,'i-shopify-inc'!$C:$C,TRIM($A7))</f>
        <v/>
      </c>
      <c r="G7" s="4">
        <f>SUMIFS('i-shopify-inc'!$I:$I,'i-shopify-inc'!$A:$A,G$1,'i-shopify-inc'!$C:$C,TRIM($A7))</f>
        <v/>
      </c>
      <c r="H7" s="4">
        <f>SUMIFS('i-shopify-inc'!$I:$I,'i-shopify-inc'!$A:$A,H$1,'i-shopify-inc'!$C:$C,TRIM($A7))</f>
        <v/>
      </c>
      <c r="I7" s="4">
        <f>SUMIFS('i-shopify-inc'!$I:$I,'i-shopify-inc'!$A:$A,I$1,'i-shopify-inc'!$C:$C,TRIM($A7))</f>
        <v/>
      </c>
      <c r="J7" s="4">
        <f>SUMIFS('i-shopify-inc'!$I:$I,'i-shopify-inc'!$A:$A,J$1,'i-shopify-inc'!$C:$C,TRIM($A7))</f>
        <v/>
      </c>
      <c r="K7" s="4">
        <f>SUMIFS('i-shopify-inc'!$I:$I,'i-shopify-inc'!$A:$A,K$1,'i-shopify-inc'!$C:$C,TRIM($A7))</f>
        <v/>
      </c>
      <c r="L7" s="4">
        <f>SUMIFS('i-shopify-inc'!$I:$I,'i-shopify-inc'!$A:$A,L$1,'i-shopify-inc'!$C:$C,TRIM($A7))</f>
        <v/>
      </c>
      <c r="M7" s="4">
        <f>SUMIFS('i-shopify-inc'!$I:$I,'i-shopify-inc'!$A:$A,M$1,'i-shopify-inc'!$C:$C,TRIM($A7))</f>
        <v/>
      </c>
      <c r="N7" s="4">
        <f>SUMIFS('i-shopify-inc'!$I:$I,'i-shopify-inc'!$A:$A,N$1,'i-shopify-inc'!$C:$C,TRIM($A7))</f>
        <v/>
      </c>
      <c r="O7" s="4">
        <f>SUMIFS('i-shopify-inc'!$I:$I,'i-shopify-inc'!$A:$A,O$1,'i-shopify-inc'!$C:$C,TRIM($A7))</f>
        <v/>
      </c>
      <c r="P7" s="4">
        <f>SUM(D7:O7)</f>
        <v/>
      </c>
      <c r="Q7" s="4" t="inlineStr">
        <is>
          <t>-&gt;</t>
        </is>
      </c>
    </row>
    <row r="8" hidden="1" outlineLevel="2" ht="12" customHeight="1">
      <c r="A8" s="9" t="inlineStr">
        <is>
          <t xml:space="preserve">  Otros ingresos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>
        <f>SUM(D8:O8)</f>
        <v/>
      </c>
      <c r="Q8" s="10" t="n"/>
    </row>
    <row r="9" ht="12" customHeight="1"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>
        <f>SUM(D9:O9)</f>
        <v/>
      </c>
      <c r="Q9" s="4" t="n"/>
    </row>
    <row r="10" ht="12" customHeight="1">
      <c r="A10" s="5" t="inlineStr">
        <is>
          <t>Expenses</t>
        </is>
      </c>
      <c r="B10" s="6" t="n"/>
      <c r="C10" s="6" t="n"/>
      <c r="D10" s="6">
        <f>D11+D30</f>
        <v/>
      </c>
      <c r="E10" s="6">
        <f>E11+E30</f>
        <v/>
      </c>
      <c r="F10" s="6">
        <f>F11+F30</f>
        <v/>
      </c>
      <c r="G10" s="6">
        <f>G11+G30</f>
        <v/>
      </c>
      <c r="H10" s="6">
        <f>H11+H30</f>
        <v/>
      </c>
      <c r="I10" s="6">
        <f>I11+I30</f>
        <v/>
      </c>
      <c r="J10" s="6">
        <f>J11+J30</f>
        <v/>
      </c>
      <c r="K10" s="6">
        <f>K11+K30</f>
        <v/>
      </c>
      <c r="L10" s="6">
        <f>L11+L30</f>
        <v/>
      </c>
      <c r="M10" s="6">
        <f>M11+M30</f>
        <v/>
      </c>
      <c r="N10" s="6">
        <f>N11+N30</f>
        <v/>
      </c>
      <c r="O10" s="6">
        <f>O11+O30</f>
        <v/>
      </c>
      <c r="P10" s="6">
        <f>SUM(D10:O10)</f>
        <v/>
      </c>
      <c r="Q10" s="6" t="n"/>
    </row>
    <row r="11" outlineLevel="1" ht="12" customHeight="1">
      <c r="A11" s="7" t="inlineStr">
        <is>
          <t xml:space="preserve">  COGS</t>
        </is>
      </c>
      <c r="B11" s="8" t="n"/>
      <c r="C11" s="8" t="n"/>
      <c r="D11" s="8">
        <f>D12+D17+D20</f>
        <v/>
      </c>
      <c r="E11" s="8">
        <f>E12+E17+E20</f>
        <v/>
      </c>
      <c r="F11" s="8">
        <f>F12+F17+F20</f>
        <v/>
      </c>
      <c r="G11" s="8">
        <f>G12+G17+G20</f>
        <v/>
      </c>
      <c r="H11" s="8">
        <f>H12+H17+H20</f>
        <v/>
      </c>
      <c r="I11" s="8">
        <f>I12+I17+I20</f>
        <v/>
      </c>
      <c r="J11" s="8">
        <f>J12+J17+J20</f>
        <v/>
      </c>
      <c r="K11" s="8">
        <f>K12+K17+K20</f>
        <v/>
      </c>
      <c r="L11" s="8">
        <f>L12+L17+L20</f>
        <v/>
      </c>
      <c r="M11" s="8">
        <f>M12+M17+M20</f>
        <v/>
      </c>
      <c r="N11" s="8">
        <f>N12+N17+N20</f>
        <v/>
      </c>
      <c r="O11" s="8">
        <f>O12+O17+O20</f>
        <v/>
      </c>
      <c r="P11" s="8">
        <f>SUM(D11:O11)</f>
        <v/>
      </c>
      <c r="Q11" s="8" t="n"/>
    </row>
    <row r="12" hidden="1" outlineLevel="2" ht="12" customHeight="1">
      <c r="A12" s="9" t="inlineStr">
        <is>
          <t xml:space="preserve">    Manufacturing</t>
        </is>
      </c>
      <c r="B12" s="10" t="n"/>
      <c r="C12" s="10" t="n"/>
      <c r="D12" s="10">
        <f>SUM(D13:D14)+D15</f>
        <v/>
      </c>
      <c r="E12" s="10">
        <f>SUM(E13:E14)+E15</f>
        <v/>
      </c>
      <c r="F12" s="10">
        <f>SUM(F13:F14)+F15</f>
        <v/>
      </c>
      <c r="G12" s="10">
        <f>SUM(G13:G14)+G15</f>
        <v/>
      </c>
      <c r="H12" s="10">
        <f>SUM(H13:H14)+H15</f>
        <v/>
      </c>
      <c r="I12" s="10">
        <f>SUM(I13:I14)+I15</f>
        <v/>
      </c>
      <c r="J12" s="10">
        <f>SUM(J13:J14)+J15</f>
        <v/>
      </c>
      <c r="K12" s="10">
        <f>SUM(K13:K14)+K15</f>
        <v/>
      </c>
      <c r="L12" s="10">
        <f>SUM(L13:L14)+L15</f>
        <v/>
      </c>
      <c r="M12" s="10">
        <f>SUM(M13:M14)+M15</f>
        <v/>
      </c>
      <c r="N12" s="10">
        <f>SUM(N13:N14)+N15</f>
        <v/>
      </c>
      <c r="O12" s="10">
        <f>SUM(O13:O14)+O15</f>
        <v/>
      </c>
      <c r="P12" s="10">
        <f>SUM(D12:O12)</f>
        <v/>
      </c>
      <c r="Q12" s="10" t="inlineStr">
        <is>
          <t>-&gt;</t>
        </is>
      </c>
    </row>
    <row r="13" hidden="1" outlineLevel="3" ht="12" customHeight="1">
      <c r="A13" t="inlineStr">
        <is>
          <t xml:space="preserve">      JONDO</t>
        </is>
      </c>
      <c r="B13" s="4" t="n"/>
      <c r="C13" s="4" t="n"/>
      <c r="D13" s="4">
        <f>SUMIFS('g-expenses-inc'!$K:$K,'g-expenses-inc'!$A:$A,D$1,'g-expenses-inc'!$D:$D,"manufacturing",'g-expenses-inc'!$E:$E,TRIM($A13))</f>
        <v/>
      </c>
      <c r="E13" s="4">
        <f>SUMIFS('g-expenses-inc'!$K:$K,'g-expenses-inc'!$A:$A,E$1,'g-expenses-inc'!$D:$D,"manufacturing",'g-expenses-inc'!$E:$E,TRIM($A13))</f>
        <v/>
      </c>
      <c r="F13" s="4">
        <f>SUMIFS('g-expenses-inc'!$K:$K,'g-expenses-inc'!$A:$A,F$1,'g-expenses-inc'!$D:$D,"manufacturing",'g-expenses-inc'!$E:$E,TRIM($A13))</f>
        <v/>
      </c>
      <c r="G13" s="4">
        <f>SUMIFS('g-expenses-inc'!$K:$K,'g-expenses-inc'!$A:$A,G$1,'g-expenses-inc'!$D:$D,"manufacturing",'g-expenses-inc'!$E:$E,TRIM($A13))</f>
        <v/>
      </c>
      <c r="H13" s="4">
        <f>SUMIFS('g-expenses-inc'!$K:$K,'g-expenses-inc'!$A:$A,H$1,'g-expenses-inc'!$D:$D,"manufacturing",'g-expenses-inc'!$E:$E,TRIM($A13))</f>
        <v/>
      </c>
      <c r="I13" s="4">
        <f>SUMIFS('g-expenses-inc'!$K:$K,'g-expenses-inc'!$A:$A,I$1,'g-expenses-inc'!$D:$D,"manufacturing",'g-expenses-inc'!$E:$E,TRIM($A13))</f>
        <v/>
      </c>
      <c r="J13" s="4">
        <f>SUMIFS('g-expenses-inc'!$K:$K,'g-expenses-inc'!$A:$A,J$1,'g-expenses-inc'!$D:$D,"manufacturing",'g-expenses-inc'!$E:$E,TRIM($A13))</f>
        <v/>
      </c>
      <c r="K13" s="4">
        <f>SUMIFS('g-expenses-inc'!$K:$K,'g-expenses-inc'!$A:$A,K$1,'g-expenses-inc'!$D:$D,"manufacturing",'g-expenses-inc'!$E:$E,TRIM($A13))</f>
        <v/>
      </c>
      <c r="L13" s="4">
        <f>SUMIFS('g-expenses-inc'!$K:$K,'g-expenses-inc'!$A:$A,L$1,'g-expenses-inc'!$D:$D,"manufacturing",'g-expenses-inc'!$E:$E,TRIM($A13))</f>
        <v/>
      </c>
      <c r="M13" s="4">
        <f>SUMIFS('g-expenses-inc'!$K:$K,'g-expenses-inc'!$A:$A,M$1,'g-expenses-inc'!$D:$D,"manufacturing",'g-expenses-inc'!$E:$E,TRIM($A13))</f>
        <v/>
      </c>
      <c r="N13" s="4">
        <f>SUMIFS('g-expenses-inc'!$K:$K,'g-expenses-inc'!$A:$A,N$1,'g-expenses-inc'!$D:$D,"manufacturing",'g-expenses-inc'!$E:$E,TRIM($A13))</f>
        <v/>
      </c>
      <c r="O13" s="4">
        <f>SUMIFS('g-expenses-inc'!$K:$K,'g-expenses-inc'!$A:$A,O$1,'g-expenses-inc'!$D:$D,"manufacturing",'g-expenses-inc'!$E:$E,TRIM($A13))</f>
        <v/>
      </c>
      <c r="P13" s="4">
        <f>SUM(D13:O13)</f>
        <v/>
      </c>
      <c r="Q13" s="4" t="inlineStr">
        <is>
          <t>-&gt;</t>
        </is>
      </c>
    </row>
    <row r="14" hidden="1" outlineLevel="3" ht="12" customHeight="1">
      <c r="A14" t="inlineStr">
        <is>
          <t xml:space="preserve">      TGI</t>
        </is>
      </c>
      <c r="B14" s="4" t="n"/>
      <c r="C14" s="4" t="n"/>
      <c r="D14" s="4">
        <f>SUMIFS('g-expenses-inc'!$K:$K,'g-expenses-inc'!$A:$A,D$1,'g-expenses-inc'!$D:$D,"manufacturing",'g-expenses-inc'!$E:$E,TRIM($A14))</f>
        <v/>
      </c>
      <c r="E14" s="4">
        <f>SUMIFS('g-expenses-inc'!$K:$K,'g-expenses-inc'!$A:$A,E$1,'g-expenses-inc'!$D:$D,"manufacturing",'g-expenses-inc'!$E:$E,TRIM($A14))</f>
        <v/>
      </c>
      <c r="F14" s="4">
        <f>SUMIFS('g-expenses-inc'!$K:$K,'g-expenses-inc'!$A:$A,F$1,'g-expenses-inc'!$D:$D,"manufacturing",'g-expenses-inc'!$E:$E,TRIM($A14))</f>
        <v/>
      </c>
      <c r="G14" s="4">
        <f>SUMIFS('g-expenses-inc'!$K:$K,'g-expenses-inc'!$A:$A,G$1,'g-expenses-inc'!$D:$D,"manufacturing",'g-expenses-inc'!$E:$E,TRIM($A14))</f>
        <v/>
      </c>
      <c r="H14" s="4">
        <f>SUMIFS('g-expenses-inc'!$K:$K,'g-expenses-inc'!$A:$A,H$1,'g-expenses-inc'!$D:$D,"manufacturing",'g-expenses-inc'!$E:$E,TRIM($A14))</f>
        <v/>
      </c>
      <c r="I14" s="4">
        <f>SUMIFS('g-expenses-inc'!$K:$K,'g-expenses-inc'!$A:$A,I$1,'g-expenses-inc'!$D:$D,"manufacturing",'g-expenses-inc'!$E:$E,TRIM($A14))</f>
        <v/>
      </c>
      <c r="J14" s="4">
        <f>SUMIFS('g-expenses-inc'!$K:$K,'g-expenses-inc'!$A:$A,J$1,'g-expenses-inc'!$D:$D,"manufacturing",'g-expenses-inc'!$E:$E,TRIM($A14))</f>
        <v/>
      </c>
      <c r="K14" s="4">
        <f>SUMIFS('g-expenses-inc'!$K:$K,'g-expenses-inc'!$A:$A,K$1,'g-expenses-inc'!$D:$D,"manufacturing",'g-expenses-inc'!$E:$E,TRIM($A14))</f>
        <v/>
      </c>
      <c r="L14" s="4">
        <f>SUMIFS('g-expenses-inc'!$K:$K,'g-expenses-inc'!$A:$A,L$1,'g-expenses-inc'!$D:$D,"manufacturing",'g-expenses-inc'!$E:$E,TRIM($A14))</f>
        <v/>
      </c>
      <c r="M14" s="4">
        <f>SUMIFS('g-expenses-inc'!$K:$K,'g-expenses-inc'!$A:$A,M$1,'g-expenses-inc'!$D:$D,"manufacturing",'g-expenses-inc'!$E:$E,TRIM($A14))</f>
        <v/>
      </c>
      <c r="N14" s="4">
        <f>SUMIFS('g-expenses-inc'!$K:$K,'g-expenses-inc'!$A:$A,N$1,'g-expenses-inc'!$D:$D,"manufacturing",'g-expenses-inc'!$E:$E,TRIM($A14))</f>
        <v/>
      </c>
      <c r="O14" s="4">
        <f>SUMIFS('g-expenses-inc'!$K:$K,'g-expenses-inc'!$A:$A,O$1,'g-expenses-inc'!$D:$D,"manufacturing",'g-expenses-inc'!$E:$E,TRIM($A14))</f>
        <v/>
      </c>
      <c r="P14" s="4">
        <f>SUM(D14:O14)</f>
        <v/>
      </c>
      <c r="Q14" s="4" t="n"/>
    </row>
    <row r="15" ht="12" customHeight="1">
      <c r="A15" t="inlineStr">
        <is>
          <t xml:space="preserve">      Consumo marcos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>
        <v>603.1799999999999</v>
      </c>
      <c r="K15" s="4" t="n">
        <v>2121.84</v>
      </c>
      <c r="L15" s="4" t="n">
        <v>2298.62</v>
      </c>
      <c r="M15" s="4" t="n">
        <v>2391.63</v>
      </c>
      <c r="N15" s="4" t="n">
        <v>2600.76</v>
      </c>
      <c r="O15" s="4" t="n">
        <v>807.1799999999999</v>
      </c>
      <c r="P15" s="4">
        <f>SUM(D15:O15)</f>
        <v/>
      </c>
      <c r="Q15" s="4" t="n"/>
    </row>
    <row r="16" hidden="1" outlineLevel="2" ht="12" customHeight="1">
      <c r="A16" s="11" t="inlineStr">
        <is>
          <t xml:space="preserve">    % Manufacturing / sales</t>
        </is>
      </c>
      <c r="B16" s="12" t="n"/>
      <c r="C16" s="12" t="n"/>
      <c r="D16" s="12">
        <f>IFERROR(D12/D5,0)</f>
        <v/>
      </c>
      <c r="E16" s="12">
        <f>IFERROR(E12/E5,0)</f>
        <v/>
      </c>
      <c r="F16" s="12">
        <f>IFERROR(F12/F5,0)</f>
        <v/>
      </c>
      <c r="G16" s="12">
        <f>IFERROR(G12/G5,0)</f>
        <v/>
      </c>
      <c r="H16" s="12">
        <f>IFERROR(H12/H5,0)</f>
        <v/>
      </c>
      <c r="I16" s="12">
        <f>IFERROR(I12/I5,0)</f>
        <v/>
      </c>
      <c r="J16" s="12">
        <f>IFERROR(J12/J5,0)</f>
        <v/>
      </c>
      <c r="K16" s="12">
        <f>IFERROR(K12/K5,0)</f>
        <v/>
      </c>
      <c r="L16" s="12">
        <f>IFERROR(L12/L5,0)</f>
        <v/>
      </c>
      <c r="M16" s="12">
        <f>IFERROR(M12/M5,0)</f>
        <v/>
      </c>
      <c r="N16" s="12">
        <f>IFERROR(N12/N5,0)</f>
        <v/>
      </c>
      <c r="O16" s="12">
        <f>IFERROR(O12/O5,0)</f>
        <v/>
      </c>
      <c r="P16" s="12">
        <f>SUM(D16:O16)</f>
        <v/>
      </c>
      <c r="Q16" s="12" t="n"/>
    </row>
    <row r="17" hidden="1" outlineLevel="2" ht="12" customHeight="1">
      <c r="A17" s="9" t="inlineStr">
        <is>
          <t xml:space="preserve">    Logistics</t>
        </is>
      </c>
      <c r="B17" s="10" t="n"/>
      <c r="C17" s="10" t="n"/>
      <c r="D17" s="10">
        <f>SUM(D18:D18)</f>
        <v/>
      </c>
      <c r="E17" s="10">
        <f>SUM(E18:E18)</f>
        <v/>
      </c>
      <c r="F17" s="10">
        <f>SUM(F18:F18)</f>
        <v/>
      </c>
      <c r="G17" s="10">
        <f>SUM(G18:G18)</f>
        <v/>
      </c>
      <c r="H17" s="10">
        <f>SUM(H18:H18)</f>
        <v/>
      </c>
      <c r="I17" s="10">
        <f>SUM(I18:I18)</f>
        <v/>
      </c>
      <c r="J17" s="10">
        <f>SUM(J18:J18)</f>
        <v/>
      </c>
      <c r="K17" s="10">
        <f>SUM(K18:K18)</f>
        <v/>
      </c>
      <c r="L17" s="10">
        <f>SUM(L18:L18)</f>
        <v/>
      </c>
      <c r="M17" s="10">
        <f>SUM(M18:M18)</f>
        <v/>
      </c>
      <c r="N17" s="10">
        <f>SUM(N18:N18)</f>
        <v/>
      </c>
      <c r="O17" s="10">
        <f>SUM(O18:O18)</f>
        <v/>
      </c>
      <c r="P17" s="10">
        <f>SUM(D17:O17)</f>
        <v/>
      </c>
      <c r="Q17" s="10" t="inlineStr">
        <is>
          <t>-&gt;</t>
        </is>
      </c>
    </row>
    <row r="18" hidden="1" outlineLevel="3" ht="12" customHeight="1">
      <c r="A18" t="inlineStr">
        <is>
          <t xml:space="preserve">      TGI</t>
        </is>
      </c>
      <c r="B18" s="4" t="n"/>
      <c r="C18" s="4" t="n"/>
      <c r="D18" s="4">
        <f>SUMIFS('g-expenses-inc'!$K:$K,'g-expenses-inc'!$A:$A,D$1,'g-expenses-inc'!$D:$D,"logistics",'g-expenses-inc'!$E:$E,TRIM($A18))</f>
        <v/>
      </c>
      <c r="E18" s="4">
        <f>SUMIFS('g-expenses-inc'!$K:$K,'g-expenses-inc'!$A:$A,E$1,'g-expenses-inc'!$D:$D,"logistics",'g-expenses-inc'!$E:$E,TRIM($A18))</f>
        <v/>
      </c>
      <c r="F18" s="4">
        <f>SUMIFS('g-expenses-inc'!$K:$K,'g-expenses-inc'!$A:$A,F$1,'g-expenses-inc'!$D:$D,"logistics",'g-expenses-inc'!$E:$E,TRIM($A18))</f>
        <v/>
      </c>
      <c r="G18" s="4">
        <f>SUMIFS('g-expenses-inc'!$K:$K,'g-expenses-inc'!$A:$A,G$1,'g-expenses-inc'!$D:$D,"logistics",'g-expenses-inc'!$E:$E,TRIM($A18))</f>
        <v/>
      </c>
      <c r="H18" s="4">
        <f>SUMIFS('g-expenses-inc'!$K:$K,'g-expenses-inc'!$A:$A,H$1,'g-expenses-inc'!$D:$D,"logistics",'g-expenses-inc'!$E:$E,TRIM($A18))</f>
        <v/>
      </c>
      <c r="I18" s="4">
        <f>SUMIFS('g-expenses-inc'!$K:$K,'g-expenses-inc'!$A:$A,I$1,'g-expenses-inc'!$D:$D,"logistics",'g-expenses-inc'!$E:$E,TRIM($A18))</f>
        <v/>
      </c>
      <c r="J18" s="4">
        <f>SUMIFS('g-expenses-inc'!$K:$K,'g-expenses-inc'!$A:$A,J$1,'g-expenses-inc'!$D:$D,"logistics",'g-expenses-inc'!$E:$E,TRIM($A18))</f>
        <v/>
      </c>
      <c r="K18" s="4">
        <f>SUMIFS('g-expenses-inc'!$K:$K,'g-expenses-inc'!$A:$A,K$1,'g-expenses-inc'!$D:$D,"logistics",'g-expenses-inc'!$E:$E,TRIM($A18))</f>
        <v/>
      </c>
      <c r="L18" s="4">
        <f>SUMIFS('g-expenses-inc'!$K:$K,'g-expenses-inc'!$A:$A,L$1,'g-expenses-inc'!$D:$D,"logistics",'g-expenses-inc'!$E:$E,TRIM($A18))</f>
        <v/>
      </c>
      <c r="M18" s="4">
        <f>SUMIFS('g-expenses-inc'!$K:$K,'g-expenses-inc'!$A:$A,M$1,'g-expenses-inc'!$D:$D,"logistics",'g-expenses-inc'!$E:$E,TRIM($A18))</f>
        <v/>
      </c>
      <c r="N18" s="4">
        <f>SUMIFS('g-expenses-inc'!$K:$K,'g-expenses-inc'!$A:$A,N$1,'g-expenses-inc'!$D:$D,"logistics",'g-expenses-inc'!$E:$E,TRIM($A18))</f>
        <v/>
      </c>
      <c r="O18" s="4">
        <f>SUMIFS('g-expenses-inc'!$K:$K,'g-expenses-inc'!$A:$A,O$1,'g-expenses-inc'!$D:$D,"logistics",'g-expenses-inc'!$E:$E,TRIM($A18))</f>
        <v/>
      </c>
      <c r="P18" s="4">
        <f>SUM(D18:O18)</f>
        <v/>
      </c>
      <c r="Q18" s="4" t="inlineStr">
        <is>
          <t>-&gt;</t>
        </is>
      </c>
    </row>
    <row r="19" hidden="1" outlineLevel="2" ht="12" customHeight="1">
      <c r="A19" s="11" t="inlineStr">
        <is>
          <t xml:space="preserve">    % Logistics / sales</t>
        </is>
      </c>
      <c r="B19" s="12" t="n"/>
      <c r="C19" s="12" t="n"/>
      <c r="D19" s="12">
        <f>IFERROR(D17/D5,0)</f>
        <v/>
      </c>
      <c r="E19" s="12">
        <f>IFERROR(E17/E5,0)</f>
        <v/>
      </c>
      <c r="F19" s="12">
        <f>IFERROR(F17/F5,0)</f>
        <v/>
      </c>
      <c r="G19" s="12">
        <f>IFERROR(G17/G5,0)</f>
        <v/>
      </c>
      <c r="H19" s="12">
        <f>IFERROR(H17/H5,0)</f>
        <v/>
      </c>
      <c r="I19" s="12">
        <f>IFERROR(I17/I5,0)</f>
        <v/>
      </c>
      <c r="J19" s="12">
        <f>IFERROR(J17/J5,0)</f>
        <v/>
      </c>
      <c r="K19" s="12">
        <f>IFERROR(K17/K5,0)</f>
        <v/>
      </c>
      <c r="L19" s="12">
        <f>IFERROR(L17/L5,0)</f>
        <v/>
      </c>
      <c r="M19" s="12">
        <f>IFERROR(M17/M5,0)</f>
        <v/>
      </c>
      <c r="N19" s="12">
        <f>IFERROR(N17/N5,0)</f>
        <v/>
      </c>
      <c r="O19" s="12">
        <f>IFERROR(O17/O5,0)</f>
        <v/>
      </c>
      <c r="P19" s="12">
        <f>SUM(D19:O19)</f>
        <v/>
      </c>
      <c r="Q19" s="12" t="n"/>
    </row>
    <row r="20" hidden="1" outlineLevel="2" ht="12" customHeight="1">
      <c r="A20" s="9" t="inlineStr">
        <is>
          <t xml:space="preserve">    Payment fees</t>
        </is>
      </c>
      <c r="B20" s="10" t="n"/>
      <c r="C20" s="10" t="n"/>
      <c r="D20" s="10">
        <f>SUM(D21:D21)</f>
        <v/>
      </c>
      <c r="E20" s="10">
        <f>SUM(E21:E21)</f>
        <v/>
      </c>
      <c r="F20" s="10">
        <f>SUM(F21:F21)</f>
        <v/>
      </c>
      <c r="G20" s="10">
        <f>SUM(G21:G21)</f>
        <v/>
      </c>
      <c r="H20" s="10">
        <f>SUM(H21:H21)</f>
        <v/>
      </c>
      <c r="I20" s="10">
        <f>SUM(I21:I21)</f>
        <v/>
      </c>
      <c r="J20" s="10">
        <f>SUM(J21:J21)</f>
        <v/>
      </c>
      <c r="K20" s="10">
        <f>SUM(K21:K21)</f>
        <v/>
      </c>
      <c r="L20" s="10">
        <f>SUM(L21:L21)</f>
        <v/>
      </c>
      <c r="M20" s="10">
        <f>SUM(M21:M21)</f>
        <v/>
      </c>
      <c r="N20" s="10">
        <f>SUM(N21:N21)</f>
        <v/>
      </c>
      <c r="O20" s="10">
        <f>SUM(O21:O21)</f>
        <v/>
      </c>
      <c r="P20" s="10">
        <f>SUM(D20:O20)</f>
        <v/>
      </c>
      <c r="Q20" s="10" t="inlineStr">
        <is>
          <t>-&gt;</t>
        </is>
      </c>
    </row>
    <row r="21" hidden="1" outlineLevel="3" ht="12" customHeight="1">
      <c r="A21" t="inlineStr">
        <is>
          <t xml:space="preserve">      SHOPIFY</t>
        </is>
      </c>
      <c r="B21" s="4" t="n"/>
      <c r="C21" s="4" t="n"/>
      <c r="D21" s="4">
        <f>SUMIFS('g-payment-fees-inc'!$H:$H,'g-payment-fees-inc'!$A:$A,D$1,'g-payment-fees-inc'!$C:$C,TRIM($A21))</f>
        <v/>
      </c>
      <c r="E21" s="4">
        <f>SUMIFS('g-payment-fees-inc'!$H:$H,'g-payment-fees-inc'!$A:$A,E$1,'g-payment-fees-inc'!$C:$C,TRIM($A21))</f>
        <v/>
      </c>
      <c r="F21" s="4">
        <f>SUMIFS('g-payment-fees-inc'!$H:$H,'g-payment-fees-inc'!$A:$A,F$1,'g-payment-fees-inc'!$C:$C,TRIM($A21))</f>
        <v/>
      </c>
      <c r="G21" s="4">
        <f>SUMIFS('g-payment-fees-inc'!$H:$H,'g-payment-fees-inc'!$A:$A,G$1,'g-payment-fees-inc'!$C:$C,TRIM($A21))</f>
        <v/>
      </c>
      <c r="H21" s="4">
        <f>SUMIFS('g-payment-fees-inc'!$H:$H,'g-payment-fees-inc'!$A:$A,H$1,'g-payment-fees-inc'!$C:$C,TRIM($A21))</f>
        <v/>
      </c>
      <c r="I21" s="4">
        <f>SUMIFS('g-payment-fees-inc'!$H:$H,'g-payment-fees-inc'!$A:$A,I$1,'g-payment-fees-inc'!$C:$C,TRIM($A21))</f>
        <v/>
      </c>
      <c r="J21" s="4">
        <f>SUMIFS('g-payment-fees-inc'!$H:$H,'g-payment-fees-inc'!$A:$A,J$1,'g-payment-fees-inc'!$C:$C,TRIM($A21))</f>
        <v/>
      </c>
      <c r="K21" s="4">
        <f>SUMIFS('g-payment-fees-inc'!$H:$H,'g-payment-fees-inc'!$A:$A,K$1,'g-payment-fees-inc'!$C:$C,TRIM($A21))</f>
        <v/>
      </c>
      <c r="L21" s="4">
        <f>SUMIFS('g-payment-fees-inc'!$H:$H,'g-payment-fees-inc'!$A:$A,L$1,'g-payment-fees-inc'!$C:$C,TRIM($A21))</f>
        <v/>
      </c>
      <c r="M21" s="4">
        <f>SUMIFS('g-payment-fees-inc'!$H:$H,'g-payment-fees-inc'!$A:$A,M$1,'g-payment-fees-inc'!$C:$C,TRIM($A21))</f>
        <v/>
      </c>
      <c r="N21" s="4">
        <f>SUMIFS('g-payment-fees-inc'!$H:$H,'g-payment-fees-inc'!$A:$A,N$1,'g-payment-fees-inc'!$C:$C,TRIM($A21))</f>
        <v/>
      </c>
      <c r="O21" s="4">
        <f>SUMIFS('g-payment-fees-inc'!$H:$H,'g-payment-fees-inc'!$A:$A,O$1,'g-payment-fees-inc'!$C:$C,TRIM($A21))</f>
        <v/>
      </c>
      <c r="P21" s="4">
        <f>SUM(D21:O21)</f>
        <v/>
      </c>
      <c r="Q21" s="4" t="inlineStr">
        <is>
          <t>-&gt;</t>
        </is>
      </c>
    </row>
    <row r="22" ht="12" customHeight="1"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>
        <f>SUM(D22:O22)</f>
        <v/>
      </c>
      <c r="Q22" s="4" t="n"/>
    </row>
    <row r="23" hidden="1" outlineLevel="2" ht="12" customHeight="1">
      <c r="A23" s="11" t="inlineStr">
        <is>
          <t xml:space="preserve">    % Payment fees / sales</t>
        </is>
      </c>
      <c r="B23" s="12" t="n"/>
      <c r="C23" s="12" t="n"/>
      <c r="D23" s="12">
        <f>IFERROR(D20/D5,0)</f>
        <v/>
      </c>
      <c r="E23" s="12">
        <f>IFERROR(E20/E5,0)</f>
        <v/>
      </c>
      <c r="F23" s="12">
        <f>IFERROR(F20/F5,0)</f>
        <v/>
      </c>
      <c r="G23" s="12">
        <f>IFERROR(G20/G5,0)</f>
        <v/>
      </c>
      <c r="H23" s="12">
        <f>IFERROR(H20/H5,0)</f>
        <v/>
      </c>
      <c r="I23" s="12">
        <f>IFERROR(I20/I5,0)</f>
        <v/>
      </c>
      <c r="J23" s="12">
        <f>IFERROR(J20/J5,0)</f>
        <v/>
      </c>
      <c r="K23" s="12">
        <f>IFERROR(K20/K5,0)</f>
        <v/>
      </c>
      <c r="L23" s="12">
        <f>IFERROR(L20/L5,0)</f>
        <v/>
      </c>
      <c r="M23" s="12">
        <f>IFERROR(M20/M5,0)</f>
        <v/>
      </c>
      <c r="N23" s="12">
        <f>IFERROR(N20/N5,0)</f>
        <v/>
      </c>
      <c r="O23" s="12">
        <f>IFERROR(O20/O5,0)</f>
        <v/>
      </c>
      <c r="P23" s="12">
        <f>SUM(D23:O23)</f>
        <v/>
      </c>
      <c r="Q23" s="12" t="n"/>
    </row>
    <row r="24" ht="12" customHeight="1"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>
        <f>SUM(D24:O24)</f>
        <v/>
      </c>
      <c r="Q24" s="4" t="n"/>
    </row>
    <row r="25" ht="12" customHeight="1">
      <c r="A25" s="13" t="inlineStr">
        <is>
          <t>GROSS MARGIN (SALES-MANUFACTURING)</t>
        </is>
      </c>
      <c r="B25" s="14" t="n"/>
      <c r="C25" s="14" t="n"/>
      <c r="D25" s="14">
        <f>D5-D12</f>
        <v/>
      </c>
      <c r="E25" s="14">
        <f>E5-E12</f>
        <v/>
      </c>
      <c r="F25" s="14">
        <f>F5-F12</f>
        <v/>
      </c>
      <c r="G25" s="14">
        <f>G5-G12</f>
        <v/>
      </c>
      <c r="H25" s="14">
        <f>H5-H12</f>
        <v/>
      </c>
      <c r="I25" s="14">
        <f>I5-I12</f>
        <v/>
      </c>
      <c r="J25" s="14">
        <f>J5-J12</f>
        <v/>
      </c>
      <c r="K25" s="14">
        <f>K5-K12</f>
        <v/>
      </c>
      <c r="L25" s="14">
        <f>L5-L12</f>
        <v/>
      </c>
      <c r="M25" s="14">
        <f>M5-M12</f>
        <v/>
      </c>
      <c r="N25" s="14">
        <f>N5-N12</f>
        <v/>
      </c>
      <c r="O25" s="14">
        <f>O5-O12</f>
        <v/>
      </c>
      <c r="P25" s="14">
        <f>SUM(D25:O25)</f>
        <v/>
      </c>
      <c r="Q25" s="14" t="n"/>
    </row>
    <row r="26" hidden="1" outlineLevel="1" ht="12" customHeight="1">
      <c r="A26" s="11" t="inlineStr">
        <is>
          <t>% GROSS MARGIN</t>
        </is>
      </c>
      <c r="B26" s="12" t="n"/>
      <c r="C26" s="12" t="n"/>
      <c r="D26" s="12">
        <f>IFERROR(D25/D5,0)</f>
        <v/>
      </c>
      <c r="E26" s="12">
        <f>IFERROR(E25/E5,0)</f>
        <v/>
      </c>
      <c r="F26" s="12">
        <f>IFERROR(F25/F5,0)</f>
        <v/>
      </c>
      <c r="G26" s="12">
        <f>IFERROR(G25/G5,0)</f>
        <v/>
      </c>
      <c r="H26" s="12">
        <f>IFERROR(H25/H5,0)</f>
        <v/>
      </c>
      <c r="I26" s="12">
        <f>IFERROR(I25/I5,0)</f>
        <v/>
      </c>
      <c r="J26" s="12">
        <f>IFERROR(J25/J5,0)</f>
        <v/>
      </c>
      <c r="K26" s="12">
        <f>IFERROR(K25/K5,0)</f>
        <v/>
      </c>
      <c r="L26" s="12">
        <f>IFERROR(L25/L5,0)</f>
        <v/>
      </c>
      <c r="M26" s="12">
        <f>IFERROR(M25/M5,0)</f>
        <v/>
      </c>
      <c r="N26" s="12">
        <f>IFERROR(N25/N5,0)</f>
        <v/>
      </c>
      <c r="O26" s="12">
        <f>IFERROR(O25/O5,0)</f>
        <v/>
      </c>
      <c r="P26" s="12">
        <f>SUM(D26:O26)</f>
        <v/>
      </c>
      <c r="Q26" s="12" t="n"/>
    </row>
    <row r="27" ht="12" customHeight="1">
      <c r="A27" s="13" t="inlineStr">
        <is>
          <t>CONTRIBUTIVE MARGIN (TURNOVER-COGS)</t>
        </is>
      </c>
      <c r="B27" s="14" t="n"/>
      <c r="C27" s="14" t="n"/>
      <c r="D27" s="14">
        <f>D4-D11</f>
        <v/>
      </c>
      <c r="E27" s="14">
        <f>E4-E11</f>
        <v/>
      </c>
      <c r="F27" s="14">
        <f>F4-F11</f>
        <v/>
      </c>
      <c r="G27" s="14">
        <f>G4-G11</f>
        <v/>
      </c>
      <c r="H27" s="14">
        <f>H4-H11</f>
        <v/>
      </c>
      <c r="I27" s="14">
        <f>I4-I11</f>
        <v/>
      </c>
      <c r="J27" s="14">
        <f>J4-J11</f>
        <v/>
      </c>
      <c r="K27" s="14">
        <f>K4-K11</f>
        <v/>
      </c>
      <c r="L27" s="14">
        <f>L4-L11</f>
        <v/>
      </c>
      <c r="M27" s="14">
        <f>M4-M11</f>
        <v/>
      </c>
      <c r="N27" s="14">
        <f>N4-N11</f>
        <v/>
      </c>
      <c r="O27" s="14">
        <f>O4-O11</f>
        <v/>
      </c>
      <c r="P27" s="14">
        <f>SUM(D27:O27)</f>
        <v/>
      </c>
      <c r="Q27" s="14" t="n"/>
    </row>
    <row r="28" hidden="1" outlineLevel="1" ht="12" customHeight="1">
      <c r="A28" s="11" t="inlineStr">
        <is>
          <t>% CONTRIBUTIVE MARGIN</t>
        </is>
      </c>
      <c r="B28" s="12" t="n"/>
      <c r="C28" s="12" t="n"/>
      <c r="D28" s="12">
        <f>IFERROR(D27/D4,0)</f>
        <v/>
      </c>
      <c r="E28" s="12">
        <f>IFERROR(E27/E4,0)</f>
        <v/>
      </c>
      <c r="F28" s="12">
        <f>IFERROR(F27/F4,0)</f>
        <v/>
      </c>
      <c r="G28" s="12">
        <f>IFERROR(G27/G4,0)</f>
        <v/>
      </c>
      <c r="H28" s="12">
        <f>IFERROR(H27/H4,0)</f>
        <v/>
      </c>
      <c r="I28" s="12">
        <f>IFERROR(I27/I4,0)</f>
        <v/>
      </c>
      <c r="J28" s="12">
        <f>IFERROR(J27/J4,0)</f>
        <v/>
      </c>
      <c r="K28" s="12">
        <f>IFERROR(K27/K4,0)</f>
        <v/>
      </c>
      <c r="L28" s="12">
        <f>IFERROR(L27/L4,0)</f>
        <v/>
      </c>
      <c r="M28" s="12">
        <f>IFERROR(M27/M4,0)</f>
        <v/>
      </c>
      <c r="N28" s="12">
        <f>IFERROR(N27/N4,0)</f>
        <v/>
      </c>
      <c r="O28" s="12">
        <f>IFERROR(O27/O4,0)</f>
        <v/>
      </c>
      <c r="P28" s="12">
        <f>SUM(D28:O28)</f>
        <v/>
      </c>
      <c r="Q28" s="12" t="n"/>
    </row>
    <row r="29" ht="12" customHeight="1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>
        <f>SUM(D29:O29)</f>
        <v/>
      </c>
      <c r="Q29" s="4" t="n"/>
    </row>
    <row r="30" outlineLevel="1" ht="12" customHeight="1">
      <c r="A30" s="7" t="inlineStr">
        <is>
          <t xml:space="preserve">  Opex</t>
        </is>
      </c>
      <c r="B30" s="8" t="n"/>
      <c r="C30" s="8" t="n"/>
      <c r="D30" s="8">
        <f>D31+D33+D38+D40</f>
        <v/>
      </c>
      <c r="E30" s="8">
        <f>E31+E33+E38+E40</f>
        <v/>
      </c>
      <c r="F30" s="8">
        <f>F31+F33+F38+F40</f>
        <v/>
      </c>
      <c r="G30" s="8">
        <f>G31+G33+G38+G40</f>
        <v/>
      </c>
      <c r="H30" s="8">
        <f>H31+H33+H38+H40</f>
        <v/>
      </c>
      <c r="I30" s="8">
        <f>I31+I33+I38+I40</f>
        <v/>
      </c>
      <c r="J30" s="8">
        <f>J31+J33+J38+J40</f>
        <v/>
      </c>
      <c r="K30" s="8">
        <f>K31+K33+K38+K40</f>
        <v/>
      </c>
      <c r="L30" s="8">
        <f>L31+L33+L38+L40</f>
        <v/>
      </c>
      <c r="M30" s="8">
        <f>M31+M33+M38+M40</f>
        <v/>
      </c>
      <c r="N30" s="8">
        <f>N31+N33+N38+N40</f>
        <v/>
      </c>
      <c r="O30" s="8">
        <f>O31+O33+O38+O40</f>
        <v/>
      </c>
      <c r="P30" s="8">
        <f>SUM(D30:O30)</f>
        <v/>
      </c>
      <c r="Q30" s="8" t="n"/>
    </row>
    <row r="31" hidden="1" outlineLevel="2" ht="12" customHeight="1">
      <c r="A31" s="9" t="inlineStr">
        <is>
          <t xml:space="preserve">    Shared services</t>
        </is>
      </c>
      <c r="B31" s="10" t="n"/>
      <c r="C31" s="10" t="n"/>
      <c r="D31" s="10">
        <f>SUM(D32:D32)</f>
        <v/>
      </c>
      <c r="E31" s="10">
        <f>SUM(E32:E32)</f>
        <v/>
      </c>
      <c r="F31" s="10">
        <f>SUM(F32:F32)</f>
        <v/>
      </c>
      <c r="G31" s="10">
        <f>SUM(G32:G32)</f>
        <v/>
      </c>
      <c r="H31" s="10">
        <f>SUM(H32:H32)</f>
        <v/>
      </c>
      <c r="I31" s="10">
        <f>SUM(I32:I32)</f>
        <v/>
      </c>
      <c r="J31" s="10">
        <f>SUM(J32:J32)</f>
        <v/>
      </c>
      <c r="K31" s="10">
        <f>SUM(K32:K32)</f>
        <v/>
      </c>
      <c r="L31" s="10">
        <f>SUM(L32:L32)</f>
        <v/>
      </c>
      <c r="M31" s="10">
        <f>SUM(M32:M32)</f>
        <v/>
      </c>
      <c r="N31" s="10">
        <f>SUM(N32:N32)</f>
        <v/>
      </c>
      <c r="O31" s="10">
        <f>SUM(O32:O32)</f>
        <v/>
      </c>
      <c r="P31" s="10">
        <f>SUM(D31:O31)</f>
        <v/>
      </c>
      <c r="Q31" s="10" t="inlineStr">
        <is>
          <t>-&gt;</t>
        </is>
      </c>
    </row>
    <row r="32" hidden="1" outlineLevel="3" ht="12" customHeight="1">
      <c r="A32" t="inlineStr">
        <is>
          <t xml:space="preserve">      SHAREDSERVICESSL</t>
        </is>
      </c>
      <c r="B32" s="4" t="n"/>
      <c r="C32" s="4" t="n"/>
      <c r="D32" s="4">
        <f>SUMIFS('g-expenses-inc'!$K:$K,'g-expenses-inc'!$A:$A,D$1,'g-expenses-inc'!$D:$D,"shared_services",'g-expenses-inc'!$E:$E,TRIM($A32))</f>
        <v/>
      </c>
      <c r="E32" s="4">
        <f>SUMIFS('g-expenses-inc'!$K:$K,'g-expenses-inc'!$A:$A,E$1,'g-expenses-inc'!$D:$D,"shared_services",'g-expenses-inc'!$E:$E,TRIM($A32))</f>
        <v/>
      </c>
      <c r="F32" s="4">
        <f>SUMIFS('g-expenses-inc'!$K:$K,'g-expenses-inc'!$A:$A,F$1,'g-expenses-inc'!$D:$D,"shared_services",'g-expenses-inc'!$E:$E,TRIM($A32))</f>
        <v/>
      </c>
      <c r="G32" s="4">
        <f>SUMIFS('g-expenses-inc'!$K:$K,'g-expenses-inc'!$A:$A,G$1,'g-expenses-inc'!$D:$D,"shared_services",'g-expenses-inc'!$E:$E,TRIM($A32))</f>
        <v/>
      </c>
      <c r="H32" s="4">
        <f>SUMIFS('g-expenses-inc'!$K:$K,'g-expenses-inc'!$A:$A,H$1,'g-expenses-inc'!$D:$D,"shared_services",'g-expenses-inc'!$E:$E,TRIM($A32))</f>
        <v/>
      </c>
      <c r="I32" s="4">
        <f>SUMIFS('g-expenses-inc'!$K:$K,'g-expenses-inc'!$A:$A,I$1,'g-expenses-inc'!$D:$D,"shared_services",'g-expenses-inc'!$E:$E,TRIM($A32))</f>
        <v/>
      </c>
      <c r="J32" s="4">
        <f>SUMIFS('g-expenses-inc'!$K:$K,'g-expenses-inc'!$A:$A,J$1,'g-expenses-inc'!$D:$D,"shared_services",'g-expenses-inc'!$E:$E,TRIM($A32))</f>
        <v/>
      </c>
      <c r="K32" s="4">
        <f>SUMIFS('g-expenses-inc'!$K:$K,'g-expenses-inc'!$A:$A,K$1,'g-expenses-inc'!$D:$D,"shared_services",'g-expenses-inc'!$E:$E,TRIM($A32))</f>
        <v/>
      </c>
      <c r="L32" s="4">
        <f>SUMIFS('g-expenses-inc'!$K:$K,'g-expenses-inc'!$A:$A,L$1,'g-expenses-inc'!$D:$D,"shared_services",'g-expenses-inc'!$E:$E,TRIM($A32))</f>
        <v/>
      </c>
      <c r="M32" s="4">
        <f>SUMIFS('g-expenses-inc'!$K:$K,'g-expenses-inc'!$A:$A,M$1,'g-expenses-inc'!$D:$D,"shared_services",'g-expenses-inc'!$E:$E,TRIM($A32))</f>
        <v/>
      </c>
      <c r="N32" s="4">
        <f>SUMIFS('g-expenses-inc'!$K:$K,'g-expenses-inc'!$A:$A,N$1,'g-expenses-inc'!$D:$D,"shared_services",'g-expenses-inc'!$E:$E,TRIM($A32))</f>
        <v/>
      </c>
      <c r="O32" s="4">
        <f>SUMIFS('g-expenses-inc'!$K:$K,'g-expenses-inc'!$A:$A,O$1,'g-expenses-inc'!$D:$D,"shared_services",'g-expenses-inc'!$E:$E,TRIM($A32))</f>
        <v/>
      </c>
      <c r="P32" s="4">
        <f>SUM(D32:O32)</f>
        <v/>
      </c>
      <c r="Q32" s="4" t="inlineStr">
        <is>
          <t>-&gt;</t>
        </is>
      </c>
    </row>
    <row r="33" hidden="1" outlineLevel="2" ht="12" customHeight="1">
      <c r="A33" s="9" t="inlineStr">
        <is>
          <t xml:space="preserve">    Administration</t>
        </is>
      </c>
      <c r="B33" s="10" t="n"/>
      <c r="C33" s="10" t="n"/>
      <c r="D33" s="10">
        <f>SUM(D34:D37)</f>
        <v/>
      </c>
      <c r="E33" s="10">
        <f>SUM(E34:E37)</f>
        <v/>
      </c>
      <c r="F33" s="10">
        <f>SUM(F34:F37)</f>
        <v/>
      </c>
      <c r="G33" s="10">
        <f>SUM(G34:G37)</f>
        <v/>
      </c>
      <c r="H33" s="10">
        <f>SUM(H34:H37)</f>
        <v/>
      </c>
      <c r="I33" s="10">
        <f>SUM(I34:I37)</f>
        <v/>
      </c>
      <c r="J33" s="10">
        <f>SUM(J34:J37)</f>
        <v/>
      </c>
      <c r="K33" s="10">
        <f>SUM(K34:K37)</f>
        <v/>
      </c>
      <c r="L33" s="10">
        <f>SUM(L34:L37)</f>
        <v/>
      </c>
      <c r="M33" s="10">
        <f>SUM(M34:M37)</f>
        <v/>
      </c>
      <c r="N33" s="10">
        <f>SUM(N34:N37)</f>
        <v/>
      </c>
      <c r="O33" s="10">
        <f>SUM(O34:O37)</f>
        <v/>
      </c>
      <c r="P33" s="10">
        <f>SUM(D33:O33)</f>
        <v/>
      </c>
      <c r="Q33" s="10" t="inlineStr">
        <is>
          <t>-&gt;</t>
        </is>
      </c>
    </row>
    <row r="34" hidden="1" outlineLevel="3" ht="12" customHeight="1">
      <c r="A34" t="inlineStr">
        <is>
          <t xml:space="preserve">      CONTINUUM</t>
        </is>
      </c>
      <c r="B34" s="4" t="n"/>
      <c r="C34" s="4" t="n"/>
      <c r="D34" s="4">
        <f>SUMIFS('g-expenses-inc'!$K:$K,'g-expenses-inc'!$A:$A,D$1,'g-expenses-inc'!$D:$D,"administration",'g-expenses-inc'!$E:$E,TRIM($A34))</f>
        <v/>
      </c>
      <c r="E34" s="4">
        <f>SUMIFS('g-expenses-inc'!$K:$K,'g-expenses-inc'!$A:$A,E$1,'g-expenses-inc'!$D:$D,"administration",'g-expenses-inc'!$E:$E,TRIM($A34))</f>
        <v/>
      </c>
      <c r="F34" s="4">
        <f>SUMIFS('g-expenses-inc'!$K:$K,'g-expenses-inc'!$A:$A,F$1,'g-expenses-inc'!$D:$D,"administration",'g-expenses-inc'!$E:$E,TRIM($A34))</f>
        <v/>
      </c>
      <c r="G34" s="4">
        <f>SUMIFS('g-expenses-inc'!$K:$K,'g-expenses-inc'!$A:$A,G$1,'g-expenses-inc'!$D:$D,"administration",'g-expenses-inc'!$E:$E,TRIM($A34))</f>
        <v/>
      </c>
      <c r="H34" s="4">
        <f>SUMIFS('g-expenses-inc'!$K:$K,'g-expenses-inc'!$A:$A,H$1,'g-expenses-inc'!$D:$D,"administration",'g-expenses-inc'!$E:$E,TRIM($A34))</f>
        <v/>
      </c>
      <c r="I34" s="4">
        <f>SUMIFS('g-expenses-inc'!$K:$K,'g-expenses-inc'!$A:$A,I$1,'g-expenses-inc'!$D:$D,"administration",'g-expenses-inc'!$E:$E,TRIM($A34))</f>
        <v/>
      </c>
      <c r="J34" s="4">
        <f>SUMIFS('g-expenses-inc'!$K:$K,'g-expenses-inc'!$A:$A,J$1,'g-expenses-inc'!$D:$D,"administration",'g-expenses-inc'!$E:$E,TRIM($A34))</f>
        <v/>
      </c>
      <c r="K34" s="4">
        <f>SUMIFS('g-expenses-inc'!$K:$K,'g-expenses-inc'!$A:$A,K$1,'g-expenses-inc'!$D:$D,"administration",'g-expenses-inc'!$E:$E,TRIM($A34))</f>
        <v/>
      </c>
      <c r="L34" s="4">
        <f>SUMIFS('g-expenses-inc'!$K:$K,'g-expenses-inc'!$A:$A,L$1,'g-expenses-inc'!$D:$D,"administration",'g-expenses-inc'!$E:$E,TRIM($A34))</f>
        <v/>
      </c>
      <c r="M34" s="4">
        <f>SUMIFS('g-expenses-inc'!$K:$K,'g-expenses-inc'!$A:$A,M$1,'g-expenses-inc'!$D:$D,"administration",'g-expenses-inc'!$E:$E,TRIM($A34))</f>
        <v/>
      </c>
      <c r="N34" s="4">
        <f>SUMIFS('g-expenses-inc'!$K:$K,'g-expenses-inc'!$A:$A,N$1,'g-expenses-inc'!$D:$D,"administration",'g-expenses-inc'!$E:$E,TRIM($A34))</f>
        <v/>
      </c>
      <c r="O34" s="4">
        <f>SUMIFS('g-expenses-inc'!$K:$K,'g-expenses-inc'!$A:$A,O$1,'g-expenses-inc'!$D:$D,"administration",'g-expenses-inc'!$E:$E,TRIM($A34))</f>
        <v/>
      </c>
      <c r="P34" s="4">
        <f>SUM(D34:O34)</f>
        <v/>
      </c>
      <c r="Q34" s="4" t="inlineStr">
        <is>
          <t>-&gt;</t>
        </is>
      </c>
    </row>
    <row r="35" hidden="1" outlineLevel="3" ht="12" customHeight="1">
      <c r="A35" t="inlineStr">
        <is>
          <t xml:space="preserve">      HUSHED</t>
        </is>
      </c>
      <c r="B35" s="4" t="n"/>
      <c r="C35" s="4" t="n"/>
      <c r="D35" s="4">
        <f>SUMIFS('g-expenses-inc'!$K:$K,'g-expenses-inc'!$A:$A,D$1,'g-expenses-inc'!$D:$D,"administration",'g-expenses-inc'!$E:$E,TRIM($A35))</f>
        <v/>
      </c>
      <c r="E35" s="4">
        <f>SUMIFS('g-expenses-inc'!$K:$K,'g-expenses-inc'!$A:$A,E$1,'g-expenses-inc'!$D:$D,"administration",'g-expenses-inc'!$E:$E,TRIM($A35))</f>
        <v/>
      </c>
      <c r="F35" s="4">
        <f>SUMIFS('g-expenses-inc'!$K:$K,'g-expenses-inc'!$A:$A,F$1,'g-expenses-inc'!$D:$D,"administration",'g-expenses-inc'!$E:$E,TRIM($A35))</f>
        <v/>
      </c>
      <c r="G35" s="4">
        <f>SUMIFS('g-expenses-inc'!$K:$K,'g-expenses-inc'!$A:$A,G$1,'g-expenses-inc'!$D:$D,"administration",'g-expenses-inc'!$E:$E,TRIM($A35))</f>
        <v/>
      </c>
      <c r="H35" s="4">
        <f>SUMIFS('g-expenses-inc'!$K:$K,'g-expenses-inc'!$A:$A,H$1,'g-expenses-inc'!$D:$D,"administration",'g-expenses-inc'!$E:$E,TRIM($A35))</f>
        <v/>
      </c>
      <c r="I35" s="4">
        <f>SUMIFS('g-expenses-inc'!$K:$K,'g-expenses-inc'!$A:$A,I$1,'g-expenses-inc'!$D:$D,"administration",'g-expenses-inc'!$E:$E,TRIM($A35))</f>
        <v/>
      </c>
      <c r="J35" s="4">
        <f>SUMIFS('g-expenses-inc'!$K:$K,'g-expenses-inc'!$A:$A,J$1,'g-expenses-inc'!$D:$D,"administration",'g-expenses-inc'!$E:$E,TRIM($A35))</f>
        <v/>
      </c>
      <c r="K35" s="4">
        <f>SUMIFS('g-expenses-inc'!$K:$K,'g-expenses-inc'!$A:$A,K$1,'g-expenses-inc'!$D:$D,"administration",'g-expenses-inc'!$E:$E,TRIM($A35))</f>
        <v/>
      </c>
      <c r="L35" s="4">
        <f>SUMIFS('g-expenses-inc'!$K:$K,'g-expenses-inc'!$A:$A,L$1,'g-expenses-inc'!$D:$D,"administration",'g-expenses-inc'!$E:$E,TRIM($A35))</f>
        <v/>
      </c>
      <c r="M35" s="4">
        <f>SUMIFS('g-expenses-inc'!$K:$K,'g-expenses-inc'!$A:$A,M$1,'g-expenses-inc'!$D:$D,"administration",'g-expenses-inc'!$E:$E,TRIM($A35))</f>
        <v/>
      </c>
      <c r="N35" s="4">
        <f>SUMIFS('g-expenses-inc'!$K:$K,'g-expenses-inc'!$A:$A,N$1,'g-expenses-inc'!$D:$D,"administration",'g-expenses-inc'!$E:$E,TRIM($A35))</f>
        <v/>
      </c>
      <c r="O35" s="4">
        <f>SUMIFS('g-expenses-inc'!$K:$K,'g-expenses-inc'!$A:$A,O$1,'g-expenses-inc'!$D:$D,"administration",'g-expenses-inc'!$E:$E,TRIM($A35))</f>
        <v/>
      </c>
      <c r="P35" s="4">
        <f>SUM(D35:O35)</f>
        <v/>
      </c>
      <c r="Q35" s="4" t="n"/>
    </row>
    <row r="36" hidden="1" outlineLevel="3" ht="12" customHeight="1">
      <c r="A36" t="inlineStr">
        <is>
          <t xml:space="preserve">      IPOSTAL</t>
        </is>
      </c>
      <c r="B36" s="4" t="n"/>
      <c r="C36" s="4" t="n"/>
      <c r="D36" s="4">
        <f>SUMIFS('g-expenses-inc'!$K:$K,'g-expenses-inc'!$A:$A,D$1,'g-expenses-inc'!$D:$D,"administration",'g-expenses-inc'!$E:$E,TRIM($A36))</f>
        <v/>
      </c>
      <c r="E36" s="4">
        <f>SUMIFS('g-expenses-inc'!$K:$K,'g-expenses-inc'!$A:$A,E$1,'g-expenses-inc'!$D:$D,"administration",'g-expenses-inc'!$E:$E,TRIM($A36))</f>
        <v/>
      </c>
      <c r="F36" s="4">
        <f>SUMIFS('g-expenses-inc'!$K:$K,'g-expenses-inc'!$A:$A,F$1,'g-expenses-inc'!$D:$D,"administration",'g-expenses-inc'!$E:$E,TRIM($A36))</f>
        <v/>
      </c>
      <c r="G36" s="4">
        <f>SUMIFS('g-expenses-inc'!$K:$K,'g-expenses-inc'!$A:$A,G$1,'g-expenses-inc'!$D:$D,"administration",'g-expenses-inc'!$E:$E,TRIM($A36))</f>
        <v/>
      </c>
      <c r="H36" s="4">
        <f>SUMIFS('g-expenses-inc'!$K:$K,'g-expenses-inc'!$A:$A,H$1,'g-expenses-inc'!$D:$D,"administration",'g-expenses-inc'!$E:$E,TRIM($A36))</f>
        <v/>
      </c>
      <c r="I36" s="4">
        <f>SUMIFS('g-expenses-inc'!$K:$K,'g-expenses-inc'!$A:$A,I$1,'g-expenses-inc'!$D:$D,"administration",'g-expenses-inc'!$E:$E,TRIM($A36))</f>
        <v/>
      </c>
      <c r="J36" s="4">
        <f>SUMIFS('g-expenses-inc'!$K:$K,'g-expenses-inc'!$A:$A,J$1,'g-expenses-inc'!$D:$D,"administration",'g-expenses-inc'!$E:$E,TRIM($A36))</f>
        <v/>
      </c>
      <c r="K36" s="4">
        <f>SUMIFS('g-expenses-inc'!$K:$K,'g-expenses-inc'!$A:$A,K$1,'g-expenses-inc'!$D:$D,"administration",'g-expenses-inc'!$E:$E,TRIM($A36))</f>
        <v/>
      </c>
      <c r="L36" s="4">
        <f>SUMIFS('g-expenses-inc'!$K:$K,'g-expenses-inc'!$A:$A,L$1,'g-expenses-inc'!$D:$D,"administration",'g-expenses-inc'!$E:$E,TRIM($A36))</f>
        <v/>
      </c>
      <c r="M36" s="4">
        <f>SUMIFS('g-expenses-inc'!$K:$K,'g-expenses-inc'!$A:$A,M$1,'g-expenses-inc'!$D:$D,"administration",'g-expenses-inc'!$E:$E,TRIM($A36))</f>
        <v/>
      </c>
      <c r="N36" s="4">
        <f>SUMIFS('g-expenses-inc'!$K:$K,'g-expenses-inc'!$A:$A,N$1,'g-expenses-inc'!$D:$D,"administration",'g-expenses-inc'!$E:$E,TRIM($A36))</f>
        <v/>
      </c>
      <c r="O36" s="4">
        <f>SUMIFS('g-expenses-inc'!$K:$K,'g-expenses-inc'!$A:$A,O$1,'g-expenses-inc'!$D:$D,"administration",'g-expenses-inc'!$E:$E,TRIM($A36))</f>
        <v/>
      </c>
      <c r="P36" s="4">
        <f>SUM(D36:O36)</f>
        <v/>
      </c>
      <c r="Q36" s="4" t="n"/>
    </row>
    <row r="37" hidden="1" outlineLevel="3" ht="12" customHeight="1">
      <c r="A37" t="inlineStr">
        <is>
          <t xml:space="preserve">      REGUS</t>
        </is>
      </c>
      <c r="B37" s="4" t="n"/>
      <c r="C37" s="4" t="n"/>
      <c r="D37" s="4">
        <f>SUMIFS('g-expenses-inc'!$K:$K,'g-expenses-inc'!$A:$A,D$1,'g-expenses-inc'!$D:$D,"administration",'g-expenses-inc'!$E:$E,TRIM($A37))</f>
        <v/>
      </c>
      <c r="E37" s="4">
        <f>SUMIFS('g-expenses-inc'!$K:$K,'g-expenses-inc'!$A:$A,E$1,'g-expenses-inc'!$D:$D,"administration",'g-expenses-inc'!$E:$E,TRIM($A37))</f>
        <v/>
      </c>
      <c r="F37" s="4">
        <f>SUMIFS('g-expenses-inc'!$K:$K,'g-expenses-inc'!$A:$A,F$1,'g-expenses-inc'!$D:$D,"administration",'g-expenses-inc'!$E:$E,TRIM($A37))</f>
        <v/>
      </c>
      <c r="G37" s="4">
        <f>SUMIFS('g-expenses-inc'!$K:$K,'g-expenses-inc'!$A:$A,G$1,'g-expenses-inc'!$D:$D,"administration",'g-expenses-inc'!$E:$E,TRIM($A37))</f>
        <v/>
      </c>
      <c r="H37" s="4">
        <f>SUMIFS('g-expenses-inc'!$K:$K,'g-expenses-inc'!$A:$A,H$1,'g-expenses-inc'!$D:$D,"administration",'g-expenses-inc'!$E:$E,TRIM($A37))</f>
        <v/>
      </c>
      <c r="I37" s="4">
        <f>SUMIFS('g-expenses-inc'!$K:$K,'g-expenses-inc'!$A:$A,I$1,'g-expenses-inc'!$D:$D,"administration",'g-expenses-inc'!$E:$E,TRIM($A37))</f>
        <v/>
      </c>
      <c r="J37" s="4">
        <f>SUMIFS('g-expenses-inc'!$K:$K,'g-expenses-inc'!$A:$A,J$1,'g-expenses-inc'!$D:$D,"administration",'g-expenses-inc'!$E:$E,TRIM($A37))</f>
        <v/>
      </c>
      <c r="K37" s="4">
        <f>SUMIFS('g-expenses-inc'!$K:$K,'g-expenses-inc'!$A:$A,K$1,'g-expenses-inc'!$D:$D,"administration",'g-expenses-inc'!$E:$E,TRIM($A37))</f>
        <v/>
      </c>
      <c r="L37" s="4">
        <f>SUMIFS('g-expenses-inc'!$K:$K,'g-expenses-inc'!$A:$A,L$1,'g-expenses-inc'!$D:$D,"administration",'g-expenses-inc'!$E:$E,TRIM($A37))</f>
        <v/>
      </c>
      <c r="M37" s="4">
        <f>SUMIFS('g-expenses-inc'!$K:$K,'g-expenses-inc'!$A:$A,M$1,'g-expenses-inc'!$D:$D,"administration",'g-expenses-inc'!$E:$E,TRIM($A37))</f>
        <v/>
      </c>
      <c r="N37" s="4">
        <f>SUMIFS('g-expenses-inc'!$K:$K,'g-expenses-inc'!$A:$A,N$1,'g-expenses-inc'!$D:$D,"administration",'g-expenses-inc'!$E:$E,TRIM($A37))</f>
        <v/>
      </c>
      <c r="O37" s="4">
        <f>SUMIFS('g-expenses-inc'!$K:$K,'g-expenses-inc'!$A:$A,O$1,'g-expenses-inc'!$D:$D,"administration",'g-expenses-inc'!$E:$E,TRIM($A37))</f>
        <v/>
      </c>
      <c r="P37" s="4">
        <f>SUM(D37:O37)</f>
        <v/>
      </c>
      <c r="Q37" s="4" t="n"/>
    </row>
    <row r="38" hidden="1" outlineLevel="2" ht="12" customHeight="1">
      <c r="A38" s="9" t="inlineStr">
        <is>
          <t xml:space="preserve">    Technology</t>
        </is>
      </c>
      <c r="B38" s="10" t="n"/>
      <c r="C38" s="10" t="n"/>
      <c r="D38" s="10">
        <f>SUM(D39:D39)</f>
        <v/>
      </c>
      <c r="E38" s="10">
        <f>SUM(E39:E39)</f>
        <v/>
      </c>
      <c r="F38" s="10">
        <f>SUM(F39:F39)</f>
        <v/>
      </c>
      <c r="G38" s="10">
        <f>SUM(G39:G39)</f>
        <v/>
      </c>
      <c r="H38" s="10">
        <f>SUM(H39:H39)</f>
        <v/>
      </c>
      <c r="I38" s="10">
        <f>SUM(I39:I39)</f>
        <v/>
      </c>
      <c r="J38" s="10">
        <f>SUM(J39:J39)</f>
        <v/>
      </c>
      <c r="K38" s="10">
        <f>SUM(K39:K39)</f>
        <v/>
      </c>
      <c r="L38" s="10">
        <f>SUM(L39:L39)</f>
        <v/>
      </c>
      <c r="M38" s="10">
        <f>SUM(M39:M39)</f>
        <v/>
      </c>
      <c r="N38" s="10">
        <f>SUM(N39:N39)</f>
        <v/>
      </c>
      <c r="O38" s="10">
        <f>SUM(O39:O39)</f>
        <v/>
      </c>
      <c r="P38" s="10">
        <f>SUM(D38:O38)</f>
        <v/>
      </c>
      <c r="Q38" s="10" t="inlineStr">
        <is>
          <t>-&gt;</t>
        </is>
      </c>
    </row>
    <row r="39" hidden="1" outlineLevel="3" ht="12" customHeight="1">
      <c r="A39" t="inlineStr">
        <is>
          <t xml:space="preserve">      REVER</t>
        </is>
      </c>
      <c r="B39" s="4" t="n"/>
      <c r="C39" s="4" t="n"/>
      <c r="D39" s="4">
        <f>SUMIFS('g-expenses-inc'!$K:$K,'g-expenses-inc'!$A:$A,D$1,'g-expenses-inc'!$D:$D,"technology",'g-expenses-inc'!$E:$E,TRIM($A39))</f>
        <v/>
      </c>
      <c r="E39" s="4">
        <f>SUMIFS('g-expenses-inc'!$K:$K,'g-expenses-inc'!$A:$A,E$1,'g-expenses-inc'!$D:$D,"technology",'g-expenses-inc'!$E:$E,TRIM($A39))</f>
        <v/>
      </c>
      <c r="F39" s="4">
        <f>SUMIFS('g-expenses-inc'!$K:$K,'g-expenses-inc'!$A:$A,F$1,'g-expenses-inc'!$D:$D,"technology",'g-expenses-inc'!$E:$E,TRIM($A39))</f>
        <v/>
      </c>
      <c r="G39" s="4">
        <f>SUMIFS('g-expenses-inc'!$K:$K,'g-expenses-inc'!$A:$A,G$1,'g-expenses-inc'!$D:$D,"technology",'g-expenses-inc'!$E:$E,TRIM($A39))</f>
        <v/>
      </c>
      <c r="H39" s="4">
        <f>SUMIFS('g-expenses-inc'!$K:$K,'g-expenses-inc'!$A:$A,H$1,'g-expenses-inc'!$D:$D,"technology",'g-expenses-inc'!$E:$E,TRIM($A39))</f>
        <v/>
      </c>
      <c r="I39" s="4">
        <f>SUMIFS('g-expenses-inc'!$K:$K,'g-expenses-inc'!$A:$A,I$1,'g-expenses-inc'!$D:$D,"technology",'g-expenses-inc'!$E:$E,TRIM($A39))</f>
        <v/>
      </c>
      <c r="J39" s="4">
        <f>SUMIFS('g-expenses-inc'!$K:$K,'g-expenses-inc'!$A:$A,J$1,'g-expenses-inc'!$D:$D,"technology",'g-expenses-inc'!$E:$E,TRIM($A39))</f>
        <v/>
      </c>
      <c r="K39" s="4">
        <f>SUMIFS('g-expenses-inc'!$K:$K,'g-expenses-inc'!$A:$A,K$1,'g-expenses-inc'!$D:$D,"technology",'g-expenses-inc'!$E:$E,TRIM($A39))</f>
        <v/>
      </c>
      <c r="L39" s="4">
        <f>SUMIFS('g-expenses-inc'!$K:$K,'g-expenses-inc'!$A:$A,L$1,'g-expenses-inc'!$D:$D,"technology",'g-expenses-inc'!$E:$E,TRIM($A39))</f>
        <v/>
      </c>
      <c r="M39" s="4">
        <f>SUMIFS('g-expenses-inc'!$K:$K,'g-expenses-inc'!$A:$A,M$1,'g-expenses-inc'!$D:$D,"technology",'g-expenses-inc'!$E:$E,TRIM($A39))</f>
        <v/>
      </c>
      <c r="N39" s="4">
        <f>SUMIFS('g-expenses-inc'!$K:$K,'g-expenses-inc'!$A:$A,N$1,'g-expenses-inc'!$D:$D,"technology",'g-expenses-inc'!$E:$E,TRIM($A39))</f>
        <v/>
      </c>
      <c r="O39" s="4">
        <f>SUMIFS('g-expenses-inc'!$K:$K,'g-expenses-inc'!$A:$A,O$1,'g-expenses-inc'!$D:$D,"technology",'g-expenses-inc'!$E:$E,TRIM($A39))</f>
        <v/>
      </c>
      <c r="P39" s="4">
        <f>SUM(D39:O39)</f>
        <v/>
      </c>
      <c r="Q39" s="4" t="inlineStr">
        <is>
          <t>-&gt;</t>
        </is>
      </c>
    </row>
    <row r="40" hidden="1" outlineLevel="2" ht="12" customHeight="1">
      <c r="A40" s="9" t="inlineStr">
        <is>
          <t xml:space="preserve">    Otros gastos</t>
        </is>
      </c>
      <c r="B40" s="10" t="n"/>
      <c r="C40" s="10" t="n"/>
      <c r="D40" s="10">
        <f>SUMIFS('g-expenses-inc'!$K:$K,'g-expenses-inc'!$A:$A,D$1,'g-expenses-inc'!$D:$D,"otros_gastos")</f>
        <v/>
      </c>
      <c r="E40" s="10">
        <f>SUMIFS('g-expenses-inc'!$K:$K,'g-expenses-inc'!$A:$A,E$1,'g-expenses-inc'!$D:$D,"otros_gastos")</f>
        <v/>
      </c>
      <c r="F40" s="10">
        <f>SUMIFS('g-expenses-inc'!$K:$K,'g-expenses-inc'!$A:$A,F$1,'g-expenses-inc'!$D:$D,"otros_gastos")</f>
        <v/>
      </c>
      <c r="G40" s="10">
        <f>SUMIFS('g-expenses-inc'!$K:$K,'g-expenses-inc'!$A:$A,G$1,'g-expenses-inc'!$D:$D,"otros_gastos")</f>
        <v/>
      </c>
      <c r="H40" s="10">
        <f>SUMIFS('g-expenses-inc'!$K:$K,'g-expenses-inc'!$A:$A,H$1,'g-expenses-inc'!$D:$D,"otros_gastos")</f>
        <v/>
      </c>
      <c r="I40" s="10">
        <f>SUMIFS('g-expenses-inc'!$K:$K,'g-expenses-inc'!$A:$A,I$1,'g-expenses-inc'!$D:$D,"otros_gastos")</f>
        <v/>
      </c>
      <c r="J40" s="10">
        <f>SUMIFS('g-expenses-inc'!$K:$K,'g-expenses-inc'!$A:$A,J$1,'g-expenses-inc'!$D:$D,"otros_gastos")</f>
        <v/>
      </c>
      <c r="K40" s="10">
        <f>SUMIFS('g-expenses-inc'!$K:$K,'g-expenses-inc'!$A:$A,K$1,'g-expenses-inc'!$D:$D,"otros_gastos")</f>
        <v/>
      </c>
      <c r="L40" s="10">
        <f>SUMIFS('g-expenses-inc'!$K:$K,'g-expenses-inc'!$A:$A,L$1,'g-expenses-inc'!$D:$D,"otros_gastos")</f>
        <v/>
      </c>
      <c r="M40" s="10">
        <f>SUMIFS('g-expenses-inc'!$K:$K,'g-expenses-inc'!$A:$A,M$1,'g-expenses-inc'!$D:$D,"otros_gastos")</f>
        <v/>
      </c>
      <c r="N40" s="10">
        <f>SUMIFS('g-expenses-inc'!$K:$K,'g-expenses-inc'!$A:$A,N$1,'g-expenses-inc'!$D:$D,"otros_gastos")</f>
        <v/>
      </c>
      <c r="O40" s="10">
        <f>SUMIFS('g-expenses-inc'!$K:$K,'g-expenses-inc'!$A:$A,O$1,'g-expenses-inc'!$D:$D,"otros_gastos")</f>
        <v/>
      </c>
      <c r="P40" s="10">
        <f>SUM(D40:O40)</f>
        <v/>
      </c>
      <c r="Q40" s="10" t="inlineStr">
        <is>
          <t>-&gt;</t>
        </is>
      </c>
    </row>
    <row r="41" hidden="1" outlineLevel="2" ht="12" customHeight="1">
      <c r="A41" s="9" t="inlineStr">
        <is>
          <t xml:space="preserve">  Diferencias divisas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>
        <f>SUM(D41:O41)</f>
        <v/>
      </c>
      <c r="Q41" s="10" t="n"/>
    </row>
    <row r="42" ht="12" customHeight="1"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>
        <f>SUM(D42:O42)</f>
        <v/>
      </c>
      <c r="Q42" s="4" t="n"/>
    </row>
    <row r="43" ht="12" customHeight="1">
      <c r="A43" s="13" t="inlineStr">
        <is>
          <t>PROFIT</t>
        </is>
      </c>
      <c r="B43" s="14" t="n"/>
      <c r="C43" s="14" t="n"/>
      <c r="D43" s="14">
        <f>D4-D11-D30-D41</f>
        <v/>
      </c>
      <c r="E43" s="14">
        <f>E4-E11-E30-E41</f>
        <v/>
      </c>
      <c r="F43" s="14">
        <f>F4-F11-F30-F41</f>
        <v/>
      </c>
      <c r="G43" s="14">
        <f>G4-G11-G30-G41</f>
        <v/>
      </c>
      <c r="H43" s="14">
        <f>H4-H11-H30-H41</f>
        <v/>
      </c>
      <c r="I43" s="14">
        <f>I4-I11-I30-I41</f>
        <v/>
      </c>
      <c r="J43" s="14">
        <f>J4-J11-J30-J41</f>
        <v/>
      </c>
      <c r="K43" s="14">
        <f>K4-K11-K30-K41</f>
        <v/>
      </c>
      <c r="L43" s="14">
        <f>L4-L11-L30-L41</f>
        <v/>
      </c>
      <c r="M43" s="14">
        <f>M4-M11-M30-M41</f>
        <v/>
      </c>
      <c r="N43" s="14">
        <f>N4-N11-N30-N41</f>
        <v/>
      </c>
      <c r="O43" s="14">
        <f>O4-O11-O30-O41</f>
        <v/>
      </c>
      <c r="P43" s="14">
        <f>SUM(D43:O43)</f>
        <v/>
      </c>
      <c r="Q43" s="14" t="n"/>
    </row>
    <row r="44" hidden="1" outlineLevel="1" ht="12" customHeight="1">
      <c r="A44" s="11" t="inlineStr">
        <is>
          <t>% Profit / turnover</t>
        </is>
      </c>
      <c r="B44" s="12" t="n"/>
      <c r="C44" s="12" t="n"/>
      <c r="D44" s="12">
        <f>IFERROR(D43/D4,0)</f>
        <v/>
      </c>
      <c r="E44" s="12">
        <f>IFERROR(E43/E4,0)</f>
        <v/>
      </c>
      <c r="F44" s="12">
        <f>IFERROR(F43/F4,0)</f>
        <v/>
      </c>
      <c r="G44" s="12">
        <f>IFERROR(G43/G4,0)</f>
        <v/>
      </c>
      <c r="H44" s="12">
        <f>IFERROR(H43/H4,0)</f>
        <v/>
      </c>
      <c r="I44" s="12">
        <f>IFERROR(I43/I4,0)</f>
        <v/>
      </c>
      <c r="J44" s="12">
        <f>IFERROR(J43/J4,0)</f>
        <v/>
      </c>
      <c r="K44" s="12">
        <f>IFERROR(K43/K4,0)</f>
        <v/>
      </c>
      <c r="L44" s="12">
        <f>IFERROR(L43/L4,0)</f>
        <v/>
      </c>
      <c r="M44" s="12">
        <f>IFERROR(M43/M4,0)</f>
        <v/>
      </c>
      <c r="N44" s="12">
        <f>IFERROR(N43/N4,0)</f>
        <v/>
      </c>
      <c r="O44" s="12">
        <f>IFERROR(O43/O4,0)</f>
        <v/>
      </c>
      <c r="P44" s="12">
        <f>SUM(D44:O44)</f>
        <v/>
      </c>
      <c r="Q44" s="12" t="n"/>
    </row>
    <row r="45"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15" t="inlineStr">
        <is>
          <t>Stock inicial marcos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>
        <v>26587.55</v>
      </c>
      <c r="K46" s="4" t="n">
        <v>25984.37</v>
      </c>
      <c r="L46" s="4" t="n">
        <v>23862.53</v>
      </c>
      <c r="M46" s="4" t="n">
        <v>21563.91</v>
      </c>
      <c r="N46" s="4" t="n">
        <v>19172.28</v>
      </c>
      <c r="O46" s="4" t="n">
        <v>16571.52</v>
      </c>
      <c r="P46" s="4">
        <f>SUM(D46:O46)</f>
        <v/>
      </c>
      <c r="Q46" s="4" t="n"/>
    </row>
    <row r="47">
      <c r="A47" s="15" t="inlineStr">
        <is>
          <t>Stock final marcos</t>
        </is>
      </c>
      <c r="B47" s="4" t="n"/>
      <c r="C47" s="4" t="n"/>
      <c r="D47" s="4" t="n"/>
      <c r="E47" s="4" t="n"/>
      <c r="F47" s="4" t="n"/>
      <c r="G47" s="4" t="n"/>
      <c r="H47" s="4" t="n"/>
      <c r="I47" s="4" t="n">
        <v>26587.55</v>
      </c>
      <c r="J47" s="4" t="n">
        <v>25984.37</v>
      </c>
      <c r="K47" s="4" t="n">
        <v>23862.53</v>
      </c>
      <c r="L47" s="4" t="n">
        <v>21563.91</v>
      </c>
      <c r="M47" s="4" t="n">
        <v>19172.28</v>
      </c>
      <c r="N47" s="4" t="n">
        <v>16571.52</v>
      </c>
      <c r="O47" s="4" t="n">
        <v>15764.34</v>
      </c>
      <c r="P47" s="4">
        <f>SUM(D47:O47)</f>
        <v/>
      </c>
      <c r="Q47" s="4" t="n"/>
    </row>
  </sheetData>
  <mergeCells count="2">
    <mergeCell ref="A3:C3"/>
    <mergeCell ref="A2:C2"/>
  </mergeCells>
  <hyperlinks>
    <hyperlink ref="Q6" location="'i-shopify-inc'!A1" display="-&gt;"/>
    <hyperlink ref="Q7" location="'i-shopify-inc'!A1" display="-&gt;"/>
    <hyperlink ref="Q12" location="'g-expenses-inc'!A1" display="-&gt;"/>
    <hyperlink ref="Q13" location="'g-expenses-inc'!A1" display="-&gt;"/>
    <hyperlink ref="Q17" location="'g-expenses-inc'!A1" display="-&gt;"/>
    <hyperlink ref="Q18" location="'g-expenses-inc'!A1" display="-&gt;"/>
    <hyperlink ref="Q20" location="'g-payment-fees-inc'!A1" display="-&gt;"/>
    <hyperlink ref="Q21" location="'g-payment-fees-inc'!A1" display="-&gt;"/>
    <hyperlink ref="Q31" location="'g-expenses-inc'!A1" display="-&gt;"/>
    <hyperlink ref="Q32" location="'g-expenses-inc'!A1" display="-&gt;"/>
    <hyperlink ref="Q33" location="'g-expenses-inc'!A1" display="-&gt;"/>
    <hyperlink ref="Q34" location="'g-expenses-inc'!A1" display="-&gt;"/>
    <hyperlink ref="Q38" location="'g-expenses-inc'!A1" display="-&gt;"/>
    <hyperlink ref="Q39" location="'g-expenses-inc'!A1" display="-&gt;"/>
    <hyperlink ref="Q40" location="'g-expenses-inc'!A1" display="-&gt;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key</t>
        </is>
      </c>
      <c r="B2" s="17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INC</t>
        </is>
      </c>
    </row>
    <row r="4" ht="12" customHeight="1">
      <c r="A4" t="inlineStr">
        <is>
          <t>reporting_currency</t>
        </is>
      </c>
      <c r="B4" t="inlineStr">
        <is>
          <t>USD</t>
        </is>
      </c>
    </row>
    <row r="5" ht="12" customHeight="1">
      <c r="A5" t="inlineStr">
        <is>
          <t>year</t>
        </is>
      </c>
      <c r="B5" t="n">
        <v>2025</v>
      </c>
    </row>
    <row r="6" ht="12" customHeight="1">
      <c r="A6" t="inlineStr">
        <is>
          <t>generated_at_utc</t>
        </is>
      </c>
      <c r="B6" t="inlineStr">
        <is>
          <t>2026-03-30T14:18:38Z</t>
        </is>
      </c>
    </row>
  </sheetData>
  <hyperlinks>
    <hyperlink ref="A1" location="'P&amp;G-INC'!A1" display="&lt;- Volver a P&amp;G-INC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yyyymm</t>
        </is>
      </c>
      <c r="B2" s="17" t="inlineStr">
        <is>
          <t>entity</t>
        </is>
      </c>
      <c r="C2" s="17" t="inlineStr">
        <is>
          <t>line_item</t>
        </is>
      </c>
      <c r="D2" s="17" t="inlineStr">
        <is>
          <t>detail</t>
        </is>
      </c>
      <c r="E2" s="17" t="inlineStr">
        <is>
          <t>amount_original</t>
        </is>
      </c>
      <c r="F2" s="17" t="inlineStr">
        <is>
          <t>currency_original</t>
        </is>
      </c>
      <c r="G2" s="17" t="inlineStr">
        <is>
          <t>reporting_currency</t>
        </is>
      </c>
      <c r="H2" s="17" t="inlineStr">
        <is>
          <t>fx_rate</t>
        </is>
      </c>
      <c r="I2" s="17" t="inlineStr">
        <is>
          <t>amount_reporting</t>
        </is>
      </c>
      <c r="J2" s="17" t="inlineStr">
        <is>
          <t>source</t>
        </is>
      </c>
    </row>
    <row r="3" ht="12" customHeight="1">
      <c r="A3" t="inlineStr">
        <is>
          <t>202507</t>
        </is>
      </c>
      <c r="B3" t="inlineStr">
        <is>
          <t>INC</t>
        </is>
      </c>
      <c r="C3" t="inlineStr">
        <is>
          <t>US</t>
        </is>
      </c>
      <c r="D3" t="inlineStr">
        <is>
          <t>US</t>
        </is>
      </c>
      <c r="E3" s="4" t="n">
        <v>4848.17</v>
      </c>
      <c r="F3" t="inlineStr">
        <is>
          <t>USD</t>
        </is>
      </c>
      <c r="G3" t="inlineStr">
        <is>
          <t>USD</t>
        </is>
      </c>
      <c r="H3" s="18" t="n">
        <v>1</v>
      </c>
      <c r="I3" s="4" t="n">
        <v>4848.17</v>
      </c>
      <c r="J3" t="inlineStr">
        <is>
          <t>finance.ventas_pyg</t>
        </is>
      </c>
    </row>
    <row r="4" ht="12" customHeight="1">
      <c r="A4" t="inlineStr">
        <is>
          <t>202508</t>
        </is>
      </c>
      <c r="B4" t="inlineStr">
        <is>
          <t>INC</t>
        </is>
      </c>
      <c r="C4" t="inlineStr">
        <is>
          <t>US</t>
        </is>
      </c>
      <c r="D4" t="inlineStr">
        <is>
          <t>US</t>
        </is>
      </c>
      <c r="E4" s="4" t="n">
        <v>15774.61</v>
      </c>
      <c r="F4" t="inlineStr">
        <is>
          <t>USD</t>
        </is>
      </c>
      <c r="G4" t="inlineStr">
        <is>
          <t>USD</t>
        </is>
      </c>
      <c r="H4" s="18" t="n">
        <v>1</v>
      </c>
      <c r="I4" s="4" t="n">
        <v>15774.61</v>
      </c>
      <c r="J4" t="inlineStr">
        <is>
          <t>finance.ventas_pyg</t>
        </is>
      </c>
    </row>
    <row r="5" ht="12" customHeight="1">
      <c r="A5" t="inlineStr">
        <is>
          <t>202509</t>
        </is>
      </c>
      <c r="B5" t="inlineStr">
        <is>
          <t>INC</t>
        </is>
      </c>
      <c r="C5" t="inlineStr">
        <is>
          <t>US</t>
        </is>
      </c>
      <c r="D5" t="inlineStr">
        <is>
          <t>US</t>
        </is>
      </c>
      <c r="E5" s="4" t="n">
        <v>14722.36</v>
      </c>
      <c r="F5" t="inlineStr">
        <is>
          <t>USD</t>
        </is>
      </c>
      <c r="G5" t="inlineStr">
        <is>
          <t>USD</t>
        </is>
      </c>
      <c r="H5" s="18" t="n">
        <v>1</v>
      </c>
      <c r="I5" s="4" t="n">
        <v>14722.36</v>
      </c>
      <c r="J5" t="inlineStr">
        <is>
          <t>finance.ventas_pyg</t>
        </is>
      </c>
    </row>
    <row r="6" ht="12" customHeight="1">
      <c r="A6" t="inlineStr">
        <is>
          <t>202510</t>
        </is>
      </c>
      <c r="B6" t="inlineStr">
        <is>
          <t>INC</t>
        </is>
      </c>
      <c r="C6" t="inlineStr">
        <is>
          <t>US</t>
        </is>
      </c>
      <c r="D6" t="inlineStr">
        <is>
          <t>US</t>
        </is>
      </c>
      <c r="E6" s="4" t="n">
        <v>15317.44</v>
      </c>
      <c r="F6" t="inlineStr">
        <is>
          <t>USD</t>
        </is>
      </c>
      <c r="G6" t="inlineStr">
        <is>
          <t>USD</t>
        </is>
      </c>
      <c r="H6" s="18" t="n">
        <v>1</v>
      </c>
      <c r="I6" s="4" t="n">
        <v>15317.44</v>
      </c>
      <c r="J6" t="inlineStr">
        <is>
          <t>finance.ventas_pyg</t>
        </is>
      </c>
    </row>
    <row r="7" ht="12" customHeight="1">
      <c r="A7" t="inlineStr">
        <is>
          <t>202511</t>
        </is>
      </c>
      <c r="B7" t="inlineStr">
        <is>
          <t>INC</t>
        </is>
      </c>
      <c r="C7" t="inlineStr">
        <is>
          <t>US</t>
        </is>
      </c>
      <c r="D7" t="inlineStr">
        <is>
          <t>US</t>
        </is>
      </c>
      <c r="E7" s="4" t="n">
        <v>16310.04</v>
      </c>
      <c r="F7" t="inlineStr">
        <is>
          <t>USD</t>
        </is>
      </c>
      <c r="G7" t="inlineStr">
        <is>
          <t>USD</t>
        </is>
      </c>
      <c r="H7" s="18" t="n">
        <v>1</v>
      </c>
      <c r="I7" s="4" t="n">
        <v>16310.04</v>
      </c>
      <c r="J7" t="inlineStr">
        <is>
          <t>finance.ventas_pyg</t>
        </is>
      </c>
    </row>
    <row r="8" ht="12" customHeight="1">
      <c r="A8" t="inlineStr">
        <is>
          <t>202512</t>
        </is>
      </c>
      <c r="B8" t="inlineStr">
        <is>
          <t>INC</t>
        </is>
      </c>
      <c r="C8" t="inlineStr">
        <is>
          <t>US</t>
        </is>
      </c>
      <c r="D8" t="inlineStr">
        <is>
          <t>US</t>
        </is>
      </c>
      <c r="E8" s="4" t="n">
        <v>8082.1</v>
      </c>
      <c r="F8" t="inlineStr">
        <is>
          <t>USD</t>
        </is>
      </c>
      <c r="G8" t="inlineStr">
        <is>
          <t>USD</t>
        </is>
      </c>
      <c r="H8" s="18" t="n">
        <v>1</v>
      </c>
      <c r="I8" s="4" t="n">
        <v>8082.1</v>
      </c>
      <c r="J8" t="inlineStr">
        <is>
          <t>finance.ventas_pyg</t>
        </is>
      </c>
    </row>
  </sheetData>
  <hyperlinks>
    <hyperlink ref="A1" location="'P&amp;G-INC'!A1" display="&lt;- Volver a P&amp;G-INC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7" customWidth="1" min="7" max="7"/>
    <col width="19" customWidth="1" min="8" max="8"/>
    <col width="20" customWidth="1" min="9" max="9"/>
    <col width="14" customWidth="1" min="10" max="10"/>
    <col width="18" customWidth="1" min="11" max="11"/>
    <col width="14" customWidth="1" min="12" max="12"/>
    <col width="16" customWidth="1" min="13" max="13"/>
    <col hidden="1" width="14" customWidth="1" min="14" max="14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yyyymm</t>
        </is>
      </c>
      <c r="B2" s="17" t="inlineStr">
        <is>
          <t>entity</t>
        </is>
      </c>
      <c r="C2" s="17" t="inlineStr">
        <is>
          <t>category</t>
        </is>
      </c>
      <c r="D2" s="17" t="inlineStr">
        <is>
          <t>subcategory</t>
        </is>
      </c>
      <c r="E2" s="17" t="inlineStr">
        <is>
          <t>supplier_code</t>
        </is>
      </c>
      <c r="F2" s="17" t="inlineStr">
        <is>
          <t>detail</t>
        </is>
      </c>
      <c r="G2" s="17" t="inlineStr">
        <is>
          <t>amount_original</t>
        </is>
      </c>
      <c r="H2" s="17" t="inlineStr">
        <is>
          <t>currency_original</t>
        </is>
      </c>
      <c r="I2" s="17" t="inlineStr">
        <is>
          <t>reporting_currency</t>
        </is>
      </c>
      <c r="J2" s="17" t="inlineStr">
        <is>
          <t>fx_rate</t>
        </is>
      </c>
      <c r="K2" s="17" t="inlineStr">
        <is>
          <t>amount_reporting</t>
        </is>
      </c>
      <c r="L2" s="17" t="inlineStr">
        <is>
          <t>source</t>
        </is>
      </c>
      <c r="M2" s="17" t="inlineStr">
        <is>
          <t>invoice_number</t>
        </is>
      </c>
      <c r="N2" s="17" t="inlineStr">
        <is>
          <t>drive_url</t>
        </is>
      </c>
    </row>
    <row r="3" ht="12" customHeight="1">
      <c r="A3" t="inlineStr">
        <is>
          <t>202503</t>
        </is>
      </c>
      <c r="B3" t="inlineStr">
        <is>
          <t>INC</t>
        </is>
      </c>
      <c r="C3" t="inlineStr">
        <is>
          <t>opex</t>
        </is>
      </c>
      <c r="D3" t="inlineStr">
        <is>
          <t>administration</t>
        </is>
      </c>
      <c r="E3" t="inlineStr">
        <is>
          <t>HUSHED</t>
        </is>
      </c>
      <c r="F3" t="inlineStr">
        <is>
          <t>invoice</t>
        </is>
      </c>
      <c r="G3" s="4" t="n">
        <v>4.99</v>
      </c>
      <c r="H3" t="inlineStr">
        <is>
          <t>USD</t>
        </is>
      </c>
      <c r="I3" t="inlineStr">
        <is>
          <t>USD</t>
        </is>
      </c>
      <c r="J3" s="18" t="n">
        <v>1</v>
      </c>
      <c r="K3" s="4" t="n">
        <v>4.99</v>
      </c>
      <c r="L3" t="inlineStr">
        <is>
          <t>documents</t>
        </is>
      </c>
      <c r="M3" s="19" t="inlineStr">
        <is>
          <t>2978-8256</t>
        </is>
      </c>
      <c r="N3" t="inlineStr">
        <is>
          <t>https://drive.google.com/file/d/1mKFpn4LbqABUwoYmmXsPKyq8s0DkaSsi/view?usp=drivesdk</t>
        </is>
      </c>
    </row>
    <row r="4" ht="12" customHeight="1">
      <c r="A4" t="inlineStr">
        <is>
          <t>202504</t>
        </is>
      </c>
      <c r="B4" t="inlineStr">
        <is>
          <t>INC</t>
        </is>
      </c>
      <c r="C4" t="inlineStr">
        <is>
          <t>opex</t>
        </is>
      </c>
      <c r="D4" t="inlineStr">
        <is>
          <t>administration</t>
        </is>
      </c>
      <c r="E4" t="inlineStr">
        <is>
          <t>HUSHED</t>
        </is>
      </c>
      <c r="F4" t="inlineStr">
        <is>
          <t>invoice</t>
        </is>
      </c>
      <c r="G4" s="4" t="n">
        <v>4.99</v>
      </c>
      <c r="H4" t="inlineStr">
        <is>
          <t>USD</t>
        </is>
      </c>
      <c r="I4" t="inlineStr">
        <is>
          <t>USD</t>
        </is>
      </c>
      <c r="J4" s="18" t="n">
        <v>1</v>
      </c>
      <c r="K4" s="4" t="n">
        <v>4.99</v>
      </c>
      <c r="L4" t="inlineStr">
        <is>
          <t>documents</t>
        </is>
      </c>
      <c r="M4" s="19" t="inlineStr">
        <is>
          <t>2041-0252</t>
        </is>
      </c>
      <c r="N4" t="inlineStr">
        <is>
          <t>https://drive.google.com/file/d/1Atuoi43vLrx967JbrHqvFad_G-Oge25b/view?usp=drivesdk</t>
        </is>
      </c>
    </row>
    <row r="5" ht="12" customHeight="1">
      <c r="A5" t="inlineStr">
        <is>
          <t>202504</t>
        </is>
      </c>
      <c r="B5" t="inlineStr">
        <is>
          <t>INC</t>
        </is>
      </c>
      <c r="C5" t="inlineStr">
        <is>
          <t>opex</t>
        </is>
      </c>
      <c r="D5" t="inlineStr">
        <is>
          <t>administration</t>
        </is>
      </c>
      <c r="E5" t="inlineStr">
        <is>
          <t>IPOSTAL</t>
        </is>
      </c>
      <c r="F5" t="inlineStr">
        <is>
          <t>invoice</t>
        </is>
      </c>
      <c r="G5" s="4" t="n">
        <v>14.99</v>
      </c>
      <c r="H5" t="inlineStr">
        <is>
          <t>USD</t>
        </is>
      </c>
      <c r="I5" t="inlineStr">
        <is>
          <t>USD</t>
        </is>
      </c>
      <c r="J5" s="18" t="n">
        <v>1</v>
      </c>
      <c r="K5" s="4" t="n">
        <v>14.99</v>
      </c>
      <c r="L5" t="inlineStr">
        <is>
          <t>documents</t>
        </is>
      </c>
      <c r="M5" s="19" t="inlineStr">
        <is>
          <t>29081161</t>
        </is>
      </c>
      <c r="N5" t="inlineStr">
        <is>
          <t>https://drive.google.com/file/d/1z2NTUrvh34fdW8Uot-vEEnGrjpPurFa2/view?usp=drivesdk</t>
        </is>
      </c>
    </row>
    <row r="6" ht="12" customHeight="1">
      <c r="A6" t="inlineStr">
        <is>
          <t>202505</t>
        </is>
      </c>
      <c r="B6" t="inlineStr">
        <is>
          <t>INC</t>
        </is>
      </c>
      <c r="C6" t="inlineStr">
        <is>
          <t>opex</t>
        </is>
      </c>
      <c r="D6" t="inlineStr">
        <is>
          <t>administration</t>
        </is>
      </c>
      <c r="E6" t="inlineStr">
        <is>
          <t>HUSHED</t>
        </is>
      </c>
      <c r="F6" t="inlineStr">
        <is>
          <t>invoice</t>
        </is>
      </c>
      <c r="G6" s="4" t="n">
        <v>4.99</v>
      </c>
      <c r="H6" t="inlineStr">
        <is>
          <t>USD</t>
        </is>
      </c>
      <c r="I6" t="inlineStr">
        <is>
          <t>USD</t>
        </is>
      </c>
      <c r="J6" s="18" t="n">
        <v>1</v>
      </c>
      <c r="K6" s="4" t="n">
        <v>4.99</v>
      </c>
      <c r="L6" t="inlineStr">
        <is>
          <t>documents</t>
        </is>
      </c>
      <c r="M6" s="19" t="inlineStr">
        <is>
          <t>2312-3467</t>
        </is>
      </c>
      <c r="N6" t="inlineStr">
        <is>
          <t>https://drive.google.com/file/d/1KLoFCF3XJmDR7TouszZ14B1HOLhx7NSc/view?usp=drivesdk</t>
        </is>
      </c>
    </row>
    <row r="7" ht="12" customHeight="1">
      <c r="A7" t="inlineStr">
        <is>
          <t>202505</t>
        </is>
      </c>
      <c r="B7" t="inlineStr">
        <is>
          <t>INC</t>
        </is>
      </c>
      <c r="C7" t="inlineStr">
        <is>
          <t>opex</t>
        </is>
      </c>
      <c r="D7" t="inlineStr">
        <is>
          <t>administration</t>
        </is>
      </c>
      <c r="E7" t="inlineStr">
        <is>
          <t>IPOSTAL</t>
        </is>
      </c>
      <c r="F7" t="inlineStr">
        <is>
          <t>invoice</t>
        </is>
      </c>
      <c r="G7" s="4" t="n">
        <v>14.99</v>
      </c>
      <c r="H7" t="inlineStr">
        <is>
          <t>USD</t>
        </is>
      </c>
      <c r="I7" t="inlineStr">
        <is>
          <t>USD</t>
        </is>
      </c>
      <c r="J7" s="18" t="n">
        <v>1</v>
      </c>
      <c r="K7" s="4" t="n">
        <v>14.99</v>
      </c>
      <c r="L7" t="inlineStr">
        <is>
          <t>documents</t>
        </is>
      </c>
      <c r="M7" s="19" t="inlineStr">
        <is>
          <t>29741548</t>
        </is>
      </c>
      <c r="N7" t="inlineStr">
        <is>
          <t>https://drive.google.com/file/d/1nl75_t5qMkq6sPp3sUcTJOTnphTbjler/view?usp=drivesdk</t>
        </is>
      </c>
    </row>
    <row r="8" ht="12" customHeight="1">
      <c r="A8" t="inlineStr">
        <is>
          <t>202506</t>
        </is>
      </c>
      <c r="B8" t="inlineStr">
        <is>
          <t>INC</t>
        </is>
      </c>
      <c r="C8" t="inlineStr">
        <is>
          <t>opex</t>
        </is>
      </c>
      <c r="D8" t="inlineStr">
        <is>
          <t>administration</t>
        </is>
      </c>
      <c r="E8" t="inlineStr">
        <is>
          <t>HUSHED</t>
        </is>
      </c>
      <c r="F8" t="inlineStr">
        <is>
          <t>invoice</t>
        </is>
      </c>
      <c r="G8" s="4" t="n">
        <v>4.99</v>
      </c>
      <c r="H8" t="inlineStr">
        <is>
          <t>USD</t>
        </is>
      </c>
      <c r="I8" t="inlineStr">
        <is>
          <t>USD</t>
        </is>
      </c>
      <c r="J8" s="18" t="n">
        <v>1</v>
      </c>
      <c r="K8" s="4" t="n">
        <v>4.99</v>
      </c>
      <c r="L8" t="inlineStr">
        <is>
          <t>documents</t>
        </is>
      </c>
      <c r="M8" s="19" t="inlineStr">
        <is>
          <t>2151-8125</t>
        </is>
      </c>
      <c r="N8" t="inlineStr">
        <is>
          <t>https://drive.google.com/file/d/1bkYpNbXnMTF1EUK3gZ-m0pfXO6lfs_IK/view?usp=drivesdk</t>
        </is>
      </c>
    </row>
    <row r="9" ht="12" customHeight="1">
      <c r="A9" t="inlineStr">
        <is>
          <t>202506</t>
        </is>
      </c>
      <c r="B9" t="inlineStr">
        <is>
          <t>INC</t>
        </is>
      </c>
      <c r="C9" t="inlineStr">
        <is>
          <t>opex</t>
        </is>
      </c>
      <c r="D9" t="inlineStr">
        <is>
          <t>administration</t>
        </is>
      </c>
      <c r="E9" t="inlineStr">
        <is>
          <t>IPOSTAL</t>
        </is>
      </c>
      <c r="F9" t="inlineStr">
        <is>
          <t>invoice</t>
        </is>
      </c>
      <c r="G9" s="4" t="n">
        <v>14.99</v>
      </c>
      <c r="H9" t="inlineStr">
        <is>
          <t>USD</t>
        </is>
      </c>
      <c r="I9" t="inlineStr">
        <is>
          <t>USD</t>
        </is>
      </c>
      <c r="J9" s="18" t="n">
        <v>1</v>
      </c>
      <c r="K9" s="4" t="n">
        <v>14.99</v>
      </c>
      <c r="L9" t="inlineStr">
        <is>
          <t>documents</t>
        </is>
      </c>
      <c r="M9" s="19" t="inlineStr">
        <is>
          <t>30430625</t>
        </is>
      </c>
      <c r="N9" t="inlineStr">
        <is>
          <t>https://drive.google.com/file/d/1mrh7-eV5laK5K-ZWeu8Qz8riNSBcDPrz/view?usp=drivesdk</t>
        </is>
      </c>
    </row>
    <row r="10" ht="12" customHeight="1">
      <c r="A10" t="inlineStr">
        <is>
          <t>202507</t>
        </is>
      </c>
      <c r="B10" t="inlineStr">
        <is>
          <t>INC</t>
        </is>
      </c>
      <c r="C10" t="inlineStr">
        <is>
          <t>opex</t>
        </is>
      </c>
      <c r="D10" t="inlineStr">
        <is>
          <t>administration</t>
        </is>
      </c>
      <c r="E10" t="inlineStr">
        <is>
          <t>HUSHED</t>
        </is>
      </c>
      <c r="F10" t="inlineStr">
        <is>
          <t>invoice</t>
        </is>
      </c>
      <c r="G10" s="4" t="n">
        <v>4.99</v>
      </c>
      <c r="H10" t="inlineStr">
        <is>
          <t>USD</t>
        </is>
      </c>
      <c r="I10" t="inlineStr">
        <is>
          <t>USD</t>
        </is>
      </c>
      <c r="J10" s="18" t="n">
        <v>1</v>
      </c>
      <c r="K10" s="4" t="n">
        <v>4.99</v>
      </c>
      <c r="L10" t="inlineStr">
        <is>
          <t>documents</t>
        </is>
      </c>
      <c r="M10" s="19" t="inlineStr">
        <is>
          <t>2693-3816</t>
        </is>
      </c>
      <c r="N10" t="inlineStr">
        <is>
          <t>https://drive.google.com/file/d/1GvSiMT7dWe7h0r6ewcUbd76aacDTs55m/view?usp=drivesdk</t>
        </is>
      </c>
    </row>
    <row r="11" ht="12" customHeight="1">
      <c r="A11" t="inlineStr">
        <is>
          <t>202507</t>
        </is>
      </c>
      <c r="B11" t="inlineStr">
        <is>
          <t>INC</t>
        </is>
      </c>
      <c r="C11" t="inlineStr">
        <is>
          <t>opex</t>
        </is>
      </c>
      <c r="D11" t="inlineStr">
        <is>
          <t>administration</t>
        </is>
      </c>
      <c r="E11" t="inlineStr">
        <is>
          <t>IPOSTAL</t>
        </is>
      </c>
      <c r="F11" t="inlineStr">
        <is>
          <t>invoice</t>
        </is>
      </c>
      <c r="G11" s="4" t="n">
        <v>2.2</v>
      </c>
      <c r="H11" t="inlineStr">
        <is>
          <t>USD</t>
        </is>
      </c>
      <c r="I11" t="inlineStr">
        <is>
          <t>USD</t>
        </is>
      </c>
      <c r="J11" s="18" t="n">
        <v>1</v>
      </c>
      <c r="K11" s="4" t="n">
        <v>2.2</v>
      </c>
      <c r="L11" t="inlineStr">
        <is>
          <t>documents</t>
        </is>
      </c>
      <c r="M11" s="19" t="inlineStr">
        <is>
          <t>30875555</t>
        </is>
      </c>
      <c r="N11" t="inlineStr">
        <is>
          <t>https://drive.google.com/file/d/1gHZvZG77dIxzMh9_SrTFhWatc1Wv61Vb/view?usp=drivesdk</t>
        </is>
      </c>
    </row>
    <row r="12" ht="12" customHeight="1">
      <c r="A12" t="inlineStr">
        <is>
          <t>202507</t>
        </is>
      </c>
      <c r="B12" t="inlineStr">
        <is>
          <t>INC</t>
        </is>
      </c>
      <c r="C12" t="inlineStr">
        <is>
          <t>opex</t>
        </is>
      </c>
      <c r="D12" t="inlineStr">
        <is>
          <t>administration</t>
        </is>
      </c>
      <c r="E12" t="inlineStr">
        <is>
          <t>IPOSTAL</t>
        </is>
      </c>
      <c r="F12" t="inlineStr">
        <is>
          <t>invoice</t>
        </is>
      </c>
      <c r="G12" s="4" t="n">
        <v>14.99</v>
      </c>
      <c r="H12" t="inlineStr">
        <is>
          <t>USD</t>
        </is>
      </c>
      <c r="I12" t="inlineStr">
        <is>
          <t>USD</t>
        </is>
      </c>
      <c r="J12" s="18" t="n">
        <v>1</v>
      </c>
      <c r="K12" s="4" t="n">
        <v>14.99</v>
      </c>
      <c r="L12" t="inlineStr">
        <is>
          <t>documents</t>
        </is>
      </c>
      <c r="M12" s="19" t="inlineStr">
        <is>
          <t>31085773</t>
        </is>
      </c>
      <c r="N12" t="inlineStr">
        <is>
          <t>https://drive.google.com/file/d/10HjLo7Knu7gO7UHRqzRWWqLRJLFwaepb/view?usp=drivesdk</t>
        </is>
      </c>
    </row>
    <row r="13" ht="12" customHeight="1">
      <c r="A13" t="inlineStr">
        <is>
          <t>202508</t>
        </is>
      </c>
      <c r="B13" t="inlineStr">
        <is>
          <t>INC</t>
        </is>
      </c>
      <c r="C13" t="inlineStr">
        <is>
          <t>opex</t>
        </is>
      </c>
      <c r="D13" t="inlineStr">
        <is>
          <t>administration</t>
        </is>
      </c>
      <c r="E13" t="inlineStr">
        <is>
          <t>HUSHED</t>
        </is>
      </c>
      <c r="F13" t="inlineStr">
        <is>
          <t>invoice</t>
        </is>
      </c>
      <c r="G13" s="4" t="n">
        <v>4.99</v>
      </c>
      <c r="H13" t="inlineStr">
        <is>
          <t>USD</t>
        </is>
      </c>
      <c r="I13" t="inlineStr">
        <is>
          <t>USD</t>
        </is>
      </c>
      <c r="J13" s="18" t="n">
        <v>1</v>
      </c>
      <c r="K13" s="4" t="n">
        <v>4.99</v>
      </c>
      <c r="L13" t="inlineStr">
        <is>
          <t>documents</t>
        </is>
      </c>
      <c r="M13" s="19" t="inlineStr">
        <is>
          <t>2961-0950</t>
        </is>
      </c>
      <c r="N13" t="inlineStr">
        <is>
          <t>https://drive.google.com/file/d/1GQls1efpPohPk4ex-UHu8N22dVykqohV/view?usp=drivesdk</t>
        </is>
      </c>
    </row>
    <row r="14" ht="12" customHeight="1">
      <c r="A14" t="inlineStr">
        <is>
          <t>202508</t>
        </is>
      </c>
      <c r="B14" t="inlineStr">
        <is>
          <t>INC</t>
        </is>
      </c>
      <c r="C14" t="inlineStr">
        <is>
          <t>opex</t>
        </is>
      </c>
      <c r="D14" t="inlineStr">
        <is>
          <t>administration</t>
        </is>
      </c>
      <c r="E14" t="inlineStr">
        <is>
          <t>IPOSTAL</t>
        </is>
      </c>
      <c r="F14" t="inlineStr">
        <is>
          <t>invoice</t>
        </is>
      </c>
      <c r="G14" s="4" t="n">
        <v>1.1</v>
      </c>
      <c r="H14" t="inlineStr">
        <is>
          <t>USD</t>
        </is>
      </c>
      <c r="I14" t="inlineStr">
        <is>
          <t>USD</t>
        </is>
      </c>
      <c r="J14" s="18" t="n">
        <v>1</v>
      </c>
      <c r="K14" s="4" t="n">
        <v>1.1</v>
      </c>
      <c r="L14" t="inlineStr">
        <is>
          <t>documents</t>
        </is>
      </c>
      <c r="M14" s="19" t="inlineStr">
        <is>
          <t>31175617</t>
        </is>
      </c>
      <c r="N14" t="inlineStr">
        <is>
          <t>https://drive.google.com/file/d/1OM97FR799Ud946UpzcBMY1HZEW_yeR00/view?usp=drivesdk</t>
        </is>
      </c>
    </row>
    <row r="15" ht="12" customHeight="1">
      <c r="A15" t="inlineStr">
        <is>
          <t>202508</t>
        </is>
      </c>
      <c r="B15" t="inlineStr">
        <is>
          <t>INC</t>
        </is>
      </c>
      <c r="C15" t="inlineStr">
        <is>
          <t>opex</t>
        </is>
      </c>
      <c r="D15" t="inlineStr">
        <is>
          <t>administration</t>
        </is>
      </c>
      <c r="E15" t="inlineStr">
        <is>
          <t>IPOSTAL</t>
        </is>
      </c>
      <c r="F15" t="inlineStr">
        <is>
          <t>invoice</t>
        </is>
      </c>
      <c r="G15" s="4" t="n">
        <v>4.4</v>
      </c>
      <c r="H15" t="inlineStr">
        <is>
          <t>USD</t>
        </is>
      </c>
      <c r="I15" t="inlineStr">
        <is>
          <t>USD</t>
        </is>
      </c>
      <c r="J15" s="18" t="n">
        <v>1</v>
      </c>
      <c r="K15" s="4" t="n">
        <v>4.4</v>
      </c>
      <c r="L15" t="inlineStr">
        <is>
          <t>documents</t>
        </is>
      </c>
      <c r="M15" s="19" t="inlineStr">
        <is>
          <t>31474633</t>
        </is>
      </c>
      <c r="N15" t="inlineStr">
        <is>
          <t>https://drive.google.com/file/d/1c30n3beZ_blU_wr0nBKs2xlsR3mQK-sY/view?usp=drivesdk</t>
        </is>
      </c>
    </row>
    <row r="16" ht="12" customHeight="1">
      <c r="A16" t="inlineStr">
        <is>
          <t>202508</t>
        </is>
      </c>
      <c r="B16" t="inlineStr">
        <is>
          <t>INC</t>
        </is>
      </c>
      <c r="C16" t="inlineStr">
        <is>
          <t>opex</t>
        </is>
      </c>
      <c r="D16" t="inlineStr">
        <is>
          <t>administration</t>
        </is>
      </c>
      <c r="E16" t="inlineStr">
        <is>
          <t>IPOSTAL</t>
        </is>
      </c>
      <c r="F16" t="inlineStr">
        <is>
          <t>invoice</t>
        </is>
      </c>
      <c r="G16" s="4" t="n">
        <v>2.2</v>
      </c>
      <c r="H16" t="inlineStr">
        <is>
          <t>USD</t>
        </is>
      </c>
      <c r="I16" t="inlineStr">
        <is>
          <t>USD</t>
        </is>
      </c>
      <c r="J16" s="18" t="n">
        <v>1</v>
      </c>
      <c r="K16" s="4" t="n">
        <v>2.2</v>
      </c>
      <c r="L16" t="inlineStr">
        <is>
          <t>documents</t>
        </is>
      </c>
      <c r="M16" s="19" t="inlineStr">
        <is>
          <t>31624702</t>
        </is>
      </c>
      <c r="N16" t="inlineStr">
        <is>
          <t>https://drive.google.com/file/d/1ajIxZlwj-e2KtMqrZFsUE7dJSULNR6L_/view?usp=drivesdk</t>
        </is>
      </c>
    </row>
    <row r="17" ht="12" customHeight="1">
      <c r="A17" t="inlineStr">
        <is>
          <t>202508</t>
        </is>
      </c>
      <c r="B17" t="inlineStr">
        <is>
          <t>INC</t>
        </is>
      </c>
      <c r="C17" t="inlineStr">
        <is>
          <t>opex</t>
        </is>
      </c>
      <c r="D17" t="inlineStr">
        <is>
          <t>administration</t>
        </is>
      </c>
      <c r="E17" t="inlineStr">
        <is>
          <t>IPOSTAL</t>
        </is>
      </c>
      <c r="F17" t="inlineStr">
        <is>
          <t>invoice</t>
        </is>
      </c>
      <c r="G17" s="4" t="n">
        <v>14.99</v>
      </c>
      <c r="H17" t="inlineStr">
        <is>
          <t>USD</t>
        </is>
      </c>
      <c r="I17" t="inlineStr">
        <is>
          <t>USD</t>
        </is>
      </c>
      <c r="J17" s="18" t="n">
        <v>1</v>
      </c>
      <c r="K17" s="4" t="n">
        <v>14.99</v>
      </c>
      <c r="L17" t="inlineStr">
        <is>
          <t>documents</t>
        </is>
      </c>
      <c r="M17" s="19" t="inlineStr">
        <is>
          <t>31742900</t>
        </is>
      </c>
      <c r="N17" t="inlineStr">
        <is>
          <t>https://drive.google.com/file/d/1jXmJMRc6ctrCESw8C3VorheG7NPxt2AJ/view?usp=drivesdk</t>
        </is>
      </c>
    </row>
    <row r="18" ht="12" customHeight="1">
      <c r="A18" t="inlineStr">
        <is>
          <t>202508</t>
        </is>
      </c>
      <c r="B18" t="inlineStr">
        <is>
          <t>INC</t>
        </is>
      </c>
      <c r="C18" t="inlineStr">
        <is>
          <t>opex</t>
        </is>
      </c>
      <c r="D18" t="inlineStr">
        <is>
          <t>administration</t>
        </is>
      </c>
      <c r="E18" t="inlineStr">
        <is>
          <t>IPOSTAL</t>
        </is>
      </c>
      <c r="F18" t="inlineStr">
        <is>
          <t>invoice</t>
        </is>
      </c>
      <c r="G18" s="4" t="n">
        <v>1.1</v>
      </c>
      <c r="H18" t="inlineStr">
        <is>
          <t>USD</t>
        </is>
      </c>
      <c r="I18" t="inlineStr">
        <is>
          <t>USD</t>
        </is>
      </c>
      <c r="J18" s="18" t="n">
        <v>1</v>
      </c>
      <c r="K18" s="4" t="n">
        <v>1.1</v>
      </c>
      <c r="L18" t="inlineStr">
        <is>
          <t>documents</t>
        </is>
      </c>
      <c r="M18" s="19" t="inlineStr">
        <is>
          <t>31777070</t>
        </is>
      </c>
      <c r="N18" t="inlineStr">
        <is>
          <t>https://drive.google.com/file/d/14UZxKB2U2q-N_53JD0gY9FoxwtgnV3ku/view?usp=drivesdk</t>
        </is>
      </c>
    </row>
    <row r="19" ht="12" customHeight="1">
      <c r="A19" t="inlineStr">
        <is>
          <t>202508</t>
        </is>
      </c>
      <c r="B19" t="inlineStr">
        <is>
          <t>INC</t>
        </is>
      </c>
      <c r="C19" t="inlineStr">
        <is>
          <t>opex</t>
        </is>
      </c>
      <c r="D19" t="inlineStr">
        <is>
          <t>administration</t>
        </is>
      </c>
      <c r="E19" t="inlineStr">
        <is>
          <t>QUICKBOOKS</t>
        </is>
      </c>
      <c r="F19" t="inlineStr">
        <is>
          <t>invoice</t>
        </is>
      </c>
      <c r="G19" s="4" t="n">
        <v>1</v>
      </c>
      <c r="H19" t="inlineStr">
        <is>
          <t>USD</t>
        </is>
      </c>
      <c r="I19" t="inlineStr">
        <is>
          <t>USD</t>
        </is>
      </c>
      <c r="J19" s="18" t="n">
        <v>1</v>
      </c>
      <c r="K19" s="4" t="n">
        <v>1</v>
      </c>
      <c r="L19" t="inlineStr">
        <is>
          <t>documents</t>
        </is>
      </c>
      <c r="M19" s="19" t="inlineStr">
        <is>
          <t>10001417716363</t>
        </is>
      </c>
      <c r="N19" t="inlineStr">
        <is>
          <t>https://drive.google.com/file/d/1-X6AIn3grXjJjbEmKQEXk8JFjRt9jxoG/view?usp=drivesdk</t>
        </is>
      </c>
    </row>
    <row r="20" ht="12" customHeight="1">
      <c r="A20" t="inlineStr">
        <is>
          <t>202509</t>
        </is>
      </c>
      <c r="B20" t="inlineStr">
        <is>
          <t>INC</t>
        </is>
      </c>
      <c r="C20" t="inlineStr">
        <is>
          <t>opex</t>
        </is>
      </c>
      <c r="D20" t="inlineStr">
        <is>
          <t>administration</t>
        </is>
      </c>
      <c r="E20" t="inlineStr">
        <is>
          <t>HUSHED</t>
        </is>
      </c>
      <c r="F20" t="inlineStr">
        <is>
          <t>invoice</t>
        </is>
      </c>
      <c r="G20" s="4" t="n">
        <v>4.99</v>
      </c>
      <c r="H20" t="inlineStr">
        <is>
          <t>USD</t>
        </is>
      </c>
      <c r="I20" t="inlineStr">
        <is>
          <t>USD</t>
        </is>
      </c>
      <c r="J20" s="18" t="n">
        <v>1</v>
      </c>
      <c r="K20" s="4" t="n">
        <v>4.99</v>
      </c>
      <c r="L20" t="inlineStr">
        <is>
          <t>documents</t>
        </is>
      </c>
      <c r="M20" s="19" t="inlineStr">
        <is>
          <t>2260-8475</t>
        </is>
      </c>
      <c r="N20" t="inlineStr">
        <is>
          <t>https://drive.google.com/file/d/12BXCxv1v465UmWjqCahE1Dtzo2FSNqBo/view?usp=drivesdk</t>
        </is>
      </c>
    </row>
    <row r="21" ht="12" customHeight="1">
      <c r="A21" t="inlineStr">
        <is>
          <t>202509</t>
        </is>
      </c>
      <c r="B21" t="inlineStr">
        <is>
          <t>INC</t>
        </is>
      </c>
      <c r="C21" t="inlineStr">
        <is>
          <t>opex</t>
        </is>
      </c>
      <c r="D21" t="inlineStr">
        <is>
          <t>administration</t>
        </is>
      </c>
      <c r="E21" t="inlineStr">
        <is>
          <t>IPOSTAL</t>
        </is>
      </c>
      <c r="F21" t="inlineStr">
        <is>
          <t>invoice</t>
        </is>
      </c>
      <c r="G21" s="4" t="n">
        <v>3.3</v>
      </c>
      <c r="H21" t="inlineStr">
        <is>
          <t>USD</t>
        </is>
      </c>
      <c r="I21" t="inlineStr">
        <is>
          <t>USD</t>
        </is>
      </c>
      <c r="J21" s="18" t="n">
        <v>1</v>
      </c>
      <c r="K21" s="4" t="n">
        <v>3.3</v>
      </c>
      <c r="L21" t="inlineStr">
        <is>
          <t>documents</t>
        </is>
      </c>
      <c r="M21" s="19" t="inlineStr">
        <is>
          <t>32081128</t>
        </is>
      </c>
      <c r="N21" t="inlineStr">
        <is>
          <t>https://drive.google.com/file/d/1V6AYGD0Bns0VYPibrFxy5kx-eb5aWSa1/view?usp=drivesdk</t>
        </is>
      </c>
    </row>
    <row r="22" ht="12" customHeight="1">
      <c r="A22" t="inlineStr">
        <is>
          <t>202509</t>
        </is>
      </c>
      <c r="B22" t="inlineStr">
        <is>
          <t>INC</t>
        </is>
      </c>
      <c r="C22" t="inlineStr">
        <is>
          <t>opex</t>
        </is>
      </c>
      <c r="D22" t="inlineStr">
        <is>
          <t>administration</t>
        </is>
      </c>
      <c r="E22" t="inlineStr">
        <is>
          <t>IPOSTAL</t>
        </is>
      </c>
      <c r="F22" t="inlineStr">
        <is>
          <t>invoice</t>
        </is>
      </c>
      <c r="G22" s="4" t="n">
        <v>3.3</v>
      </c>
      <c r="H22" t="inlineStr">
        <is>
          <t>USD</t>
        </is>
      </c>
      <c r="I22" t="inlineStr">
        <is>
          <t>USD</t>
        </is>
      </c>
      <c r="J22" s="18" t="n">
        <v>1</v>
      </c>
      <c r="K22" s="4" t="n">
        <v>3.3</v>
      </c>
      <c r="L22" t="inlineStr">
        <is>
          <t>documents</t>
        </is>
      </c>
      <c r="M22" s="19" t="inlineStr">
        <is>
          <t>32240718</t>
        </is>
      </c>
      <c r="N22" t="inlineStr">
        <is>
          <t>https://drive.google.com/file/d/1Xpc2pXAYm5qg-uTyBv5d_I8hSd-yb06E/view?usp=drivesdk</t>
        </is>
      </c>
    </row>
    <row r="23" ht="12" customHeight="1">
      <c r="A23" t="inlineStr">
        <is>
          <t>202509</t>
        </is>
      </c>
      <c r="B23" t="inlineStr">
        <is>
          <t>INC</t>
        </is>
      </c>
      <c r="C23" t="inlineStr">
        <is>
          <t>opex</t>
        </is>
      </c>
      <c r="D23" t="inlineStr">
        <is>
          <t>administration</t>
        </is>
      </c>
      <c r="E23" t="inlineStr">
        <is>
          <t>IPOSTAL</t>
        </is>
      </c>
      <c r="F23" t="inlineStr">
        <is>
          <t>invoice</t>
        </is>
      </c>
      <c r="G23" s="4" t="n">
        <v>1.1</v>
      </c>
      <c r="H23" t="inlineStr">
        <is>
          <t>USD</t>
        </is>
      </c>
      <c r="I23" t="inlineStr">
        <is>
          <t>USD</t>
        </is>
      </c>
      <c r="J23" s="18" t="n">
        <v>1</v>
      </c>
      <c r="K23" s="4" t="n">
        <v>1.1</v>
      </c>
      <c r="L23" t="inlineStr">
        <is>
          <t>documents</t>
        </is>
      </c>
      <c r="M23" s="19" t="inlineStr">
        <is>
          <t>32391186</t>
        </is>
      </c>
      <c r="N23" t="inlineStr">
        <is>
          <t>https://drive.google.com/file/d/11iOTWLqv3PNZpUEf758GBwiYaZrSdVAe/view?usp=drivesdk</t>
        </is>
      </c>
    </row>
    <row r="24" ht="12" customHeight="1">
      <c r="A24" t="inlineStr">
        <is>
          <t>202509</t>
        </is>
      </c>
      <c r="B24" t="inlineStr">
        <is>
          <t>INC</t>
        </is>
      </c>
      <c r="C24" t="inlineStr">
        <is>
          <t>opex</t>
        </is>
      </c>
      <c r="D24" t="inlineStr">
        <is>
          <t>administration</t>
        </is>
      </c>
      <c r="E24" t="inlineStr">
        <is>
          <t>IPOSTAL</t>
        </is>
      </c>
      <c r="F24" t="inlineStr">
        <is>
          <t>invoice</t>
        </is>
      </c>
      <c r="G24" s="4" t="n">
        <v>14.99</v>
      </c>
      <c r="H24" t="inlineStr">
        <is>
          <t>USD</t>
        </is>
      </c>
      <c r="I24" t="inlineStr">
        <is>
          <t>USD</t>
        </is>
      </c>
      <c r="J24" s="18" t="n">
        <v>1</v>
      </c>
      <c r="K24" s="4" t="n">
        <v>14.99</v>
      </c>
      <c r="L24" t="inlineStr">
        <is>
          <t>documents</t>
        </is>
      </c>
      <c r="M24" s="19" t="inlineStr">
        <is>
          <t>32436162</t>
        </is>
      </c>
      <c r="N24" t="inlineStr">
        <is>
          <t>https://drive.google.com/file/d/1X6fzEm-pVVZsrlxW6Gz7ig2cNjbn3rrL/view?usp=drivesdk</t>
        </is>
      </c>
    </row>
    <row r="25" ht="12" customHeight="1">
      <c r="A25" t="inlineStr">
        <is>
          <t>202509</t>
        </is>
      </c>
      <c r="B25" t="inlineStr">
        <is>
          <t>INC</t>
        </is>
      </c>
      <c r="C25" t="inlineStr">
        <is>
          <t>opex</t>
        </is>
      </c>
      <c r="D25" t="inlineStr">
        <is>
          <t>administration</t>
        </is>
      </c>
      <c r="E25" t="inlineStr">
        <is>
          <t>QUICKBOOKS</t>
        </is>
      </c>
      <c r="F25" t="inlineStr">
        <is>
          <t>invoice</t>
        </is>
      </c>
      <c r="G25" s="4" t="n">
        <v>1</v>
      </c>
      <c r="H25" t="inlineStr">
        <is>
          <t>USD</t>
        </is>
      </c>
      <c r="I25" t="inlineStr">
        <is>
          <t>USD</t>
        </is>
      </c>
      <c r="J25" s="18" t="n">
        <v>1</v>
      </c>
      <c r="K25" s="4" t="n">
        <v>1</v>
      </c>
      <c r="L25" t="inlineStr">
        <is>
          <t>documents</t>
        </is>
      </c>
      <c r="M25" s="19" t="inlineStr">
        <is>
          <t>10001426237778</t>
        </is>
      </c>
      <c r="N25" t="inlineStr">
        <is>
          <t>https://drive.google.com/file/d/1DMJzFa1bnH7cqMNJO2QCViwHa32bZMDH/view?usp=drivesdk</t>
        </is>
      </c>
    </row>
    <row r="26" ht="12" customHeight="1">
      <c r="A26" t="inlineStr">
        <is>
          <t>202510</t>
        </is>
      </c>
      <c r="B26" t="inlineStr">
        <is>
          <t>INC</t>
        </is>
      </c>
      <c r="C26" t="inlineStr">
        <is>
          <t>opex</t>
        </is>
      </c>
      <c r="D26" t="inlineStr">
        <is>
          <t>administration</t>
        </is>
      </c>
      <c r="E26" t="inlineStr">
        <is>
          <t>HUSHED</t>
        </is>
      </c>
      <c r="F26" t="inlineStr">
        <is>
          <t>invoice</t>
        </is>
      </c>
      <c r="G26" s="4" t="n">
        <v>4.99</v>
      </c>
      <c r="H26" t="inlineStr">
        <is>
          <t>USD</t>
        </is>
      </c>
      <c r="I26" t="inlineStr">
        <is>
          <t>USD</t>
        </is>
      </c>
      <c r="J26" s="18" t="n">
        <v>1</v>
      </c>
      <c r="K26" s="4" t="n">
        <v>4.99</v>
      </c>
      <c r="L26" t="inlineStr">
        <is>
          <t>documents</t>
        </is>
      </c>
      <c r="M26" s="19" t="inlineStr">
        <is>
          <t>2788-0640</t>
        </is>
      </c>
      <c r="N26" t="inlineStr">
        <is>
          <t>https://drive.google.com/file/d/113kz058kpuPlieDY1btfzcQHG0_W_5CV/view?usp=drivesdk</t>
        </is>
      </c>
    </row>
    <row r="27" ht="12" customHeight="1">
      <c r="A27" t="inlineStr">
        <is>
          <t>202510</t>
        </is>
      </c>
      <c r="B27" t="inlineStr">
        <is>
          <t>INC</t>
        </is>
      </c>
      <c r="C27" t="inlineStr">
        <is>
          <t>opex</t>
        </is>
      </c>
      <c r="D27" t="inlineStr">
        <is>
          <t>administration</t>
        </is>
      </c>
      <c r="E27" t="inlineStr">
        <is>
          <t>IPOSTAL</t>
        </is>
      </c>
      <c r="F27" t="inlineStr">
        <is>
          <t>invoice</t>
        </is>
      </c>
      <c r="G27" s="4" t="n">
        <v>1.1</v>
      </c>
      <c r="H27" t="inlineStr">
        <is>
          <t>USD</t>
        </is>
      </c>
      <c r="I27" t="inlineStr">
        <is>
          <t>USD</t>
        </is>
      </c>
      <c r="J27" s="18" t="n">
        <v>1</v>
      </c>
      <c r="K27" s="4" t="n">
        <v>1.1</v>
      </c>
      <c r="L27" t="inlineStr">
        <is>
          <t>documents</t>
        </is>
      </c>
      <c r="M27" s="19" t="inlineStr">
        <is>
          <t>32709579</t>
        </is>
      </c>
      <c r="N27" t="inlineStr">
        <is>
          <t>https://drive.google.com/file/d/1cIVqxYDO-MZjOShB9ipoQEMJ8AX0XaNi/view?usp=drivesdk</t>
        </is>
      </c>
    </row>
    <row r="28" ht="12" customHeight="1">
      <c r="A28" t="inlineStr">
        <is>
          <t>202510</t>
        </is>
      </c>
      <c r="B28" t="inlineStr">
        <is>
          <t>INC</t>
        </is>
      </c>
      <c r="C28" t="inlineStr">
        <is>
          <t>opex</t>
        </is>
      </c>
      <c r="D28" t="inlineStr">
        <is>
          <t>administration</t>
        </is>
      </c>
      <c r="E28" t="inlineStr">
        <is>
          <t>IPOSTAL</t>
        </is>
      </c>
      <c r="F28" t="inlineStr">
        <is>
          <t>invoice</t>
        </is>
      </c>
      <c r="G28" s="4" t="n">
        <v>5.5</v>
      </c>
      <c r="H28" t="inlineStr">
        <is>
          <t>USD</t>
        </is>
      </c>
      <c r="I28" t="inlineStr">
        <is>
          <t>USD</t>
        </is>
      </c>
      <c r="J28" s="18" t="n">
        <v>1</v>
      </c>
      <c r="K28" s="4" t="n">
        <v>5.5</v>
      </c>
      <c r="L28" t="inlineStr">
        <is>
          <t>documents</t>
        </is>
      </c>
      <c r="M28" s="19" t="inlineStr">
        <is>
          <t>32864325</t>
        </is>
      </c>
      <c r="N28" t="inlineStr">
        <is>
          <t>https://drive.google.com/file/d/10tGtEzfDIbZgJJRXAUO6Nst9ZnGQkrqN/view?usp=drivesdk</t>
        </is>
      </c>
    </row>
    <row r="29" ht="12" customHeight="1">
      <c r="A29" t="inlineStr">
        <is>
          <t>202510</t>
        </is>
      </c>
      <c r="B29" t="inlineStr">
        <is>
          <t>INC</t>
        </is>
      </c>
      <c r="C29" t="inlineStr">
        <is>
          <t>opex</t>
        </is>
      </c>
      <c r="D29" t="inlineStr">
        <is>
          <t>administration</t>
        </is>
      </c>
      <c r="E29" t="inlineStr">
        <is>
          <t>IPOSTAL</t>
        </is>
      </c>
      <c r="F29" t="inlineStr">
        <is>
          <t>invoice</t>
        </is>
      </c>
      <c r="G29" s="4" t="n">
        <v>14.99</v>
      </c>
      <c r="H29" t="inlineStr">
        <is>
          <t>USD</t>
        </is>
      </c>
      <c r="I29" t="inlineStr">
        <is>
          <t>USD</t>
        </is>
      </c>
      <c r="J29" s="18" t="n">
        <v>1</v>
      </c>
      <c r="K29" s="4" t="n">
        <v>14.99</v>
      </c>
      <c r="L29" t="inlineStr">
        <is>
          <t>documents</t>
        </is>
      </c>
      <c r="M29" s="19" t="inlineStr">
        <is>
          <t>33103361</t>
        </is>
      </c>
      <c r="N29" t="inlineStr">
        <is>
          <t>https://drive.google.com/file/d/18xTF-w1hEQDhzgOL9vd7lr7HlgMZV152/view?usp=drivesdk</t>
        </is>
      </c>
    </row>
    <row r="30" ht="12" customHeight="1">
      <c r="A30" t="inlineStr">
        <is>
          <t>202510</t>
        </is>
      </c>
      <c r="B30" t="inlineStr">
        <is>
          <t>INC</t>
        </is>
      </c>
      <c r="C30" t="inlineStr">
        <is>
          <t>opex</t>
        </is>
      </c>
      <c r="D30" t="inlineStr">
        <is>
          <t>administration</t>
        </is>
      </c>
      <c r="E30" t="inlineStr">
        <is>
          <t>QUICKBOOKS</t>
        </is>
      </c>
      <c r="F30" t="inlineStr">
        <is>
          <t>invoice</t>
        </is>
      </c>
      <c r="G30" s="4" t="n">
        <v>1</v>
      </c>
      <c r="H30" t="inlineStr">
        <is>
          <t>USD</t>
        </is>
      </c>
      <c r="I30" t="inlineStr">
        <is>
          <t>USD</t>
        </is>
      </c>
      <c r="J30" s="18" t="n">
        <v>1</v>
      </c>
      <c r="K30" s="4" t="n">
        <v>1</v>
      </c>
      <c r="L30" t="inlineStr">
        <is>
          <t>documents</t>
        </is>
      </c>
      <c r="M30" s="19" t="inlineStr">
        <is>
          <t>10001434424183</t>
        </is>
      </c>
      <c r="N30" t="inlineStr">
        <is>
          <t>https://drive.google.com/file/d/1n8W9_RsChocO7_DRTGwSuAh1TYpZwOGG/view?usp=drivesdk</t>
        </is>
      </c>
    </row>
    <row r="31" ht="12" customHeight="1">
      <c r="A31" t="inlineStr">
        <is>
          <t>202510</t>
        </is>
      </c>
      <c r="B31" t="inlineStr">
        <is>
          <t>INC</t>
        </is>
      </c>
      <c r="C31" t="inlineStr">
        <is>
          <t>opex</t>
        </is>
      </c>
      <c r="D31" t="inlineStr">
        <is>
          <t>shared_services</t>
        </is>
      </c>
      <c r="E31" t="inlineStr">
        <is>
          <t>SHAREDSERVICESSL</t>
        </is>
      </c>
      <c r="F31" t="inlineStr">
        <is>
          <t>invoice</t>
        </is>
      </c>
      <c r="G31" s="4" t="n">
        <v>11349.16</v>
      </c>
      <c r="H31" t="inlineStr">
        <is>
          <t>EUR</t>
        </is>
      </c>
      <c r="I31" t="inlineStr">
        <is>
          <t>USD</t>
        </is>
      </c>
      <c r="J31" s="18" t="n">
        <v>1.1554</v>
      </c>
      <c r="K31" s="4" t="n">
        <v>13112.82</v>
      </c>
      <c r="L31" t="inlineStr">
        <is>
          <t>documents</t>
        </is>
      </c>
      <c r="M31" s="19" t="inlineStr">
        <is>
          <t>2025-0020</t>
        </is>
      </c>
      <c r="N31" t="inlineStr">
        <is>
          <t>https://drive.google.com/file/d/1K7wN36aSKckLFy7jC70BqUzQTymFc5nG/view?usp=drivesdk</t>
        </is>
      </c>
    </row>
    <row r="32" ht="12" customHeight="1">
      <c r="A32" t="inlineStr">
        <is>
          <t>202511</t>
        </is>
      </c>
      <c r="B32" t="inlineStr">
        <is>
          <t>INC</t>
        </is>
      </c>
      <c r="C32" t="inlineStr">
        <is>
          <t>opex</t>
        </is>
      </c>
      <c r="D32" t="inlineStr">
        <is>
          <t>administration</t>
        </is>
      </c>
      <c r="E32" t="inlineStr">
        <is>
          <t>HUSHED</t>
        </is>
      </c>
      <c r="F32" t="inlineStr">
        <is>
          <t>invoice</t>
        </is>
      </c>
      <c r="G32" s="4" t="n">
        <v>4.99</v>
      </c>
      <c r="H32" t="inlineStr">
        <is>
          <t>USD</t>
        </is>
      </c>
      <c r="I32" t="inlineStr">
        <is>
          <t>USD</t>
        </is>
      </c>
      <c r="J32" s="18" t="n">
        <v>1</v>
      </c>
      <c r="K32" s="4" t="n">
        <v>4.99</v>
      </c>
      <c r="L32" t="inlineStr">
        <is>
          <t>documents</t>
        </is>
      </c>
      <c r="M32" s="19" t="inlineStr">
        <is>
          <t>2420-6981</t>
        </is>
      </c>
      <c r="N32" t="inlineStr">
        <is>
          <t>https://drive.google.com/file/d/1Hjn8RJAraIynzqs8bso_WYZtzAPP35id/view?usp=drivesdk</t>
        </is>
      </c>
    </row>
    <row r="33" ht="12" customHeight="1">
      <c r="A33" t="inlineStr">
        <is>
          <t>202511</t>
        </is>
      </c>
      <c r="B33" t="inlineStr">
        <is>
          <t>INC</t>
        </is>
      </c>
      <c r="C33" t="inlineStr">
        <is>
          <t>opex</t>
        </is>
      </c>
      <c r="D33" t="inlineStr">
        <is>
          <t>administration</t>
        </is>
      </c>
      <c r="E33" t="inlineStr">
        <is>
          <t>IPOSTAL</t>
        </is>
      </c>
      <c r="F33" t="inlineStr">
        <is>
          <t>invoice</t>
        </is>
      </c>
      <c r="G33" s="4" t="n">
        <v>1.1</v>
      </c>
      <c r="H33" t="inlineStr">
        <is>
          <t>USD</t>
        </is>
      </c>
      <c r="I33" t="inlineStr">
        <is>
          <t>USD</t>
        </is>
      </c>
      <c r="J33" s="18" t="n">
        <v>1</v>
      </c>
      <c r="K33" s="4" t="n">
        <v>1.1</v>
      </c>
      <c r="L33" t="inlineStr">
        <is>
          <t>documents</t>
        </is>
      </c>
      <c r="M33" s="19" t="inlineStr">
        <is>
          <t>33165736</t>
        </is>
      </c>
      <c r="N33" t="inlineStr">
        <is>
          <t>https://drive.google.com/file/d/1nAVFTLWu3w-AA1UJWXx0xkDYc-DX209H/view?usp=drivesdk</t>
        </is>
      </c>
    </row>
    <row r="34" ht="12" customHeight="1">
      <c r="A34" t="inlineStr">
        <is>
          <t>202511</t>
        </is>
      </c>
      <c r="B34" t="inlineStr">
        <is>
          <t>INC</t>
        </is>
      </c>
      <c r="C34" t="inlineStr">
        <is>
          <t>opex</t>
        </is>
      </c>
      <c r="D34" t="inlineStr">
        <is>
          <t>administration</t>
        </is>
      </c>
      <c r="E34" t="inlineStr">
        <is>
          <t>IPOSTAL</t>
        </is>
      </c>
      <c r="F34" t="inlineStr">
        <is>
          <t>invoice</t>
        </is>
      </c>
      <c r="G34" s="4" t="n">
        <v>4.4</v>
      </c>
      <c r="H34" t="inlineStr">
        <is>
          <t>USD</t>
        </is>
      </c>
      <c r="I34" t="inlineStr">
        <is>
          <t>USD</t>
        </is>
      </c>
      <c r="J34" s="18" t="n">
        <v>1</v>
      </c>
      <c r="K34" s="4" t="n">
        <v>4.4</v>
      </c>
      <c r="L34" t="inlineStr">
        <is>
          <t>documents</t>
        </is>
      </c>
      <c r="M34" s="19" t="inlineStr">
        <is>
          <t>33486018</t>
        </is>
      </c>
      <c r="N34" t="inlineStr">
        <is>
          <t>https://drive.google.com/file/d/10KpZp5uIVMXey-JAt91qRFY2j5aFHubF/view?usp=drivesdk</t>
        </is>
      </c>
    </row>
    <row r="35" ht="12" customHeight="1">
      <c r="A35" t="inlineStr">
        <is>
          <t>202511</t>
        </is>
      </c>
      <c r="B35" t="inlineStr">
        <is>
          <t>INC</t>
        </is>
      </c>
      <c r="C35" t="inlineStr">
        <is>
          <t>opex</t>
        </is>
      </c>
      <c r="D35" t="inlineStr">
        <is>
          <t>administration</t>
        </is>
      </c>
      <c r="E35" t="inlineStr">
        <is>
          <t>IPOSTAL</t>
        </is>
      </c>
      <c r="F35" t="inlineStr">
        <is>
          <t>invoice</t>
        </is>
      </c>
      <c r="G35" s="4" t="n">
        <v>2.2</v>
      </c>
      <c r="H35" t="inlineStr">
        <is>
          <t>USD</t>
        </is>
      </c>
      <c r="I35" t="inlineStr">
        <is>
          <t>USD</t>
        </is>
      </c>
      <c r="J35" s="18" t="n">
        <v>1</v>
      </c>
      <c r="K35" s="4" t="n">
        <v>2.2</v>
      </c>
      <c r="L35" t="inlineStr">
        <is>
          <t>documents</t>
        </is>
      </c>
      <c r="M35" s="19" t="inlineStr">
        <is>
          <t>33644054</t>
        </is>
      </c>
      <c r="N35" t="inlineStr">
        <is>
          <t>https://drive.google.com/file/d/1JKtnafV8YldUASUqecl8pOgLOPpAdNdJ/view?usp=drivesdk</t>
        </is>
      </c>
    </row>
    <row r="36" ht="12" customHeight="1">
      <c r="A36" t="inlineStr">
        <is>
          <t>202511</t>
        </is>
      </c>
      <c r="B36" t="inlineStr">
        <is>
          <t>INC</t>
        </is>
      </c>
      <c r="C36" t="inlineStr">
        <is>
          <t>opex</t>
        </is>
      </c>
      <c r="D36" t="inlineStr">
        <is>
          <t>administration</t>
        </is>
      </c>
      <c r="E36" t="inlineStr">
        <is>
          <t>IPOSTAL</t>
        </is>
      </c>
      <c r="F36" t="inlineStr">
        <is>
          <t>invoice</t>
        </is>
      </c>
      <c r="G36" s="4" t="n">
        <v>14.99</v>
      </c>
      <c r="H36" t="inlineStr">
        <is>
          <t>USD</t>
        </is>
      </c>
      <c r="I36" t="inlineStr">
        <is>
          <t>USD</t>
        </is>
      </c>
      <c r="J36" s="18" t="n">
        <v>1</v>
      </c>
      <c r="K36" s="4" t="n">
        <v>14.99</v>
      </c>
      <c r="L36" t="inlineStr">
        <is>
          <t>documents</t>
        </is>
      </c>
      <c r="M36" s="19" t="inlineStr">
        <is>
          <t>33781546</t>
        </is>
      </c>
      <c r="N36" t="inlineStr">
        <is>
          <t>https://drive.google.com/file/d/1NwONcHB9xoTWHo5VYO7rqShYUmN3HW43/view?usp=drivesdk</t>
        </is>
      </c>
    </row>
    <row r="37" ht="12" customHeight="1">
      <c r="A37" t="inlineStr">
        <is>
          <t>202511</t>
        </is>
      </c>
      <c r="B37" t="inlineStr">
        <is>
          <t>INC</t>
        </is>
      </c>
      <c r="C37" t="inlineStr">
        <is>
          <t>opex</t>
        </is>
      </c>
      <c r="D37" t="inlineStr">
        <is>
          <t>administration</t>
        </is>
      </c>
      <c r="E37" t="inlineStr">
        <is>
          <t>IPOSTAL</t>
        </is>
      </c>
      <c r="F37" t="inlineStr">
        <is>
          <t>invoice</t>
        </is>
      </c>
      <c r="G37" s="4" t="n">
        <v>1.1</v>
      </c>
      <c r="H37" t="inlineStr">
        <is>
          <t>USD</t>
        </is>
      </c>
      <c r="I37" t="inlineStr">
        <is>
          <t>USD</t>
        </is>
      </c>
      <c r="J37" s="18" t="n">
        <v>1</v>
      </c>
      <c r="K37" s="4" t="n">
        <v>1.1</v>
      </c>
      <c r="L37" t="inlineStr">
        <is>
          <t>documents</t>
        </is>
      </c>
      <c r="M37" s="19" t="inlineStr">
        <is>
          <t>33795047</t>
        </is>
      </c>
      <c r="N37" t="inlineStr">
        <is>
          <t>https://drive.google.com/file/d/11v62FzVBYaAfieVssEIvUr9PBIW0v3tT/view?usp=drivesdk</t>
        </is>
      </c>
    </row>
    <row r="38" ht="12" customHeight="1">
      <c r="A38" t="inlineStr">
        <is>
          <t>202511</t>
        </is>
      </c>
      <c r="B38" t="inlineStr">
        <is>
          <t>INC</t>
        </is>
      </c>
      <c r="C38" t="inlineStr">
        <is>
          <t>cogs</t>
        </is>
      </c>
      <c r="D38" t="inlineStr">
        <is>
          <t>manufacturing</t>
        </is>
      </c>
      <c r="E38" t="inlineStr">
        <is>
          <t>JONDO</t>
        </is>
      </c>
      <c r="F38" t="inlineStr">
        <is>
          <t>manufacturing</t>
        </is>
      </c>
      <c r="G38" s="4" t="n">
        <v>50.72</v>
      </c>
      <c r="H38" t="inlineStr">
        <is>
          <t>USD</t>
        </is>
      </c>
      <c r="I38" t="inlineStr">
        <is>
          <t>USD</t>
        </is>
      </c>
      <c r="J38" s="18" t="n">
        <v>1</v>
      </c>
      <c r="K38" s="4" t="n">
        <v>50.72</v>
      </c>
      <c r="L38" t="inlineStr">
        <is>
          <t>documents</t>
        </is>
      </c>
      <c r="M38" s="19" t="inlineStr">
        <is>
          <t>AS-90385</t>
        </is>
      </c>
      <c r="N38" t="inlineStr">
        <is>
          <t>https://drive.google.com/file/d/19HR2ul1QqpQYWu5H1-VDA5-SV4VmrjPX/view?usp=drivesdk</t>
        </is>
      </c>
    </row>
    <row r="39" ht="12" customHeight="1">
      <c r="A39" t="inlineStr">
        <is>
          <t>202511</t>
        </is>
      </c>
      <c r="B39" t="inlineStr">
        <is>
          <t>INC</t>
        </is>
      </c>
      <c r="C39" t="inlineStr">
        <is>
          <t>cogs</t>
        </is>
      </c>
      <c r="D39" t="inlineStr">
        <is>
          <t>manufacturing</t>
        </is>
      </c>
      <c r="E39" t="inlineStr">
        <is>
          <t>JONDO</t>
        </is>
      </c>
      <c r="F39" t="inlineStr">
        <is>
          <t>manufacturing</t>
        </is>
      </c>
      <c r="G39" s="4" t="n">
        <v>42.06</v>
      </c>
      <c r="H39" t="inlineStr">
        <is>
          <t>USD</t>
        </is>
      </c>
      <c r="I39" t="inlineStr">
        <is>
          <t>USD</t>
        </is>
      </c>
      <c r="J39" s="18" t="n">
        <v>1</v>
      </c>
      <c r="K39" s="4" t="n">
        <v>42.06</v>
      </c>
      <c r="L39" t="inlineStr">
        <is>
          <t>documents</t>
        </is>
      </c>
      <c r="M39" s="19" t="inlineStr">
        <is>
          <t>AS-90733</t>
        </is>
      </c>
      <c r="N39" t="inlineStr">
        <is>
          <t>https://drive.google.com/file/d/16h2QM43NCeN6hbkGNJSPgOCCrO8BxTmz/view?usp=drivesdk</t>
        </is>
      </c>
    </row>
    <row r="40" ht="12" customHeight="1">
      <c r="A40" t="inlineStr">
        <is>
          <t>202511</t>
        </is>
      </c>
      <c r="B40" t="inlineStr">
        <is>
          <t>INC</t>
        </is>
      </c>
      <c r="C40" t="inlineStr">
        <is>
          <t>cogs</t>
        </is>
      </c>
      <c r="D40" t="inlineStr">
        <is>
          <t>manufacturing</t>
        </is>
      </c>
      <c r="E40" t="inlineStr">
        <is>
          <t>JONDO</t>
        </is>
      </c>
      <c r="F40" t="inlineStr">
        <is>
          <t>manufacturing</t>
        </is>
      </c>
      <c r="G40" s="4" t="n">
        <v>44.06</v>
      </c>
      <c r="H40" t="inlineStr">
        <is>
          <t>USD</t>
        </is>
      </c>
      <c r="I40" t="inlineStr">
        <is>
          <t>USD</t>
        </is>
      </c>
      <c r="J40" s="18" t="n">
        <v>1</v>
      </c>
      <c r="K40" s="4" t="n">
        <v>44.06</v>
      </c>
      <c r="L40" t="inlineStr">
        <is>
          <t>documents</t>
        </is>
      </c>
      <c r="M40" s="19" t="inlineStr">
        <is>
          <t>AS-90754</t>
        </is>
      </c>
      <c r="N40" t="inlineStr">
        <is>
          <t>https://drive.google.com/file/d/1IMBJWO0UUKcYzoYphD0d22Of_3IoLRSG/view?usp=drivesdk</t>
        </is>
      </c>
    </row>
    <row r="41" ht="12" customHeight="1">
      <c r="A41" t="inlineStr">
        <is>
          <t>202511</t>
        </is>
      </c>
      <c r="B41" t="inlineStr">
        <is>
          <t>INC</t>
        </is>
      </c>
      <c r="C41" t="inlineStr">
        <is>
          <t>opex</t>
        </is>
      </c>
      <c r="D41" t="inlineStr">
        <is>
          <t>administration</t>
        </is>
      </c>
      <c r="E41" t="inlineStr">
        <is>
          <t>QUICKBOOKS</t>
        </is>
      </c>
      <c r="F41" t="inlineStr">
        <is>
          <t>invoice</t>
        </is>
      </c>
      <c r="G41" s="4" t="n">
        <v>115</v>
      </c>
      <c r="H41" t="inlineStr">
        <is>
          <t>USD</t>
        </is>
      </c>
      <c r="I41" t="inlineStr">
        <is>
          <t>USD</t>
        </is>
      </c>
      <c r="J41" s="18" t="n">
        <v>1</v>
      </c>
      <c r="K41" s="4" t="n">
        <v>115</v>
      </c>
      <c r="L41" t="inlineStr">
        <is>
          <t>documents</t>
        </is>
      </c>
      <c r="M41" s="19" t="inlineStr">
        <is>
          <t>10001442088265</t>
        </is>
      </c>
      <c r="N41" t="inlineStr">
        <is>
          <t>https://drive.google.com/file/d/1PCcrRyOtmlqVSoMZc17E2bLA1jsIQG-F/view?usp=drivesdk</t>
        </is>
      </c>
    </row>
    <row r="42" ht="12" customHeight="1">
      <c r="A42" t="inlineStr">
        <is>
          <t>202511</t>
        </is>
      </c>
      <c r="B42" t="inlineStr">
        <is>
          <t>INC</t>
        </is>
      </c>
      <c r="C42" t="inlineStr">
        <is>
          <t>opex</t>
        </is>
      </c>
      <c r="D42" t="inlineStr">
        <is>
          <t>administration</t>
        </is>
      </c>
      <c r="E42" t="inlineStr">
        <is>
          <t>REGUS</t>
        </is>
      </c>
      <c r="F42" t="inlineStr">
        <is>
          <t>invoice</t>
        </is>
      </c>
      <c r="G42" s="4" t="n">
        <v>31.8</v>
      </c>
      <c r="H42" t="inlineStr">
        <is>
          <t>USD</t>
        </is>
      </c>
      <c r="I42" t="inlineStr">
        <is>
          <t>USD</t>
        </is>
      </c>
      <c r="J42" s="18" t="n">
        <v>1</v>
      </c>
      <c r="K42" s="4" t="n">
        <v>31.8</v>
      </c>
      <c r="L42" t="inlineStr">
        <is>
          <t>documents</t>
        </is>
      </c>
      <c r="M42" s="19" t="inlineStr">
        <is>
          <t>3313-42407</t>
        </is>
      </c>
      <c r="N42" t="inlineStr">
        <is>
          <t>https://drive.google.com/file/d/1JXIEfoqcpK1EahsEdTqc0TOvXwVd0fGD/view?usp=drivesdk</t>
        </is>
      </c>
    </row>
    <row r="43" ht="12" customHeight="1">
      <c r="A43" t="inlineStr">
        <is>
          <t>202511</t>
        </is>
      </c>
      <c r="B43" t="inlineStr">
        <is>
          <t>INC</t>
        </is>
      </c>
      <c r="C43" t="inlineStr">
        <is>
          <t>opex</t>
        </is>
      </c>
      <c r="D43" t="inlineStr">
        <is>
          <t>shared_services</t>
        </is>
      </c>
      <c r="E43" t="inlineStr">
        <is>
          <t>SHAREDSERVICESSL</t>
        </is>
      </c>
      <c r="F43" t="inlineStr">
        <is>
          <t>invoice</t>
        </is>
      </c>
      <c r="G43" s="4" t="n">
        <v>8993.77</v>
      </c>
      <c r="H43" t="inlineStr">
        <is>
          <t>EUR</t>
        </is>
      </c>
      <c r="I43" t="inlineStr">
        <is>
          <t>USD</t>
        </is>
      </c>
      <c r="J43" s="18" t="n">
        <v>1.1566</v>
      </c>
      <c r="K43" s="4" t="n">
        <v>10402.19</v>
      </c>
      <c r="L43" t="inlineStr">
        <is>
          <t>documents</t>
        </is>
      </c>
      <c r="M43" s="19" t="inlineStr">
        <is>
          <t>2025-0026</t>
        </is>
      </c>
      <c r="N43" t="inlineStr">
        <is>
          <t>https://drive.google.com/file/d/1M2UbiwDf4E-rmEmK5zFgh6OnSUc2_D3P/view?usp=drivesdk</t>
        </is>
      </c>
    </row>
    <row r="44" ht="12" customHeight="1">
      <c r="A44" t="inlineStr">
        <is>
          <t>202512</t>
        </is>
      </c>
      <c r="B44" t="inlineStr">
        <is>
          <t>INC</t>
        </is>
      </c>
      <c r="C44" t="inlineStr">
        <is>
          <t>opex</t>
        </is>
      </c>
      <c r="D44" t="inlineStr">
        <is>
          <t>administration</t>
        </is>
      </c>
      <c r="E44" t="inlineStr">
        <is>
          <t>CONTINUUM</t>
        </is>
      </c>
      <c r="F44" t="inlineStr">
        <is>
          <t>invoice</t>
        </is>
      </c>
      <c r="G44" s="4" t="n">
        <v>1150</v>
      </c>
      <c r="H44" t="inlineStr">
        <is>
          <t>USD</t>
        </is>
      </c>
      <c r="I44" t="inlineStr">
        <is>
          <t>USD</t>
        </is>
      </c>
      <c r="J44" s="18" t="n">
        <v>1</v>
      </c>
      <c r="K44" s="4" t="n">
        <v>1150</v>
      </c>
      <c r="L44" t="inlineStr">
        <is>
          <t>documents</t>
        </is>
      </c>
      <c r="M44" s="19" t="inlineStr">
        <is>
          <t>1194</t>
        </is>
      </c>
      <c r="N44" t="inlineStr">
        <is>
          <t>https://drive.google.com/file/d/1-nPt6S-akvJNyzBdMaZjpieq0nNJGLeB/view?usp=drivesdk</t>
        </is>
      </c>
    </row>
    <row r="45" ht="12" customHeight="1">
      <c r="A45" t="inlineStr">
        <is>
          <t>202512</t>
        </is>
      </c>
      <c r="B45" t="inlineStr">
        <is>
          <t>INC</t>
        </is>
      </c>
      <c r="C45" t="inlineStr">
        <is>
          <t>opex</t>
        </is>
      </c>
      <c r="D45" t="inlineStr">
        <is>
          <t>administration</t>
        </is>
      </c>
      <c r="E45" t="inlineStr">
        <is>
          <t>HUSHED</t>
        </is>
      </c>
      <c r="F45" t="inlineStr">
        <is>
          <t>invoice</t>
        </is>
      </c>
      <c r="G45" s="4" t="n">
        <v>4.99</v>
      </c>
      <c r="H45" t="inlineStr">
        <is>
          <t>USD</t>
        </is>
      </c>
      <c r="I45" t="inlineStr">
        <is>
          <t>USD</t>
        </is>
      </c>
      <c r="J45" s="18" t="n">
        <v>1</v>
      </c>
      <c r="K45" s="4" t="n">
        <v>4.99</v>
      </c>
      <c r="L45" t="inlineStr">
        <is>
          <t>documents</t>
        </is>
      </c>
      <c r="M45" s="19" t="inlineStr">
        <is>
          <t>2988-6944</t>
        </is>
      </c>
      <c r="N45" t="inlineStr">
        <is>
          <t>https://drive.google.com/file/d/1BWgq9Bk9u4DhPBHUnzurjMs6xrBLjOoT/view?usp=drivesdk</t>
        </is>
      </c>
    </row>
    <row r="46" ht="12" customHeight="1">
      <c r="A46" t="inlineStr">
        <is>
          <t>202512</t>
        </is>
      </c>
      <c r="B46" t="inlineStr">
        <is>
          <t>INC</t>
        </is>
      </c>
      <c r="C46" t="inlineStr">
        <is>
          <t>opex</t>
        </is>
      </c>
      <c r="D46" t="inlineStr">
        <is>
          <t>administration</t>
        </is>
      </c>
      <c r="E46" t="inlineStr">
        <is>
          <t>IPOSTAL</t>
        </is>
      </c>
      <c r="F46" t="inlineStr">
        <is>
          <t>invoice</t>
        </is>
      </c>
      <c r="G46" s="4" t="n">
        <v>3.3</v>
      </c>
      <c r="H46" t="inlineStr">
        <is>
          <t>USD</t>
        </is>
      </c>
      <c r="I46" t="inlineStr">
        <is>
          <t>USD</t>
        </is>
      </c>
      <c r="J46" s="18" t="n">
        <v>1</v>
      </c>
      <c r="K46" s="4" t="n">
        <v>3.3</v>
      </c>
      <c r="L46" t="inlineStr">
        <is>
          <t>documents</t>
        </is>
      </c>
      <c r="M46" s="19" t="inlineStr">
        <is>
          <t>34114236</t>
        </is>
      </c>
      <c r="N46" t="inlineStr">
        <is>
          <t>https://drive.google.com/file/d/1-jsMYq93I75JXR08TmxSLu_c0z3VXlKf/view?usp=drivesdk</t>
        </is>
      </c>
    </row>
    <row r="47" ht="12" customHeight="1">
      <c r="A47" t="inlineStr">
        <is>
          <t>202512</t>
        </is>
      </c>
      <c r="B47" t="inlineStr">
        <is>
          <t>INC</t>
        </is>
      </c>
      <c r="C47" t="inlineStr">
        <is>
          <t>opex</t>
        </is>
      </c>
      <c r="D47" t="inlineStr">
        <is>
          <t>administration</t>
        </is>
      </c>
      <c r="E47" t="inlineStr">
        <is>
          <t>IPOSTAL</t>
        </is>
      </c>
      <c r="F47" t="inlineStr">
        <is>
          <t>invoice</t>
        </is>
      </c>
      <c r="G47" s="4" t="n">
        <v>2.25</v>
      </c>
      <c r="H47" t="inlineStr">
        <is>
          <t>USD</t>
        </is>
      </c>
      <c r="I47" t="inlineStr">
        <is>
          <t>USD</t>
        </is>
      </c>
      <c r="J47" s="18" t="n">
        <v>1</v>
      </c>
      <c r="K47" s="4" t="n">
        <v>2.25</v>
      </c>
      <c r="L47" t="inlineStr">
        <is>
          <t>documents</t>
        </is>
      </c>
      <c r="M47" s="19" t="inlineStr">
        <is>
          <t>34166597</t>
        </is>
      </c>
      <c r="N47" t="inlineStr">
        <is>
          <t>https://drive.google.com/file/d/1tNOHTHHm40QxENAWBisBVkCo1DtfO1T6/view?usp=drivesdk</t>
        </is>
      </c>
    </row>
    <row r="48" ht="12" customHeight="1">
      <c r="A48" t="inlineStr">
        <is>
          <t>202512</t>
        </is>
      </c>
      <c r="B48" t="inlineStr">
        <is>
          <t>INC</t>
        </is>
      </c>
      <c r="C48" t="inlineStr">
        <is>
          <t>opex</t>
        </is>
      </c>
      <c r="D48" t="inlineStr">
        <is>
          <t>administration</t>
        </is>
      </c>
      <c r="E48" t="inlineStr">
        <is>
          <t>IPOSTAL</t>
        </is>
      </c>
      <c r="F48" t="inlineStr">
        <is>
          <t>invoice</t>
        </is>
      </c>
      <c r="G48" s="4" t="n">
        <v>2.25</v>
      </c>
      <c r="H48" t="inlineStr">
        <is>
          <t>USD</t>
        </is>
      </c>
      <c r="I48" t="inlineStr">
        <is>
          <t>USD</t>
        </is>
      </c>
      <c r="J48" s="18" t="n">
        <v>1</v>
      </c>
      <c r="K48" s="4" t="n">
        <v>2.25</v>
      </c>
      <c r="L48" t="inlineStr">
        <is>
          <t>documents</t>
        </is>
      </c>
      <c r="M48" s="19" t="inlineStr">
        <is>
          <t>34166613</t>
        </is>
      </c>
      <c r="N48" t="inlineStr">
        <is>
          <t>https://drive.google.com/file/d/17ow474vMCn_sBzQAyJwkjmFzfu_E3F7V/view?usp=drivesdk</t>
        </is>
      </c>
    </row>
    <row r="49" ht="12" customHeight="1">
      <c r="A49" t="inlineStr">
        <is>
          <t>202512</t>
        </is>
      </c>
      <c r="B49" t="inlineStr">
        <is>
          <t>INC</t>
        </is>
      </c>
      <c r="C49" t="inlineStr">
        <is>
          <t>opex</t>
        </is>
      </c>
      <c r="D49" t="inlineStr">
        <is>
          <t>administration</t>
        </is>
      </c>
      <c r="E49" t="inlineStr">
        <is>
          <t>IPOSTAL</t>
        </is>
      </c>
      <c r="F49" t="inlineStr">
        <is>
          <t>invoice</t>
        </is>
      </c>
      <c r="G49" s="4" t="n">
        <v>2.25</v>
      </c>
      <c r="H49" t="inlineStr">
        <is>
          <t>USD</t>
        </is>
      </c>
      <c r="I49" t="inlineStr">
        <is>
          <t>USD</t>
        </is>
      </c>
      <c r="J49" s="18" t="n">
        <v>1</v>
      </c>
      <c r="K49" s="4" t="n">
        <v>2.25</v>
      </c>
      <c r="L49" t="inlineStr">
        <is>
          <t>documents</t>
        </is>
      </c>
      <c r="M49" s="19" t="inlineStr">
        <is>
          <t>34166651</t>
        </is>
      </c>
      <c r="N49" t="inlineStr">
        <is>
          <t>https://drive.google.com/file/d/1M5xarsSho_Z5RxN4veT9GF-pJzcmbNDB/view?usp=drivesdk</t>
        </is>
      </c>
    </row>
    <row r="50" ht="12" customHeight="1">
      <c r="A50" t="inlineStr">
        <is>
          <t>202512</t>
        </is>
      </c>
      <c r="B50" t="inlineStr">
        <is>
          <t>INC</t>
        </is>
      </c>
      <c r="C50" t="inlineStr">
        <is>
          <t>opex</t>
        </is>
      </c>
      <c r="D50" t="inlineStr">
        <is>
          <t>administration</t>
        </is>
      </c>
      <c r="E50" t="inlineStr">
        <is>
          <t>IPOSTAL</t>
        </is>
      </c>
      <c r="F50" t="inlineStr">
        <is>
          <t>invoice</t>
        </is>
      </c>
      <c r="G50" s="4" t="n">
        <v>2.25</v>
      </c>
      <c r="H50" t="inlineStr">
        <is>
          <t>USD</t>
        </is>
      </c>
      <c r="I50" t="inlineStr">
        <is>
          <t>USD</t>
        </is>
      </c>
      <c r="J50" s="18" t="n">
        <v>1</v>
      </c>
      <c r="K50" s="4" t="n">
        <v>2.25</v>
      </c>
      <c r="L50" t="inlineStr">
        <is>
          <t>documents</t>
        </is>
      </c>
      <c r="M50" s="19" t="inlineStr">
        <is>
          <t>34166766</t>
        </is>
      </c>
      <c r="N50" t="inlineStr">
        <is>
          <t>https://drive.google.com/file/d/1QoDZ4ViVSJ9fvnCToruE2ThLT1upF3Cq/view?usp=drivesdk</t>
        </is>
      </c>
    </row>
    <row r="51" ht="12" customHeight="1">
      <c r="A51" t="inlineStr">
        <is>
          <t>202512</t>
        </is>
      </c>
      <c r="B51" t="inlineStr">
        <is>
          <t>INC</t>
        </is>
      </c>
      <c r="C51" t="inlineStr">
        <is>
          <t>opex</t>
        </is>
      </c>
      <c r="D51" t="inlineStr">
        <is>
          <t>administration</t>
        </is>
      </c>
      <c r="E51" t="inlineStr">
        <is>
          <t>IPOSTAL</t>
        </is>
      </c>
      <c r="F51" t="inlineStr">
        <is>
          <t>invoice</t>
        </is>
      </c>
      <c r="G51" s="4" t="n">
        <v>2.25</v>
      </c>
      <c r="H51" t="inlineStr">
        <is>
          <t>USD</t>
        </is>
      </c>
      <c r="I51" t="inlineStr">
        <is>
          <t>USD</t>
        </is>
      </c>
      <c r="J51" s="18" t="n">
        <v>1</v>
      </c>
      <c r="K51" s="4" t="n">
        <v>2.25</v>
      </c>
      <c r="L51" t="inlineStr">
        <is>
          <t>documents</t>
        </is>
      </c>
      <c r="M51" s="19" t="inlineStr">
        <is>
          <t>34166783</t>
        </is>
      </c>
      <c r="N51" t="inlineStr">
        <is>
          <t>https://drive.google.com/file/d/1kuFsoYCt3-zEiGnuasIocQnVAsGcGlXO/view?usp=drivesdk</t>
        </is>
      </c>
    </row>
    <row r="52" ht="12" customHeight="1">
      <c r="A52" t="inlineStr">
        <is>
          <t>202512</t>
        </is>
      </c>
      <c r="B52" t="inlineStr">
        <is>
          <t>INC</t>
        </is>
      </c>
      <c r="C52" t="inlineStr">
        <is>
          <t>opex</t>
        </is>
      </c>
      <c r="D52" t="inlineStr">
        <is>
          <t>administration</t>
        </is>
      </c>
      <c r="E52" t="inlineStr">
        <is>
          <t>IPOSTAL</t>
        </is>
      </c>
      <c r="F52" t="inlineStr">
        <is>
          <t>invoice</t>
        </is>
      </c>
      <c r="G52" s="4" t="n">
        <v>3.3</v>
      </c>
      <c r="H52" t="inlineStr">
        <is>
          <t>USD</t>
        </is>
      </c>
      <c r="I52" t="inlineStr">
        <is>
          <t>USD</t>
        </is>
      </c>
      <c r="J52" s="18" t="n">
        <v>1</v>
      </c>
      <c r="K52" s="4" t="n">
        <v>3.3</v>
      </c>
      <c r="L52" t="inlineStr">
        <is>
          <t>documents</t>
        </is>
      </c>
      <c r="M52" s="19" t="inlineStr">
        <is>
          <t>34275300</t>
        </is>
      </c>
      <c r="N52" t="inlineStr">
        <is>
          <t>https://drive.google.com/file/d/1lOB1AxvofgMVMWluy4eBoLj3AhBwZ_57/view?usp=drivesdk</t>
        </is>
      </c>
    </row>
    <row r="53" ht="12" customHeight="1">
      <c r="A53" t="inlineStr">
        <is>
          <t>202512</t>
        </is>
      </c>
      <c r="B53" t="inlineStr">
        <is>
          <t>INC</t>
        </is>
      </c>
      <c r="C53" t="inlineStr">
        <is>
          <t>opex</t>
        </is>
      </c>
      <c r="D53" t="inlineStr">
        <is>
          <t>administration</t>
        </is>
      </c>
      <c r="E53" t="inlineStr">
        <is>
          <t>IPOSTAL</t>
        </is>
      </c>
      <c r="F53" t="inlineStr">
        <is>
          <t>invoice</t>
        </is>
      </c>
      <c r="G53" s="4" t="n">
        <v>1.1</v>
      </c>
      <c r="H53" t="inlineStr">
        <is>
          <t>USD</t>
        </is>
      </c>
      <c r="I53" t="inlineStr">
        <is>
          <t>USD</t>
        </is>
      </c>
      <c r="J53" s="18" t="n">
        <v>1</v>
      </c>
      <c r="K53" s="4" t="n">
        <v>1.1</v>
      </c>
      <c r="L53" t="inlineStr">
        <is>
          <t>documents</t>
        </is>
      </c>
      <c r="M53" s="19" t="inlineStr">
        <is>
          <t>34422154</t>
        </is>
      </c>
      <c r="N53" t="inlineStr">
        <is>
          <t>https://drive.google.com/file/d/1mNRE8q4N-pdma349CBWPXUATiA2awfgA/view?usp=drivesdk</t>
        </is>
      </c>
    </row>
    <row r="54" ht="12" customHeight="1">
      <c r="A54" t="inlineStr">
        <is>
          <t>202512</t>
        </is>
      </c>
      <c r="B54" t="inlineStr">
        <is>
          <t>INC</t>
        </is>
      </c>
      <c r="C54" t="inlineStr">
        <is>
          <t>opex</t>
        </is>
      </c>
      <c r="D54" t="inlineStr">
        <is>
          <t>administration</t>
        </is>
      </c>
      <c r="E54" t="inlineStr">
        <is>
          <t>IPOSTAL</t>
        </is>
      </c>
      <c r="F54" t="inlineStr">
        <is>
          <t>invoice</t>
        </is>
      </c>
      <c r="G54" s="4" t="n">
        <v>14.99</v>
      </c>
      <c r="H54" t="inlineStr">
        <is>
          <t>USD</t>
        </is>
      </c>
      <c r="I54" t="inlineStr">
        <is>
          <t>USD</t>
        </is>
      </c>
      <c r="J54" s="18" t="n">
        <v>1</v>
      </c>
      <c r="K54" s="4" t="n">
        <v>14.99</v>
      </c>
      <c r="L54" t="inlineStr">
        <is>
          <t>documents</t>
        </is>
      </c>
      <c r="M54" s="19" t="inlineStr">
        <is>
          <t>34475116</t>
        </is>
      </c>
      <c r="N54" t="inlineStr">
        <is>
          <t>https://drive.google.com/file/d/1HY1Ev3Td2YS2dhs5jQzYaxWBaGY2qtky/view?usp=drivesdk</t>
        </is>
      </c>
    </row>
    <row r="55" ht="12" customHeight="1">
      <c r="A55" t="inlineStr">
        <is>
          <t>202512</t>
        </is>
      </c>
      <c r="B55" t="inlineStr">
        <is>
          <t>INC</t>
        </is>
      </c>
      <c r="C55" t="inlineStr">
        <is>
          <t>cogs</t>
        </is>
      </c>
      <c r="D55" t="inlineStr">
        <is>
          <t>manufacturing</t>
        </is>
      </c>
      <c r="E55" t="inlineStr">
        <is>
          <t>JONDO</t>
        </is>
      </c>
      <c r="F55" t="inlineStr">
        <is>
          <t>manufacturing</t>
        </is>
      </c>
      <c r="G55" s="4" t="n">
        <v>31.28</v>
      </c>
      <c r="H55" t="inlineStr">
        <is>
          <t>USD</t>
        </is>
      </c>
      <c r="I55" t="inlineStr">
        <is>
          <t>USD</t>
        </is>
      </c>
      <c r="J55" s="18" t="n">
        <v>1</v>
      </c>
      <c r="K55" s="4" t="n">
        <v>31.28</v>
      </c>
      <c r="L55" t="inlineStr">
        <is>
          <t>documents</t>
        </is>
      </c>
      <c r="M55" s="19" t="inlineStr">
        <is>
          <t>AS-91635</t>
        </is>
      </c>
      <c r="N55" t="inlineStr">
        <is>
          <t>https://drive.google.com/file/d/1rEk53unN0S6gTDmxf0LfSYY8WyNe4P5U/view?usp=drivesdk</t>
        </is>
      </c>
    </row>
    <row r="56" ht="12" customHeight="1">
      <c r="A56" t="inlineStr">
        <is>
          <t>202512</t>
        </is>
      </c>
      <c r="B56" t="inlineStr">
        <is>
          <t>INC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JONDO</t>
        </is>
      </c>
      <c r="F56" t="inlineStr">
        <is>
          <t>manufacturing</t>
        </is>
      </c>
      <c r="G56" s="4" t="n">
        <v>255.38</v>
      </c>
      <c r="H56" t="inlineStr">
        <is>
          <t>USD</t>
        </is>
      </c>
      <c r="I56" t="inlineStr">
        <is>
          <t>USD</t>
        </is>
      </c>
      <c r="J56" s="18" t="n">
        <v>1</v>
      </c>
      <c r="K56" s="4" t="n">
        <v>255.38</v>
      </c>
      <c r="L56" t="inlineStr">
        <is>
          <t>documents</t>
        </is>
      </c>
      <c r="M56" s="19" t="inlineStr">
        <is>
          <t>AS-91829</t>
        </is>
      </c>
      <c r="N56" t="inlineStr">
        <is>
          <t>https://drive.google.com/file/d/1Mjpwi2nZRCTnsQYQdZK2y-bpU5fXxUxk/view?usp=drivesdk</t>
        </is>
      </c>
    </row>
    <row r="57" ht="12" customHeight="1">
      <c r="A57" t="inlineStr">
        <is>
          <t>202512</t>
        </is>
      </c>
      <c r="B57" t="inlineStr">
        <is>
          <t>INC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JONDO</t>
        </is>
      </c>
      <c r="F57" t="inlineStr">
        <is>
          <t>manufacturing</t>
        </is>
      </c>
      <c r="G57" s="4" t="n">
        <v>229.26</v>
      </c>
      <c r="H57" t="inlineStr">
        <is>
          <t>USD</t>
        </is>
      </c>
      <c r="I57" t="inlineStr">
        <is>
          <t>USD</t>
        </is>
      </c>
      <c r="J57" s="18" t="n">
        <v>1</v>
      </c>
      <c r="K57" s="4" t="n">
        <v>229.26</v>
      </c>
      <c r="L57" t="inlineStr">
        <is>
          <t>documents</t>
        </is>
      </c>
      <c r="M57" s="19" t="inlineStr">
        <is>
          <t>AS-91969</t>
        </is>
      </c>
      <c r="N57" t="inlineStr">
        <is>
          <t>https://drive.google.com/file/d/1YulUf_54Ge59FkZwFQzmjqL4MjucUD15/view?usp=drivesdk</t>
        </is>
      </c>
    </row>
    <row r="58" ht="12" customHeight="1">
      <c r="A58" t="inlineStr">
        <is>
          <t>202512</t>
        </is>
      </c>
      <c r="B58" t="inlineStr">
        <is>
          <t>INC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JONDO</t>
        </is>
      </c>
      <c r="F58" t="inlineStr">
        <is>
          <t>manufacturing</t>
        </is>
      </c>
      <c r="G58" s="4" t="n">
        <v>44.06</v>
      </c>
      <c r="H58" t="inlineStr">
        <is>
          <t>USD</t>
        </is>
      </c>
      <c r="I58" t="inlineStr">
        <is>
          <t>USD</t>
        </is>
      </c>
      <c r="J58" s="18" t="n">
        <v>1</v>
      </c>
      <c r="K58" s="4" t="n">
        <v>44.06</v>
      </c>
      <c r="L58" t="inlineStr">
        <is>
          <t>documents</t>
        </is>
      </c>
      <c r="M58" s="19" t="inlineStr">
        <is>
          <t>AS-92411</t>
        </is>
      </c>
      <c r="N58" t="inlineStr">
        <is>
          <t>https://drive.google.com/file/d/13TKId50ynxQyvAg22kfmUtfhRE-pMxF4/view?usp=drivesdk</t>
        </is>
      </c>
    </row>
    <row r="59" ht="12" customHeight="1">
      <c r="A59" t="inlineStr">
        <is>
          <t>202512</t>
        </is>
      </c>
      <c r="B59" t="inlineStr">
        <is>
          <t>INC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JONDO</t>
        </is>
      </c>
      <c r="F59" t="inlineStr">
        <is>
          <t>manufacturing</t>
        </is>
      </c>
      <c r="G59" s="4" t="n">
        <v>50.72</v>
      </c>
      <c r="H59" t="inlineStr">
        <is>
          <t>USD</t>
        </is>
      </c>
      <c r="I59" t="inlineStr">
        <is>
          <t>USD</t>
        </is>
      </c>
      <c r="J59" s="18" t="n">
        <v>1</v>
      </c>
      <c r="K59" s="4" t="n">
        <v>50.72</v>
      </c>
      <c r="L59" t="inlineStr">
        <is>
          <t>documents</t>
        </is>
      </c>
      <c r="M59" s="19" t="inlineStr">
        <is>
          <t>AS-93228</t>
        </is>
      </c>
      <c r="N59" t="inlineStr">
        <is>
          <t>https://drive.google.com/file/d/1Ao_XG_MMttqjUu0qAy5MhuEJcZWLawvw/view?usp=drivesdk</t>
        </is>
      </c>
    </row>
    <row r="60" ht="12" customHeight="1">
      <c r="A60" t="inlineStr">
        <is>
          <t>202512</t>
        </is>
      </c>
      <c r="B60" t="inlineStr">
        <is>
          <t>INC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JONDO</t>
        </is>
      </c>
      <c r="F60" t="inlineStr">
        <is>
          <t>manufacturing</t>
        </is>
      </c>
      <c r="G60" s="4" t="n">
        <v>44.06</v>
      </c>
      <c r="H60" t="inlineStr">
        <is>
          <t>USD</t>
        </is>
      </c>
      <c r="I60" t="inlineStr">
        <is>
          <t>USD</t>
        </is>
      </c>
      <c r="J60" s="18" t="n">
        <v>1</v>
      </c>
      <c r="K60" s="4" t="n">
        <v>44.06</v>
      </c>
      <c r="L60" t="inlineStr">
        <is>
          <t>documents</t>
        </is>
      </c>
      <c r="M60" s="19" t="inlineStr">
        <is>
          <t>AS-93329</t>
        </is>
      </c>
      <c r="N60" t="inlineStr">
        <is>
          <t>https://drive.google.com/file/d/1zhRqZiBhtLN_OccKXt4geBsgt6MiLwB0/view?usp=drivesdk</t>
        </is>
      </c>
    </row>
    <row r="61" ht="12" customHeight="1">
      <c r="A61" t="inlineStr">
        <is>
          <t>202512</t>
        </is>
      </c>
      <c r="B61" t="inlineStr">
        <is>
          <t>INC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JONDO</t>
        </is>
      </c>
      <c r="F61" t="inlineStr">
        <is>
          <t>manufacturing</t>
        </is>
      </c>
      <c r="G61" s="4" t="n">
        <v>36.82</v>
      </c>
      <c r="H61" t="inlineStr">
        <is>
          <t>USD</t>
        </is>
      </c>
      <c r="I61" t="inlineStr">
        <is>
          <t>USD</t>
        </is>
      </c>
      <c r="J61" s="18" t="n">
        <v>1</v>
      </c>
      <c r="K61" s="4" t="n">
        <v>36.82</v>
      </c>
      <c r="L61" t="inlineStr">
        <is>
          <t>documents</t>
        </is>
      </c>
      <c r="M61" s="19" t="inlineStr">
        <is>
          <t>AS-93782</t>
        </is>
      </c>
      <c r="N61" t="inlineStr">
        <is>
          <t>https://drive.google.com/file/d/1v3z_Cg15O_RWcC1XdWWFyRfW4Eib-Dt_/view?usp=drivesdk</t>
        </is>
      </c>
    </row>
    <row r="62" ht="12" customHeight="1">
      <c r="A62" t="inlineStr">
        <is>
          <t>202512</t>
        </is>
      </c>
      <c r="B62" t="inlineStr">
        <is>
          <t>INC</t>
        </is>
      </c>
      <c r="C62" t="inlineStr">
        <is>
          <t>cogs</t>
        </is>
      </c>
      <c r="D62" t="inlineStr">
        <is>
          <t>manufacturing</t>
        </is>
      </c>
      <c r="E62" t="inlineStr">
        <is>
          <t>JONDO</t>
        </is>
      </c>
      <c r="F62" t="inlineStr">
        <is>
          <t>manufacturing</t>
        </is>
      </c>
      <c r="G62" s="4" t="n">
        <v>36.82</v>
      </c>
      <c r="H62" t="inlineStr">
        <is>
          <t>USD</t>
        </is>
      </c>
      <c r="I62" t="inlineStr">
        <is>
          <t>USD</t>
        </is>
      </c>
      <c r="J62" s="18" t="n">
        <v>1</v>
      </c>
      <c r="K62" s="4" t="n">
        <v>36.82</v>
      </c>
      <c r="L62" t="inlineStr">
        <is>
          <t>documents</t>
        </is>
      </c>
      <c r="M62" s="19" t="inlineStr">
        <is>
          <t>AS-93822</t>
        </is>
      </c>
      <c r="N62" t="inlineStr">
        <is>
          <t>https://drive.google.com/file/d/1KCqdXDkBxXbNHbrxD6yufruxtuigPin8/view?usp=drivesdk</t>
        </is>
      </c>
    </row>
    <row r="63" ht="12" customHeight="1">
      <c r="A63" t="inlineStr">
        <is>
          <t>202512</t>
        </is>
      </c>
      <c r="B63" t="inlineStr">
        <is>
          <t>INC</t>
        </is>
      </c>
      <c r="C63" t="inlineStr">
        <is>
          <t>cogs</t>
        </is>
      </c>
      <c r="D63" t="inlineStr">
        <is>
          <t>manufacturing</t>
        </is>
      </c>
      <c r="E63" t="inlineStr">
        <is>
          <t>JONDO</t>
        </is>
      </c>
      <c r="F63" t="inlineStr">
        <is>
          <t>manufacturing</t>
        </is>
      </c>
      <c r="G63" s="4" t="n">
        <v>33.98</v>
      </c>
      <c r="H63" t="inlineStr">
        <is>
          <t>USD</t>
        </is>
      </c>
      <c r="I63" t="inlineStr">
        <is>
          <t>USD</t>
        </is>
      </c>
      <c r="J63" s="18" t="n">
        <v>1</v>
      </c>
      <c r="K63" s="4" t="n">
        <v>33.98</v>
      </c>
      <c r="L63" t="inlineStr">
        <is>
          <t>documents</t>
        </is>
      </c>
      <c r="M63" s="19" t="inlineStr">
        <is>
          <t>AS-94224</t>
        </is>
      </c>
      <c r="N63" t="inlineStr">
        <is>
          <t>https://drive.google.com/file/d/1dGaOhwcHmJ7E9xsHoMz5X0hT0s3-xisE/view?usp=drivesdk</t>
        </is>
      </c>
    </row>
    <row r="64" ht="12" customHeight="1">
      <c r="A64" t="inlineStr">
        <is>
          <t>202512</t>
        </is>
      </c>
      <c r="B64" t="inlineStr">
        <is>
          <t>INC</t>
        </is>
      </c>
      <c r="C64" t="inlineStr">
        <is>
          <t>cogs</t>
        </is>
      </c>
      <c r="D64" t="inlineStr">
        <is>
          <t>manufacturing</t>
        </is>
      </c>
      <c r="E64" t="inlineStr">
        <is>
          <t>JONDO</t>
        </is>
      </c>
      <c r="F64" t="inlineStr">
        <is>
          <t>manufacturing</t>
        </is>
      </c>
      <c r="G64" s="4" t="n">
        <v>50.72</v>
      </c>
      <c r="H64" t="inlineStr">
        <is>
          <t>USD</t>
        </is>
      </c>
      <c r="I64" t="inlineStr">
        <is>
          <t>USD</t>
        </is>
      </c>
      <c r="J64" s="18" t="n">
        <v>1</v>
      </c>
      <c r="K64" s="4" t="n">
        <v>50.72</v>
      </c>
      <c r="L64" t="inlineStr">
        <is>
          <t>documents</t>
        </is>
      </c>
      <c r="M64" s="19" t="inlineStr">
        <is>
          <t>AS-94237</t>
        </is>
      </c>
      <c r="N64" t="inlineStr">
        <is>
          <t>https://drive.google.com/file/d/1o65Tq0fDpxT59YHaZpXIjVwUf1MKoWxG/view?usp=drivesdk</t>
        </is>
      </c>
    </row>
    <row r="65" ht="12" customHeight="1">
      <c r="A65" t="inlineStr">
        <is>
          <t>202512</t>
        </is>
      </c>
      <c r="B65" t="inlineStr">
        <is>
          <t>INC</t>
        </is>
      </c>
      <c r="C65" t="inlineStr">
        <is>
          <t>cogs</t>
        </is>
      </c>
      <c r="D65" t="inlineStr">
        <is>
          <t>manufacturing</t>
        </is>
      </c>
      <c r="E65" t="inlineStr">
        <is>
          <t>JONDO</t>
        </is>
      </c>
      <c r="F65" t="inlineStr">
        <is>
          <t>manufacturing</t>
        </is>
      </c>
      <c r="G65" s="4" t="n">
        <v>229.26</v>
      </c>
      <c r="H65" t="inlineStr">
        <is>
          <t>USD</t>
        </is>
      </c>
      <c r="I65" t="inlineStr">
        <is>
          <t>USD</t>
        </is>
      </c>
      <c r="J65" s="18" t="n">
        <v>1</v>
      </c>
      <c r="K65" s="4" t="n">
        <v>229.26</v>
      </c>
      <c r="L65" t="inlineStr">
        <is>
          <t>documents</t>
        </is>
      </c>
      <c r="M65" s="19" t="inlineStr">
        <is>
          <t>AS-94532</t>
        </is>
      </c>
      <c r="N65" t="inlineStr">
        <is>
          <t>https://drive.google.com/file/d/15DVcEr8Ytfujv1tpQLgt6W6YMWHXljy_/view?usp=drivesdk</t>
        </is>
      </c>
    </row>
    <row r="66" ht="12" customHeight="1">
      <c r="A66" t="inlineStr">
        <is>
          <t>202512</t>
        </is>
      </c>
      <c r="B66" t="inlineStr">
        <is>
          <t>INC</t>
        </is>
      </c>
      <c r="C66" t="inlineStr">
        <is>
          <t>cogs</t>
        </is>
      </c>
      <c r="D66" t="inlineStr">
        <is>
          <t>manufacturing</t>
        </is>
      </c>
      <c r="E66" t="inlineStr">
        <is>
          <t>JONDO</t>
        </is>
      </c>
      <c r="F66" t="inlineStr">
        <is>
          <t>manufacturing</t>
        </is>
      </c>
      <c r="G66" s="4" t="n">
        <v>24.54</v>
      </c>
      <c r="H66" t="inlineStr">
        <is>
          <t>USD</t>
        </is>
      </c>
      <c r="I66" t="inlineStr">
        <is>
          <t>USD</t>
        </is>
      </c>
      <c r="J66" s="18" t="n">
        <v>1</v>
      </c>
      <c r="K66" s="4" t="n">
        <v>24.54</v>
      </c>
      <c r="L66" t="inlineStr">
        <is>
          <t>documents</t>
        </is>
      </c>
      <c r="M66" s="19" t="inlineStr">
        <is>
          <t>AS-94689</t>
        </is>
      </c>
      <c r="N66" t="inlineStr">
        <is>
          <t>https://drive.google.com/file/d/1v00B078Ae3MCj4_8IxpgmhLJoh60v_pH/view?usp=drivesdk</t>
        </is>
      </c>
    </row>
    <row r="67" ht="12" customHeight="1">
      <c r="A67" t="inlineStr">
        <is>
          <t>202512</t>
        </is>
      </c>
      <c r="B67" t="inlineStr">
        <is>
          <t>INC</t>
        </is>
      </c>
      <c r="C67" t="inlineStr">
        <is>
          <t>opex</t>
        </is>
      </c>
      <c r="D67" t="inlineStr">
        <is>
          <t>administration</t>
        </is>
      </c>
      <c r="E67" t="inlineStr">
        <is>
          <t>QUICKBOOKS</t>
        </is>
      </c>
      <c r="F67" t="inlineStr">
        <is>
          <t>invoice</t>
        </is>
      </c>
      <c r="G67" s="4" t="n">
        <v>115</v>
      </c>
      <c r="H67" t="inlineStr">
        <is>
          <t>USD</t>
        </is>
      </c>
      <c r="I67" t="inlineStr">
        <is>
          <t>USD</t>
        </is>
      </c>
      <c r="J67" s="18" t="n">
        <v>1</v>
      </c>
      <c r="K67" s="4" t="n">
        <v>115</v>
      </c>
      <c r="L67" t="inlineStr">
        <is>
          <t>documents</t>
        </is>
      </c>
      <c r="M67" s="19" t="inlineStr">
        <is>
          <t>10001450202649</t>
        </is>
      </c>
      <c r="N67" t="inlineStr">
        <is>
          <t>https://drive.google.com/file/d/1Rdtd5bFpCWCdRwjt5JS8ninB09DgnSSY/view?usp=drivesdk</t>
        </is>
      </c>
    </row>
    <row r="68" ht="12" customHeight="1">
      <c r="A68" t="inlineStr">
        <is>
          <t>202512</t>
        </is>
      </c>
      <c r="B68" t="inlineStr">
        <is>
          <t>INC</t>
        </is>
      </c>
      <c r="C68" t="inlineStr">
        <is>
          <t>opex</t>
        </is>
      </c>
      <c r="D68" t="inlineStr">
        <is>
          <t>administration</t>
        </is>
      </c>
      <c r="E68" t="inlineStr">
        <is>
          <t>REGUS</t>
        </is>
      </c>
      <c r="F68" t="inlineStr">
        <is>
          <t>invoice</t>
        </is>
      </c>
      <c r="G68" s="4" t="n">
        <v>31.8</v>
      </c>
      <c r="H68" t="inlineStr">
        <is>
          <t>USD</t>
        </is>
      </c>
      <c r="I68" t="inlineStr">
        <is>
          <t>USD</t>
        </is>
      </c>
      <c r="J68" s="18" t="n">
        <v>1</v>
      </c>
      <c r="K68" s="4" t="n">
        <v>31.8</v>
      </c>
      <c r="L68" t="inlineStr">
        <is>
          <t>documents</t>
        </is>
      </c>
      <c r="M68" s="19" t="inlineStr">
        <is>
          <t>3313-42838</t>
        </is>
      </c>
      <c r="N68" t="inlineStr">
        <is>
          <t>https://drive.google.com/file/d/1JPw1TNvghTI6YSGC7_wDxk6ZSKSiu5UJ/view?usp=drivesdk</t>
        </is>
      </c>
    </row>
  </sheetData>
  <hyperlinks>
    <hyperlink ref="A1" location="'P&amp;G-INC'!A1" display="&lt;- Volver a P&amp;G-INC"/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r:id="rId47"/>
    <hyperlink xmlns:r="http://schemas.openxmlformats.org/officeDocument/2006/relationships" ref="M50" r:id="rId48"/>
    <hyperlink xmlns:r="http://schemas.openxmlformats.org/officeDocument/2006/relationships" ref="M51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  <hyperlink xmlns:r="http://schemas.openxmlformats.org/officeDocument/2006/relationships" ref="M65" r:id="rId63"/>
    <hyperlink xmlns:r="http://schemas.openxmlformats.org/officeDocument/2006/relationships" ref="M66" r:id="rId64"/>
    <hyperlink xmlns:r="http://schemas.openxmlformats.org/officeDocument/2006/relationships" ref="M67" r:id="rId65"/>
    <hyperlink xmlns:r="http://schemas.openxmlformats.org/officeDocument/2006/relationships" ref="M68" r:id="rId6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9" customWidth="1" min="5" max="5"/>
    <col width="20" customWidth="1" min="6" max="6"/>
    <col width="14" customWidth="1" min="7" max="7"/>
    <col width="18" customWidth="1" min="8" max="8"/>
    <col width="14" customWidth="1" min="9" max="9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yyyymm</t>
        </is>
      </c>
      <c r="B2" s="17" t="inlineStr">
        <is>
          <t>entity</t>
        </is>
      </c>
      <c r="C2" s="17" t="inlineStr">
        <is>
          <t>supplier_code</t>
        </is>
      </c>
      <c r="D2" s="17" t="inlineStr">
        <is>
          <t>amount_original</t>
        </is>
      </c>
      <c r="E2" s="17" t="inlineStr">
        <is>
          <t>currency_original</t>
        </is>
      </c>
      <c r="F2" s="17" t="inlineStr">
        <is>
          <t>reporting_currency</t>
        </is>
      </c>
      <c r="G2" s="17" t="inlineStr">
        <is>
          <t>fx_rate</t>
        </is>
      </c>
      <c r="H2" s="17" t="inlineStr">
        <is>
          <t>amount_reporting</t>
        </is>
      </c>
      <c r="I2" s="17" t="inlineStr">
        <is>
          <t>source</t>
        </is>
      </c>
    </row>
    <row r="3" ht="12" customHeight="1">
      <c r="A3" t="inlineStr">
        <is>
          <t>202507</t>
        </is>
      </c>
      <c r="B3" t="inlineStr">
        <is>
          <t>INC</t>
        </is>
      </c>
      <c r="C3" t="inlineStr">
        <is>
          <t>SHOPIFY</t>
        </is>
      </c>
      <c r="D3" s="4" t="n">
        <v>138.84</v>
      </c>
      <c r="E3" t="inlineStr">
        <is>
          <t>USD</t>
        </is>
      </c>
      <c r="F3" t="inlineStr">
        <is>
          <t>USD</t>
        </is>
      </c>
      <c r="G3" s="18" t="n">
        <v>1</v>
      </c>
      <c r="H3" s="4" t="n">
        <v>138.84</v>
      </c>
      <c r="I3" t="inlineStr">
        <is>
          <t>payment_fee_monthly_summary</t>
        </is>
      </c>
    </row>
    <row r="4" ht="12" customHeight="1">
      <c r="A4" t="inlineStr">
        <is>
          <t>202508</t>
        </is>
      </c>
      <c r="B4" t="inlineStr">
        <is>
          <t>INC</t>
        </is>
      </c>
      <c r="C4" t="inlineStr">
        <is>
          <t>SHOPIFY</t>
        </is>
      </c>
      <c r="D4" s="4" t="n">
        <v>469.35</v>
      </c>
      <c r="E4" t="inlineStr">
        <is>
          <t>USD</t>
        </is>
      </c>
      <c r="F4" t="inlineStr">
        <is>
          <t>USD</t>
        </is>
      </c>
      <c r="G4" s="18" t="n">
        <v>1</v>
      </c>
      <c r="H4" s="4" t="n">
        <v>469.35</v>
      </c>
      <c r="I4" t="inlineStr">
        <is>
          <t>payment_fee_monthly_summary</t>
        </is>
      </c>
    </row>
    <row r="5" ht="12" customHeight="1">
      <c r="A5" t="inlineStr">
        <is>
          <t>202509</t>
        </is>
      </c>
      <c r="B5" t="inlineStr">
        <is>
          <t>INC</t>
        </is>
      </c>
      <c r="C5" t="inlineStr">
        <is>
          <t>SHOPIFY</t>
        </is>
      </c>
      <c r="D5" s="4" t="n">
        <v>427.42</v>
      </c>
      <c r="E5" t="inlineStr">
        <is>
          <t>USD</t>
        </is>
      </c>
      <c r="F5" t="inlineStr">
        <is>
          <t>USD</t>
        </is>
      </c>
      <c r="G5" s="18" t="n">
        <v>1</v>
      </c>
      <c r="H5" s="4" t="n">
        <v>427.42</v>
      </c>
      <c r="I5" t="inlineStr">
        <is>
          <t>payment_fee_monthly_summary</t>
        </is>
      </c>
    </row>
    <row r="6" ht="12" customHeight="1">
      <c r="A6" t="inlineStr">
        <is>
          <t>202510</t>
        </is>
      </c>
      <c r="B6" t="inlineStr">
        <is>
          <t>INC</t>
        </is>
      </c>
      <c r="C6" t="inlineStr">
        <is>
          <t>SHOPIFY</t>
        </is>
      </c>
      <c r="D6" s="4" t="n">
        <v>407.19</v>
      </c>
      <c r="E6" t="inlineStr">
        <is>
          <t>USD</t>
        </is>
      </c>
      <c r="F6" t="inlineStr">
        <is>
          <t>USD</t>
        </is>
      </c>
      <c r="G6" s="18" t="n">
        <v>1</v>
      </c>
      <c r="H6" s="4" t="n">
        <v>407.19</v>
      </c>
      <c r="I6" t="inlineStr">
        <is>
          <t>payment_fee_monthly_summary</t>
        </is>
      </c>
    </row>
    <row r="7" ht="12" customHeight="1">
      <c r="A7" t="inlineStr">
        <is>
          <t>202511</t>
        </is>
      </c>
      <c r="B7" t="inlineStr">
        <is>
          <t>INC</t>
        </is>
      </c>
      <c r="C7" t="inlineStr">
        <is>
          <t>SHOPIFY</t>
        </is>
      </c>
      <c r="D7" s="4" t="n">
        <v>478.81</v>
      </c>
      <c r="E7" t="inlineStr">
        <is>
          <t>USD</t>
        </is>
      </c>
      <c r="F7" t="inlineStr">
        <is>
          <t>USD</t>
        </is>
      </c>
      <c r="G7" s="18" t="n">
        <v>1</v>
      </c>
      <c r="H7" s="4" t="n">
        <v>478.81</v>
      </c>
      <c r="I7" t="inlineStr">
        <is>
          <t>payment_fee_monthly_summary</t>
        </is>
      </c>
    </row>
    <row r="8" ht="12" customHeight="1">
      <c r="A8" t="inlineStr">
        <is>
          <t>202512</t>
        </is>
      </c>
      <c r="B8" t="inlineStr">
        <is>
          <t>INC</t>
        </is>
      </c>
      <c r="C8" t="inlineStr">
        <is>
          <t>SHOPIFY</t>
        </is>
      </c>
      <c r="D8" s="4" t="n">
        <v>248.67</v>
      </c>
      <c r="E8" t="inlineStr">
        <is>
          <t>USD</t>
        </is>
      </c>
      <c r="F8" t="inlineStr">
        <is>
          <t>USD</t>
        </is>
      </c>
      <c r="G8" s="18" t="n">
        <v>1</v>
      </c>
      <c r="H8" s="4" t="n">
        <v>248.67</v>
      </c>
      <c r="I8" t="inlineStr">
        <is>
          <t>payment_fee_monthly_summary</t>
        </is>
      </c>
    </row>
  </sheetData>
  <hyperlinks>
    <hyperlink ref="A1" location="'P&amp;G-INC'!A1" display="&lt;- Volver a P&amp;G-INC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6" customWidth="1" min="5" max="5"/>
    <col width="14" customWidth="1" min="6" max="6"/>
    <col width="14" customWidth="1" min="7" max="7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yyyymm</t>
        </is>
      </c>
      <c r="B2" s="17" t="inlineStr">
        <is>
          <t>rate_date</t>
        </is>
      </c>
      <c r="C2" s="17" t="inlineStr">
        <is>
          <t>currency_original</t>
        </is>
      </c>
      <c r="D2" s="17" t="inlineStr">
        <is>
          <t>reporting_currency</t>
        </is>
      </c>
      <c r="E2" s="17" t="inlineStr">
        <is>
          <t>reference_rate</t>
        </is>
      </c>
      <c r="F2" s="17" t="inlineStr">
        <is>
          <t>fx_rate</t>
        </is>
      </c>
      <c r="G2" s="17" t="inlineStr">
        <is>
          <t>source</t>
        </is>
      </c>
    </row>
    <row r="3" ht="12" customHeight="1">
      <c r="A3" t="inlineStr">
        <is>
          <t>202503</t>
        </is>
      </c>
      <c r="B3" t="inlineStr">
        <is>
          <t>2025-03-01</t>
        </is>
      </c>
      <c r="C3" t="inlineStr">
        <is>
          <t>USD</t>
        </is>
      </c>
      <c r="D3" t="inlineStr">
        <is>
          <t>USD</t>
        </is>
      </c>
      <c r="E3" s="18" t="n">
        <v>1</v>
      </c>
      <c r="F3" s="18" t="n">
        <v>1</v>
      </c>
      <c r="G3" t="inlineStr">
        <is>
          <t>identity</t>
        </is>
      </c>
    </row>
    <row r="4" ht="12" customHeight="1">
      <c r="A4" t="inlineStr">
        <is>
          <t>202504</t>
        </is>
      </c>
      <c r="B4" t="inlineStr">
        <is>
          <t>2025-04-01</t>
        </is>
      </c>
      <c r="C4" t="inlineStr">
        <is>
          <t>USD</t>
        </is>
      </c>
      <c r="D4" t="inlineStr">
        <is>
          <t>USD</t>
        </is>
      </c>
      <c r="E4" s="18" t="n">
        <v>1</v>
      </c>
      <c r="F4" s="18" t="n">
        <v>1</v>
      </c>
      <c r="G4" t="inlineStr">
        <is>
          <t>identity</t>
        </is>
      </c>
    </row>
    <row r="5" ht="12" customHeight="1">
      <c r="A5" t="inlineStr">
        <is>
          <t>202505</t>
        </is>
      </c>
      <c r="B5" t="inlineStr">
        <is>
          <t>2025-05-01</t>
        </is>
      </c>
      <c r="C5" t="inlineStr">
        <is>
          <t>USD</t>
        </is>
      </c>
      <c r="D5" t="inlineStr">
        <is>
          <t>USD</t>
        </is>
      </c>
      <c r="E5" s="18" t="n">
        <v>1</v>
      </c>
      <c r="F5" s="18" t="n">
        <v>1</v>
      </c>
      <c r="G5" t="inlineStr">
        <is>
          <t>identity</t>
        </is>
      </c>
    </row>
    <row r="6" ht="12" customHeight="1">
      <c r="A6" t="inlineStr">
        <is>
          <t>202506</t>
        </is>
      </c>
      <c r="B6" t="inlineStr">
        <is>
          <t>2025-06-01</t>
        </is>
      </c>
      <c r="C6" t="inlineStr">
        <is>
          <t>USD</t>
        </is>
      </c>
      <c r="D6" t="inlineStr">
        <is>
          <t>USD</t>
        </is>
      </c>
      <c r="E6" s="18" t="n">
        <v>1</v>
      </c>
      <c r="F6" s="18" t="n">
        <v>1</v>
      </c>
      <c r="G6" t="inlineStr">
        <is>
          <t>identity</t>
        </is>
      </c>
    </row>
    <row r="7" ht="12" customHeight="1">
      <c r="A7" t="inlineStr">
        <is>
          <t>202507</t>
        </is>
      </c>
      <c r="B7" t="inlineStr">
        <is>
          <t>2025-07-01</t>
        </is>
      </c>
      <c r="C7" t="inlineStr">
        <is>
          <t>USD</t>
        </is>
      </c>
      <c r="D7" t="inlineStr">
        <is>
          <t>USD</t>
        </is>
      </c>
      <c r="E7" s="18" t="n">
        <v>1</v>
      </c>
      <c r="F7" s="18" t="n">
        <v>1</v>
      </c>
      <c r="G7" t="inlineStr">
        <is>
          <t>identity</t>
        </is>
      </c>
    </row>
    <row r="8" ht="12" customHeight="1">
      <c r="A8" t="inlineStr">
        <is>
          <t>202508</t>
        </is>
      </c>
      <c r="B8" t="inlineStr">
        <is>
          <t>2025-08-01</t>
        </is>
      </c>
      <c r="C8" t="inlineStr">
        <is>
          <t>USD</t>
        </is>
      </c>
      <c r="D8" t="inlineStr">
        <is>
          <t>USD</t>
        </is>
      </c>
      <c r="E8" s="18" t="n">
        <v>1</v>
      </c>
      <c r="F8" s="18" t="n">
        <v>1</v>
      </c>
      <c r="G8" t="inlineStr">
        <is>
          <t>identity</t>
        </is>
      </c>
    </row>
    <row r="9" ht="12" customHeight="1">
      <c r="A9" t="inlineStr">
        <is>
          <t>202509</t>
        </is>
      </c>
      <c r="B9" t="inlineStr">
        <is>
          <t>2025-09-01</t>
        </is>
      </c>
      <c r="C9" t="inlineStr">
        <is>
          <t>USD</t>
        </is>
      </c>
      <c r="D9" t="inlineStr">
        <is>
          <t>USD</t>
        </is>
      </c>
      <c r="E9" s="18" t="n">
        <v>1</v>
      </c>
      <c r="F9" s="18" t="n">
        <v>1</v>
      </c>
      <c r="G9" t="inlineStr">
        <is>
          <t>identity</t>
        </is>
      </c>
    </row>
    <row r="10" ht="12" customHeight="1">
      <c r="A10" t="inlineStr">
        <is>
          <t>202510</t>
        </is>
      </c>
      <c r="B10" t="inlineStr">
        <is>
          <t>2025-10-01</t>
        </is>
      </c>
      <c r="C10" t="inlineStr">
        <is>
          <t>EUR</t>
        </is>
      </c>
      <c r="D10" t="inlineStr">
        <is>
          <t>USD</t>
        </is>
      </c>
      <c r="E10" s="18" t="n">
        <v>1</v>
      </c>
      <c r="F10" s="18" t="n">
        <v>1.1554</v>
      </c>
      <c r="G10" t="inlineStr">
        <is>
          <t>identity -&gt; https://www.ecb.europa.eu/stats/eurofxref/eurofxref-hist.xml</t>
        </is>
      </c>
    </row>
    <row r="11" ht="12" customHeight="1">
      <c r="A11" t="inlineStr">
        <is>
          <t>202510</t>
        </is>
      </c>
      <c r="B11" t="inlineStr">
        <is>
          <t>2025-10-01</t>
        </is>
      </c>
      <c r="C11" t="inlineStr">
        <is>
          <t>USD</t>
        </is>
      </c>
      <c r="D11" t="inlineStr">
        <is>
          <t>USD</t>
        </is>
      </c>
      <c r="E11" s="18" t="n">
        <v>1</v>
      </c>
      <c r="F11" s="18" t="n">
        <v>1</v>
      </c>
      <c r="G11" t="inlineStr">
        <is>
          <t>identity</t>
        </is>
      </c>
    </row>
    <row r="12" ht="12" customHeight="1">
      <c r="A12" t="inlineStr">
        <is>
          <t>202511</t>
        </is>
      </c>
      <c r="B12" t="inlineStr">
        <is>
          <t>2025-11-01</t>
        </is>
      </c>
      <c r="C12" t="inlineStr">
        <is>
          <t>EUR</t>
        </is>
      </c>
      <c r="D12" t="inlineStr">
        <is>
          <t>USD</t>
        </is>
      </c>
      <c r="E12" s="18" t="n">
        <v>1</v>
      </c>
      <c r="F12" s="18" t="n">
        <v>1.1566</v>
      </c>
      <c r="G12" t="inlineStr">
        <is>
          <t>identity -&gt; https://www.ecb.europa.eu/stats/eurofxref/eurofxref-hist.xml</t>
        </is>
      </c>
    </row>
    <row r="13" ht="12" customHeight="1">
      <c r="A13" t="inlineStr">
        <is>
          <t>202511</t>
        </is>
      </c>
      <c r="B13" t="inlineStr">
        <is>
          <t>2025-11-01</t>
        </is>
      </c>
      <c r="C13" t="inlineStr">
        <is>
          <t>USD</t>
        </is>
      </c>
      <c r="D13" t="inlineStr">
        <is>
          <t>USD</t>
        </is>
      </c>
      <c r="E13" s="18" t="n">
        <v>1</v>
      </c>
      <c r="F13" s="18" t="n">
        <v>1</v>
      </c>
      <c r="G13" t="inlineStr">
        <is>
          <t>identity</t>
        </is>
      </c>
    </row>
    <row r="14" ht="12" customHeight="1">
      <c r="A14" t="inlineStr">
        <is>
          <t>202512</t>
        </is>
      </c>
      <c r="B14" t="inlineStr">
        <is>
          <t>2025-12-01</t>
        </is>
      </c>
      <c r="C14" t="inlineStr">
        <is>
          <t>USD</t>
        </is>
      </c>
      <c r="D14" t="inlineStr">
        <is>
          <t>USD</t>
        </is>
      </c>
      <c r="E14" s="18" t="n">
        <v>1</v>
      </c>
      <c r="F14" s="18" t="n">
        <v>1</v>
      </c>
      <c r="G14" t="inlineStr">
        <is>
          <t>identity</t>
        </is>
      </c>
    </row>
  </sheetData>
  <hyperlinks>
    <hyperlink ref="A1" location="'P&amp;G-INC'!A1" display="&lt;- Volver a P&amp;G-INC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supplier_code</t>
        </is>
      </c>
      <c r="B2" s="17" t="inlineStr">
        <is>
          <t>supplier_name</t>
        </is>
      </c>
      <c r="C2" s="17" t="inlineStr">
        <is>
          <t>current_folder</t>
        </is>
      </c>
      <c r="D2" s="17" t="inlineStr">
        <is>
          <t>destination_path</t>
        </is>
      </c>
      <c r="E2" s="17" t="inlineStr">
        <is>
          <t>notes</t>
        </is>
      </c>
    </row>
    <row r="3" ht="12" customHeight="1">
      <c r="A3" t="inlineStr">
        <is>
          <t>JONDO</t>
        </is>
      </c>
      <c r="B3" t="inlineStr">
        <is>
          <t>JONDO</t>
        </is>
      </c>
      <c r="C3" t="inlineStr">
        <is>
          <t>jondo</t>
        </is>
      </c>
      <c r="D3" t="inlineStr">
        <is>
          <t>expenses/cogs/manufacturing</t>
        </is>
      </c>
      <c r="E3" t="inlineStr">
        <is>
          <t>Imported JONDO US supplier</t>
        </is>
      </c>
    </row>
    <row r="4" ht="12" customHeight="1">
      <c r="A4" t="inlineStr">
        <is>
          <t>TGI</t>
        </is>
      </c>
      <c r="B4" t="inlineStr">
        <is>
          <t>TGI</t>
        </is>
      </c>
      <c r="C4" t="inlineStr">
        <is>
          <t>tgi</t>
        </is>
      </c>
      <c r="D4" t="inlineStr">
        <is>
          <t>expenses/cogs/manufacturing-logistics</t>
        </is>
      </c>
      <c r="E4" t="inlineStr"/>
    </row>
    <row r="5" ht="12" customHeight="1">
      <c r="A5" t="inlineStr">
        <is>
          <t>CONTINUUM</t>
        </is>
      </c>
      <c r="B5" t="inlineStr">
        <is>
          <t>CONTINUUM</t>
        </is>
      </c>
      <c r="C5" t="inlineStr">
        <is>
          <t>Continuum</t>
        </is>
      </c>
      <c r="D5" t="inlineStr">
        <is>
          <t>expenses/opex/administration</t>
        </is>
      </c>
      <c r="E5" t="inlineStr"/>
    </row>
    <row r="6" ht="12" customHeight="1">
      <c r="A6" t="inlineStr">
        <is>
          <t>HUSHED</t>
        </is>
      </c>
      <c r="B6" t="inlineStr">
        <is>
          <t>HUSHED</t>
        </is>
      </c>
      <c r="C6" t="inlineStr">
        <is>
          <t>hushed</t>
        </is>
      </c>
      <c r="D6" t="inlineStr">
        <is>
          <t>expenses/opex/administration</t>
        </is>
      </c>
      <c r="E6" t="inlineStr"/>
    </row>
    <row r="7" ht="12" customHeight="1">
      <c r="A7" t="inlineStr">
        <is>
          <t>IPOSTAL</t>
        </is>
      </c>
      <c r="B7" t="inlineStr">
        <is>
          <t>IPOSTAL</t>
        </is>
      </c>
      <c r="C7" t="inlineStr">
        <is>
          <t>iPostal</t>
        </is>
      </c>
      <c r="D7" t="inlineStr">
        <is>
          <t>expenses/opex/administration</t>
        </is>
      </c>
      <c r="E7" t="inlineStr">
        <is>
          <t>Virtual mailbox and mailing address service</t>
        </is>
      </c>
    </row>
    <row r="8" ht="12" customHeight="1">
      <c r="A8" t="inlineStr">
        <is>
          <t>QUICKBOOKS</t>
        </is>
      </c>
      <c r="B8" t="inlineStr">
        <is>
          <t>QUICKBOOKS</t>
        </is>
      </c>
      <c r="C8" t="inlineStr">
        <is>
          <t>QuickBooks</t>
        </is>
      </c>
      <c r="D8" t="inlineStr">
        <is>
          <t>expenses/opex/administration</t>
        </is>
      </c>
      <c r="E8" t="inlineStr">
        <is>
          <t>Accounting software subscription</t>
        </is>
      </c>
    </row>
    <row r="9" ht="12" customHeight="1">
      <c r="A9" t="inlineStr">
        <is>
          <t>REGUS</t>
        </is>
      </c>
      <c r="B9" t="inlineStr">
        <is>
          <t>REGUS</t>
        </is>
      </c>
      <c r="C9" t="inlineStr">
        <is>
          <t>regus</t>
        </is>
      </c>
      <c r="D9" t="inlineStr">
        <is>
          <t>expenses/opex/administration</t>
        </is>
      </c>
      <c r="E9" t="inlineStr"/>
    </row>
    <row r="10" ht="12" customHeight="1">
      <c r="A10" t="inlineStr">
        <is>
          <t>SHAREDSERVICESSL</t>
        </is>
      </c>
      <c r="B10" t="inlineStr">
        <is>
          <t>SHAREDSERVICESSL</t>
        </is>
      </c>
      <c r="C10" t="inlineStr">
        <is>
          <t>HANNUN</t>
        </is>
      </c>
      <c r="D10" t="inlineStr">
        <is>
          <t>expenses/opex/shared-services</t>
        </is>
      </c>
      <c r="E10" t="inlineStr">
        <is>
          <t>Intercompany shared services</t>
        </is>
      </c>
    </row>
  </sheetData>
  <hyperlinks>
    <hyperlink ref="A1" location="'P&amp;G-INC'!A1" display="&lt;- Volver a P&amp;G-INC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1" customHeight="1">
      <c r="A1" s="1" t="n"/>
      <c r="B1" s="1" t="n"/>
      <c r="C1" s="1" t="n"/>
      <c r="D1" s="1" t="inlineStr">
        <is>
          <t>202501</t>
        </is>
      </c>
      <c r="E1" s="1" t="inlineStr">
        <is>
          <t>202502</t>
        </is>
      </c>
      <c r="F1" s="1" t="inlineStr">
        <is>
          <t>202503</t>
        </is>
      </c>
      <c r="G1" s="1" t="inlineStr">
        <is>
          <t>202504</t>
        </is>
      </c>
      <c r="H1" s="1" t="inlineStr">
        <is>
          <t>202505</t>
        </is>
      </c>
      <c r="I1" s="1" t="inlineStr">
        <is>
          <t>202506</t>
        </is>
      </c>
      <c r="J1" s="1" t="inlineStr">
        <is>
          <t>202507</t>
        </is>
      </c>
      <c r="K1" s="1" t="inlineStr">
        <is>
          <t>202508</t>
        </is>
      </c>
      <c r="L1" s="1" t="inlineStr">
        <is>
          <t>202509</t>
        </is>
      </c>
      <c r="M1" s="1" t="inlineStr">
        <is>
          <t>202510</t>
        </is>
      </c>
      <c r="N1" s="1" t="inlineStr">
        <is>
          <t>202511</t>
        </is>
      </c>
      <c r="O1" s="1" t="inlineStr">
        <is>
          <t>202512</t>
        </is>
      </c>
      <c r="P1" s="1" t="inlineStr">
        <is>
          <t>TOTAL</t>
        </is>
      </c>
    </row>
    <row r="2" ht="12" customHeight="1">
      <c r="A2" s="20" t="inlineStr">
        <is>
          <t>Nº Facturas INC 2025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</row>
    <row r="4" ht="12" customHeight="1">
      <c r="A4" s="21" t="inlineStr">
        <is>
          <t>Turnover</t>
        </is>
      </c>
      <c r="B4" s="22" t="n"/>
      <c r="C4" s="22" t="n"/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1</v>
      </c>
      <c r="K4" s="22" t="n">
        <v>1</v>
      </c>
      <c r="L4" s="22" t="n">
        <v>1</v>
      </c>
      <c r="M4" s="22" t="n">
        <v>1</v>
      </c>
      <c r="N4" s="22" t="n">
        <v>1</v>
      </c>
      <c r="O4" s="22" t="n">
        <v>1</v>
      </c>
      <c r="P4" s="22" t="n">
        <v>6</v>
      </c>
      <c r="Q4" s="22" t="n"/>
    </row>
    <row r="5" ht="12" customHeight="1">
      <c r="A5" s="23" t="n"/>
      <c r="B5" s="24" t="inlineStr">
        <is>
          <t>Product sales</t>
        </is>
      </c>
      <c r="C5" s="23" t="n"/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1</v>
      </c>
      <c r="K5" s="23" t="n">
        <v>1</v>
      </c>
      <c r="L5" s="23" t="n">
        <v>1</v>
      </c>
      <c r="M5" s="23" t="n">
        <v>1</v>
      </c>
      <c r="N5" s="23" t="n">
        <v>1</v>
      </c>
      <c r="O5" s="23" t="n">
        <v>1</v>
      </c>
      <c r="P5" s="23" t="n">
        <v>6</v>
      </c>
      <c r="Q5" s="23" t="n"/>
    </row>
    <row r="6" ht="12" customHeight="1">
      <c r="A6" s="25" t="n"/>
      <c r="B6" s="25" t="n"/>
      <c r="C6" s="9" t="inlineStr">
        <is>
          <t>Shopify</t>
        </is>
      </c>
      <c r="D6" s="25" t="n">
        <v>0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1</v>
      </c>
      <c r="K6" s="25" t="n">
        <v>1</v>
      </c>
      <c r="L6" s="25" t="n">
        <v>1</v>
      </c>
      <c r="M6" s="25" t="n">
        <v>1</v>
      </c>
      <c r="N6" s="25" t="n">
        <v>1</v>
      </c>
      <c r="O6" s="25" t="n">
        <v>1</v>
      </c>
      <c r="P6" s="25" t="n">
        <v>6</v>
      </c>
      <c r="Q6" s="25" t="n"/>
    </row>
    <row r="7" ht="12" customHeight="1">
      <c r="C7" t="inlineStr">
        <is>
          <t>US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6</v>
      </c>
    </row>
    <row r="8" ht="12" customHeight="1">
      <c r="A8" s="25" t="n"/>
      <c r="B8" s="9" t="inlineStr">
        <is>
          <t>Otros ingresos</t>
        </is>
      </c>
      <c r="C8" s="25" t="n"/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0</v>
      </c>
      <c r="Q8" s="25" t="n"/>
    </row>
    <row r="9" ht="12" customHeight="1"/>
    <row r="10" ht="12" customHeight="1">
      <c r="A10" s="21" t="inlineStr">
        <is>
          <t>Expenses</t>
        </is>
      </c>
      <c r="B10" s="22" t="n"/>
      <c r="C10" s="22" t="n"/>
      <c r="D10" s="22" t="n">
        <v>0</v>
      </c>
      <c r="E10" s="22" t="n">
        <v>0</v>
      </c>
      <c r="F10" s="22" t="n">
        <v>1</v>
      </c>
      <c r="G10" s="22" t="n">
        <v>2</v>
      </c>
      <c r="H10" s="22" t="n">
        <v>2</v>
      </c>
      <c r="I10" s="22" t="n">
        <v>2</v>
      </c>
      <c r="J10" s="22" t="n">
        <v>4</v>
      </c>
      <c r="K10" s="22" t="n">
        <v>7</v>
      </c>
      <c r="L10" s="22" t="n">
        <v>6</v>
      </c>
      <c r="M10" s="22" t="n">
        <v>6</v>
      </c>
      <c r="N10" s="22" t="n">
        <v>12</v>
      </c>
      <c r="O10" s="22" t="n">
        <v>25</v>
      </c>
      <c r="P10" s="22" t="n">
        <v>67</v>
      </c>
      <c r="Q10" s="22" t="n"/>
    </row>
    <row r="11" ht="12" customHeight="1">
      <c r="A11" s="23" t="n"/>
      <c r="B11" s="24" t="inlineStr">
        <is>
          <t>COGS</t>
        </is>
      </c>
      <c r="C11" s="23" t="n"/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1</v>
      </c>
      <c r="K11" s="23" t="n">
        <v>1</v>
      </c>
      <c r="L11" s="23" t="n">
        <v>1</v>
      </c>
      <c r="M11" s="23" t="n">
        <v>1</v>
      </c>
      <c r="N11" s="23" t="n">
        <v>4</v>
      </c>
      <c r="O11" s="23" t="n">
        <v>13</v>
      </c>
      <c r="P11" s="23" t="n">
        <v>21</v>
      </c>
      <c r="Q11" s="23" t="n"/>
    </row>
    <row r="12" ht="12" customHeight="1">
      <c r="A12" s="25" t="n"/>
      <c r="B12" s="25" t="n"/>
      <c r="C12" s="9" t="inlineStr">
        <is>
          <t>Manufacturing</t>
        </is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  <c r="N12" s="25" t="n">
        <v>3</v>
      </c>
      <c r="O12" s="25" t="n">
        <v>12</v>
      </c>
      <c r="P12" s="25" t="n">
        <v>15</v>
      </c>
      <c r="Q12" s="25" t="n"/>
    </row>
    <row r="13" ht="12" customHeight="1">
      <c r="C13" t="inlineStr">
        <is>
          <t>JONDO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12</v>
      </c>
      <c r="P13" t="n">
        <v>15</v>
      </c>
    </row>
    <row r="14" ht="12" customHeight="1">
      <c r="C14" t="inlineStr">
        <is>
          <t>TGI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 ht="12" customHeight="1">
      <c r="A15" s="25" t="n"/>
      <c r="B15" s="25" t="n"/>
      <c r="C15" s="9" t="inlineStr">
        <is>
          <t>Logistics</t>
        </is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  <c r="N15" s="25" t="n">
        <v>0</v>
      </c>
      <c r="O15" s="25" t="n">
        <v>0</v>
      </c>
      <c r="P15" s="25" t="n">
        <v>0</v>
      </c>
      <c r="Q15" s="25" t="n"/>
    </row>
    <row r="16" ht="12" customHeight="1">
      <c r="C16" t="inlineStr">
        <is>
          <t>TGI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 ht="12" customHeight="1">
      <c r="A17" s="25" t="n"/>
      <c r="B17" s="25" t="n"/>
      <c r="C17" s="9" t="inlineStr">
        <is>
          <t>Payment fees</t>
        </is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1</v>
      </c>
      <c r="K17" s="25" t="n">
        <v>1</v>
      </c>
      <c r="L17" s="25" t="n">
        <v>1</v>
      </c>
      <c r="M17" s="25" t="n">
        <v>1</v>
      </c>
      <c r="N17" s="25" t="n">
        <v>1</v>
      </c>
      <c r="O17" s="25" t="n">
        <v>1</v>
      </c>
      <c r="P17" s="25" t="n">
        <v>6</v>
      </c>
      <c r="Q17" s="25" t="n"/>
    </row>
    <row r="18" ht="12" customHeight="1">
      <c r="C18" t="inlineStr">
        <is>
          <t>SHOPIFY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6</v>
      </c>
    </row>
    <row r="19" ht="12" customHeight="1"/>
    <row r="20" ht="12" customHeight="1">
      <c r="A20" s="23" t="n"/>
      <c r="B20" s="24" t="inlineStr">
        <is>
          <t>Opex</t>
        </is>
      </c>
      <c r="C20" s="23" t="n"/>
      <c r="D20" s="23" t="n">
        <v>0</v>
      </c>
      <c r="E20" s="23" t="n">
        <v>0</v>
      </c>
      <c r="F20" s="23" t="n">
        <v>1</v>
      </c>
      <c r="G20" s="23" t="n">
        <v>2</v>
      </c>
      <c r="H20" s="23" t="n">
        <v>2</v>
      </c>
      <c r="I20" s="23" t="n">
        <v>2</v>
      </c>
      <c r="J20" s="23" t="n">
        <v>3</v>
      </c>
      <c r="K20" s="23" t="n">
        <v>6</v>
      </c>
      <c r="L20" s="23" t="n">
        <v>5</v>
      </c>
      <c r="M20" s="23" t="n">
        <v>5</v>
      </c>
      <c r="N20" s="23" t="n">
        <v>8</v>
      </c>
      <c r="O20" s="23" t="n">
        <v>12</v>
      </c>
      <c r="P20" s="23" t="n">
        <v>46</v>
      </c>
      <c r="Q20" s="23" t="n"/>
    </row>
    <row r="21" ht="12" customHeight="1">
      <c r="A21" s="25" t="n"/>
      <c r="B21" s="25" t="n"/>
      <c r="C21" s="9" t="inlineStr">
        <is>
          <t>Shared services</t>
        </is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1</v>
      </c>
      <c r="N21" s="25" t="n">
        <v>1</v>
      </c>
      <c r="O21" s="25" t="n">
        <v>0</v>
      </c>
      <c r="P21" s="25" t="n">
        <v>2</v>
      </c>
      <c r="Q21" s="25" t="n"/>
    </row>
    <row r="22" ht="12" customHeight="1">
      <c r="C22" t="inlineStr">
        <is>
          <t>SHAREDSERVICESSL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s="26" t="n">
        <v>0</v>
      </c>
      <c r="P22" t="n">
        <v>2</v>
      </c>
    </row>
    <row r="23" ht="12" customHeight="1">
      <c r="A23" s="25" t="n"/>
      <c r="B23" s="25" t="n"/>
      <c r="C23" s="9" t="inlineStr">
        <is>
          <t>Administration</t>
        </is>
      </c>
      <c r="D23" s="25" t="n">
        <v>0</v>
      </c>
      <c r="E23" s="25" t="n">
        <v>0</v>
      </c>
      <c r="F23" s="25" t="n">
        <v>1</v>
      </c>
      <c r="G23" s="25" t="n">
        <v>2</v>
      </c>
      <c r="H23" s="25" t="n">
        <v>2</v>
      </c>
      <c r="I23" s="25" t="n">
        <v>2</v>
      </c>
      <c r="J23" s="25" t="n">
        <v>3</v>
      </c>
      <c r="K23" s="25" t="n">
        <v>6</v>
      </c>
      <c r="L23" s="25" t="n">
        <v>5</v>
      </c>
      <c r="M23" s="25" t="n">
        <v>4</v>
      </c>
      <c r="N23" s="25" t="n">
        <v>7</v>
      </c>
      <c r="O23" s="25" t="n">
        <v>12</v>
      </c>
      <c r="P23" s="25" t="n">
        <v>44</v>
      </c>
      <c r="Q23" s="25" t="n"/>
    </row>
    <row r="24" ht="12" customHeight="1">
      <c r="C24" t="inlineStr">
        <is>
          <t>CONTINUUM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</row>
    <row r="25" ht="12" customHeight="1">
      <c r="C25" t="inlineStr">
        <is>
          <t>HUSHED</t>
        </is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10</v>
      </c>
    </row>
    <row r="26" ht="12" customHeight="1">
      <c r="C26" t="inlineStr">
        <is>
          <t>IPOSTAL</t>
        </is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2</v>
      </c>
      <c r="K26" t="n">
        <v>5</v>
      </c>
      <c r="L26" t="n">
        <v>4</v>
      </c>
      <c r="M26" t="n">
        <v>3</v>
      </c>
      <c r="N26" t="n">
        <v>5</v>
      </c>
      <c r="O26" t="n">
        <v>9</v>
      </c>
      <c r="P26" t="n">
        <v>31</v>
      </c>
    </row>
    <row r="27" ht="12" customHeight="1">
      <c r="C27" t="inlineStr">
        <is>
          <t>REGUS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2</v>
      </c>
    </row>
    <row r="28" ht="12" customHeight="1">
      <c r="A28" s="25" t="n"/>
      <c r="B28" s="25" t="n"/>
      <c r="C28" s="9" t="inlineStr">
        <is>
          <t>Technology</t>
        </is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J28" s="25" t="n">
        <v>0</v>
      </c>
      <c r="K28" s="25" t="n">
        <v>0</v>
      </c>
      <c r="L28" s="25" t="n">
        <v>0</v>
      </c>
      <c r="M28" s="25" t="n">
        <v>0</v>
      </c>
      <c r="N28" s="25" t="n">
        <v>0</v>
      </c>
      <c r="O28" s="25" t="n">
        <v>0</v>
      </c>
      <c r="P28" s="25" t="n">
        <v>0</v>
      </c>
      <c r="Q28" s="25" t="n"/>
    </row>
    <row r="29" ht="12" customHeight="1">
      <c r="C29" t="inlineStr">
        <is>
          <t>REVER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 ht="12" customHeight="1">
      <c r="A30" s="25" t="n"/>
      <c r="B30" s="25" t="n"/>
      <c r="C30" s="9" t="inlineStr">
        <is>
          <t>Otros gastos</t>
        </is>
      </c>
      <c r="D30" s="25" t="n">
        <v>0</v>
      </c>
      <c r="E30" s="25" t="n">
        <v>0</v>
      </c>
      <c r="F30" s="25" t="n">
        <v>0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0</v>
      </c>
      <c r="M30" s="25" t="n">
        <v>0</v>
      </c>
      <c r="N30" s="25" t="n">
        <v>0</v>
      </c>
      <c r="O30" s="25" t="n">
        <v>0</v>
      </c>
      <c r="P30" s="25" t="n">
        <v>0</v>
      </c>
      <c r="Q30" s="25" t="n"/>
    </row>
    <row r="31" ht="12" customHeight="1">
      <c r="A31" s="25" t="n"/>
      <c r="B31" s="9" t="inlineStr">
        <is>
          <t>Diferencias divisas</t>
        </is>
      </c>
      <c r="C31" s="25" t="n"/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0</v>
      </c>
      <c r="P31" s="25" t="n">
        <v>0</v>
      </c>
      <c r="Q31" s="25" t="n"/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2026-03-30T14:18:38Z</dcterms:created>
  <dcterms:modified xsi:type="dcterms:W3CDTF">2026-03-30T14:18:45Z</dcterms:modified>
</cp:coreProperties>
</file>