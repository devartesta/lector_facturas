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G-CONSOLIDADO" sheetId="1" state="visible" r:id="rId1"/>
    <sheet name="entity-detail" sheetId="2" state="visible" r:id="rId2"/>
    <sheet name="fx-ra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(#,##0.00);-"/>
    <numFmt numFmtId="165" formatCode="0.0%;[Red](0.0%);-"/>
    <numFmt numFmtId="166" formatCode="0.0000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AF3F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4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164" fontId="0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0" fontId="0" fillId="4" borderId="0" pivotButton="0" quotePrefix="0" xfId="0"/>
    <xf numFmtId="164" fontId="0" fillId="4" borderId="0" pivotButton="0" quotePrefix="0" xfId="0"/>
    <xf numFmtId="0" fontId="0" fillId="3" borderId="2" pivotButton="0" quotePrefix="0" xfId="0"/>
    <xf numFmtId="164" fontId="0" fillId="3" borderId="2" pivotButton="0" quotePrefix="0" xfId="0"/>
    <xf numFmtId="0" fontId="0" fillId="5" borderId="1" pivotButton="0" quotePrefix="0" xfId="0"/>
    <xf numFmtId="164" fontId="0" fillId="5" borderId="1" pivotButton="0" quotePrefix="0" xfId="0"/>
    <xf numFmtId="165" fontId="0" fillId="0" borderId="0" pivotButton="0" quotePrefix="0" xfId="0"/>
    <xf numFmtId="0" fontId="1" fillId="2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" customWidth="1" min="2" max="2"/>
    <col width="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2" t="inlineStr">
        <is>
          <t>P&amp;G CONSOLIDADO 2026 (EUR)</t>
        </is>
      </c>
      <c r="B2" s="1" t="n"/>
      <c r="C2" s="1" t="n"/>
      <c r="D2" s="3" t="inlineStr">
        <is>
          <t>Enero</t>
        </is>
      </c>
      <c r="E2" s="3" t="inlineStr">
        <is>
          <t>Febrero</t>
        </is>
      </c>
      <c r="F2" s="3" t="inlineStr">
        <is>
          <t>Marzo</t>
        </is>
      </c>
      <c r="G2" s="3" t="inlineStr">
        <is>
          <t>Abril</t>
        </is>
      </c>
      <c r="H2" s="3" t="inlineStr">
        <is>
          <t>Mayo</t>
        </is>
      </c>
      <c r="I2" s="3" t="inlineStr">
        <is>
          <t>Junio</t>
        </is>
      </c>
      <c r="J2" s="3" t="inlineStr">
        <is>
          <t>Julio</t>
        </is>
      </c>
      <c r="K2" s="3" t="inlineStr">
        <is>
          <t>Agosto</t>
        </is>
      </c>
      <c r="L2" s="3" t="inlineStr">
        <is>
          <t>Septiembre</t>
        </is>
      </c>
      <c r="M2" s="3" t="inlineStr">
        <is>
          <t>Octubre</t>
        </is>
      </c>
      <c r="N2" s="3" t="inlineStr">
        <is>
          <t>Noviembre</t>
        </is>
      </c>
      <c r="O2" s="3" t="inlineStr">
        <is>
          <t>Diciembre</t>
        </is>
      </c>
      <c r="P2" s="3" t="inlineStr">
        <is>
          <t>Total</t>
        </is>
      </c>
    </row>
    <row r="3" ht="12" customHeight="1">
      <c r="A3" s="4" t="inlineStr">
        <is>
          <t>Actualizado: 01/04/2026 17:32 h</t>
        </is>
      </c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</row>
    <row r="4" ht="12" customHeight="1">
      <c r="A4" s="6" t="inlineStr">
        <is>
          <t>Turnover</t>
        </is>
      </c>
      <c r="B4" s="6" t="n"/>
      <c r="C4" s="6" t="n"/>
      <c r="D4" s="7" t="n">
        <v>183002.13</v>
      </c>
      <c r="E4" s="7" t="n">
        <v>211136.75</v>
      </c>
      <c r="F4" s="7" t="n">
        <v>209278.65</v>
      </c>
      <c r="G4" s="7" t="n">
        <v>3488.86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  <c r="N4" s="7" t="n">
        <v>0</v>
      </c>
      <c r="O4" s="7" t="n">
        <v>0</v>
      </c>
      <c r="P4" s="7">
        <f>SUM(D4:O4)</f>
        <v/>
      </c>
    </row>
    <row r="5" ht="12" customHeight="1">
      <c r="A5" s="8" t="inlineStr">
        <is>
          <t xml:space="preserve">  Product sales</t>
        </is>
      </c>
      <c r="B5" s="8" t="n"/>
      <c r="C5" s="8" t="n"/>
      <c r="D5" s="9" t="n">
        <v>160371.42</v>
      </c>
      <c r="E5" s="9" t="n">
        <v>184400.59</v>
      </c>
      <c r="F5" s="9" t="n">
        <v>193668.69</v>
      </c>
      <c r="G5" s="9" t="n">
        <v>3488.86</v>
      </c>
      <c r="H5" s="9" t="n">
        <v>0</v>
      </c>
      <c r="I5" s="9" t="n">
        <v>0</v>
      </c>
      <c r="J5" s="9" t="n">
        <v>0</v>
      </c>
      <c r="K5" s="9" t="n">
        <v>0</v>
      </c>
      <c r="L5" s="9" t="n">
        <v>0</v>
      </c>
      <c r="M5" s="9" t="n">
        <v>0</v>
      </c>
      <c r="N5" s="9" t="n">
        <v>0</v>
      </c>
      <c r="O5" s="9" t="n">
        <v>0</v>
      </c>
      <c r="P5" s="9">
        <f>SUM(D5:O5)</f>
        <v/>
      </c>
    </row>
    <row r="6" ht="12" customHeight="1">
      <c r="A6" s="8" t="inlineStr">
        <is>
          <t xml:space="preserve">  Marketplaces</t>
        </is>
      </c>
      <c r="B6" s="8" t="n"/>
      <c r="C6" s="8" t="n"/>
      <c r="D6" s="9" t="n">
        <v>1419.7</v>
      </c>
      <c r="E6" s="9" t="n">
        <v>2875.02</v>
      </c>
      <c r="F6" s="9" t="n">
        <v>15609.96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9" t="n">
        <v>0</v>
      </c>
      <c r="O6" s="9" t="n">
        <v>0</v>
      </c>
      <c r="P6" s="9">
        <f>SUM(D6:O6)</f>
        <v/>
      </c>
    </row>
    <row r="7" ht="12" customHeight="1">
      <c r="A7" s="8" t="inlineStr">
        <is>
          <t xml:space="preserve">  Services</t>
        </is>
      </c>
      <c r="B7" s="8" t="n"/>
      <c r="C7" s="8" t="n"/>
      <c r="D7" s="9" t="n">
        <v>20919.65</v>
      </c>
      <c r="E7" s="9" t="n">
        <v>24383.68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9" t="n">
        <v>0</v>
      </c>
      <c r="O7" s="9" t="n">
        <v>0</v>
      </c>
      <c r="P7" s="9">
        <f>SUM(D7:O7)</f>
        <v/>
      </c>
    </row>
    <row r="8" ht="12" customHeight="1">
      <c r="A8" s="8" t="inlineStr">
        <is>
          <t xml:space="preserve">  Rappels</t>
        </is>
      </c>
      <c r="B8" s="8" t="n"/>
      <c r="C8" s="8" t="n"/>
      <c r="D8" s="9" t="n">
        <v>-1118.95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9">
        <f>SUM(D8:O8)</f>
        <v/>
      </c>
    </row>
    <row r="9" ht="12" customHeight="1">
      <c r="A9" s="8" t="inlineStr">
        <is>
          <t xml:space="preserve">  Supplies</t>
        </is>
      </c>
      <c r="B9" s="8" t="n"/>
      <c r="C9" s="8" t="n"/>
      <c r="D9" s="9" t="n">
        <v>-2176.46</v>
      </c>
      <c r="E9" s="9" t="n">
        <v>-522.54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9" t="n">
        <v>0</v>
      </c>
      <c r="O9" s="9" t="n">
        <v>0</v>
      </c>
      <c r="P9" s="9">
        <f>SUM(D9:O9)</f>
        <v/>
      </c>
    </row>
    <row r="10" ht="12" customHeight="1">
      <c r="A10" s="8" t="inlineStr">
        <is>
          <t xml:space="preserve">  Otros ingresos</t>
        </is>
      </c>
      <c r="B10" s="8" t="n"/>
      <c r="C10" s="8" t="n"/>
      <c r="D10" s="9" t="n">
        <v>3586.77</v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9" t="n">
        <v>0</v>
      </c>
      <c r="N10" s="9" t="n">
        <v>0</v>
      </c>
      <c r="O10" s="9" t="n">
        <v>0</v>
      </c>
      <c r="P10" s="9">
        <f>SUM(D10:O10)</f>
        <v/>
      </c>
    </row>
    <row r="11" ht="12" customHeight="1">
      <c r="A11" s="6" t="inlineStr">
        <is>
          <t>Expenses</t>
        </is>
      </c>
      <c r="B11" s="6" t="n"/>
      <c r="C11" s="6" t="n"/>
      <c r="D11" s="7" t="n">
        <v>202786.23</v>
      </c>
      <c r="E11" s="7" t="n">
        <v>213766.46</v>
      </c>
      <c r="F11" s="7" t="n">
        <v>90060.78</v>
      </c>
      <c r="G11" s="7" t="n">
        <v>1231.21</v>
      </c>
      <c r="H11" s="7" t="n">
        <v>212.57</v>
      </c>
      <c r="I11" s="7" t="n">
        <v>212.57</v>
      </c>
      <c r="J11" s="7" t="n">
        <v>212.57</v>
      </c>
      <c r="K11" s="7" t="n">
        <v>212.57</v>
      </c>
      <c r="L11" s="7" t="n">
        <v>212.57</v>
      </c>
      <c r="M11" s="7" t="n">
        <v>212.57</v>
      </c>
      <c r="N11" s="7" t="n">
        <v>212.57</v>
      </c>
      <c r="O11" s="7" t="n">
        <v>212.57</v>
      </c>
      <c r="P11" s="7">
        <f>SUM(D11:O11)</f>
        <v/>
      </c>
    </row>
    <row r="12" ht="12" customHeight="1">
      <c r="A12" s="10" t="inlineStr">
        <is>
          <t xml:space="preserve">  COGS</t>
        </is>
      </c>
      <c r="B12" s="10" t="n"/>
      <c r="C12" s="10" t="n"/>
      <c r="D12" s="11" t="n">
        <v>104918.76</v>
      </c>
      <c r="E12" s="11" t="n">
        <v>119613.82</v>
      </c>
      <c r="F12" s="11" t="n">
        <v>64334.29</v>
      </c>
      <c r="G12" s="11" t="n">
        <v>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0</v>
      </c>
      <c r="M12" s="11" t="n">
        <v>0</v>
      </c>
      <c r="N12" s="11" t="n">
        <v>0</v>
      </c>
      <c r="O12" s="11" t="n">
        <v>0</v>
      </c>
      <c r="P12" s="11">
        <f>SUM(D12:O12)</f>
        <v/>
      </c>
    </row>
    <row r="13" ht="12" customHeight="1">
      <c r="A13" s="8" t="inlineStr">
        <is>
          <t xml:space="preserve">    Manufacturing</t>
        </is>
      </c>
      <c r="B13" s="8" t="n"/>
      <c r="C13" s="8" t="n"/>
      <c r="D13" s="9" t="n">
        <v>65291.99</v>
      </c>
      <c r="E13" s="9" t="n">
        <v>73098.69</v>
      </c>
      <c r="F13" s="9" t="n">
        <v>43817.5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9" t="n">
        <v>0</v>
      </c>
      <c r="O13" s="9" t="n">
        <v>0</v>
      </c>
      <c r="P13" s="9">
        <f>SUM(D13:O13)</f>
        <v/>
      </c>
    </row>
    <row r="14" ht="12" customHeight="1">
      <c r="A14" s="8" t="inlineStr">
        <is>
          <t xml:space="preserve">    Logistics</t>
        </is>
      </c>
      <c r="B14" s="8" t="n"/>
      <c r="C14" s="8" t="n"/>
      <c r="D14" s="9" t="n">
        <v>21064.06</v>
      </c>
      <c r="E14" s="9" t="n">
        <v>24862.38</v>
      </c>
      <c r="F14" s="9" t="n">
        <v>469.51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0</v>
      </c>
      <c r="O14" s="9" t="n">
        <v>0</v>
      </c>
      <c r="P14" s="9">
        <f>SUM(D14:O14)</f>
        <v/>
      </c>
    </row>
    <row r="15" ht="12" customHeight="1">
      <c r="A15" s="8" t="inlineStr">
        <is>
          <t xml:space="preserve">    Royalties</t>
        </is>
      </c>
      <c r="B15" s="8" t="n"/>
      <c r="C15" s="8" t="n"/>
      <c r="D15" s="9" t="n">
        <v>13737</v>
      </c>
      <c r="E15" s="9" t="n">
        <v>16662</v>
      </c>
      <c r="F15" s="9" t="n">
        <v>14544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9" t="n">
        <v>0</v>
      </c>
      <c r="O15" s="9" t="n">
        <v>0</v>
      </c>
      <c r="P15" s="9">
        <f>SUM(D15:O15)</f>
        <v/>
      </c>
    </row>
    <row r="16" ht="12" customHeight="1">
      <c r="A16" s="8" t="inlineStr">
        <is>
          <t xml:space="preserve">    Payment fees</t>
        </is>
      </c>
      <c r="B16" s="8" t="n"/>
      <c r="C16" s="8" t="n"/>
      <c r="D16" s="9" t="n">
        <v>4825.71</v>
      </c>
      <c r="E16" s="9" t="n">
        <v>4990.75</v>
      </c>
      <c r="F16" s="9" t="n">
        <v>5503.28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9" t="n">
        <v>0</v>
      </c>
      <c r="O16" s="9" t="n">
        <v>0</v>
      </c>
      <c r="P16" s="9">
        <f>SUM(D16:O16)</f>
        <v/>
      </c>
    </row>
    <row r="17" ht="12" customHeight="1">
      <c r="A17" s="12" t="inlineStr">
        <is>
          <t>GROSS MARGIN (SALES-MANUFACTURING)</t>
        </is>
      </c>
      <c r="B17" s="12" t="n"/>
      <c r="C17" s="12" t="n"/>
      <c r="D17" s="13" t="n">
        <v>95079.42999999999</v>
      </c>
      <c r="E17" s="13" t="n">
        <v>111301.9</v>
      </c>
      <c r="F17" s="13" t="n">
        <v>149851.19</v>
      </c>
      <c r="G17" s="13" t="n">
        <v>3488.86</v>
      </c>
      <c r="H17" s="13" t="n">
        <v>0</v>
      </c>
      <c r="I17" s="13" t="n">
        <v>0</v>
      </c>
      <c r="J17" s="13" t="n">
        <v>0</v>
      </c>
      <c r="K17" s="13" t="n">
        <v>0</v>
      </c>
      <c r="L17" s="13" t="n">
        <v>0</v>
      </c>
      <c r="M17" s="13" t="n">
        <v>0</v>
      </c>
      <c r="N17" s="13" t="n">
        <v>0</v>
      </c>
      <c r="O17" s="13" t="n">
        <v>0</v>
      </c>
      <c r="P17" s="13">
        <f>SUM(D17:O17)</f>
        <v/>
      </c>
    </row>
    <row r="18" ht="12" customHeight="1">
      <c r="A18" t="inlineStr">
        <is>
          <t>% GROSS MARGIN</t>
        </is>
      </c>
      <c r="D18" s="14">
        <f>IFERROR(D17/D5,0)</f>
        <v/>
      </c>
      <c r="E18" s="14">
        <f>IFERROR(E17/E5,0)</f>
        <v/>
      </c>
      <c r="F18" s="14">
        <f>IFERROR(F17/F5,0)</f>
        <v/>
      </c>
      <c r="G18" s="14">
        <f>IFERROR(G17/G5,0)</f>
        <v/>
      </c>
      <c r="H18" s="14">
        <f>IFERROR(H17/H5,0)</f>
        <v/>
      </c>
      <c r="I18" s="14">
        <f>IFERROR(I17/I5,0)</f>
        <v/>
      </c>
      <c r="J18" s="14">
        <f>IFERROR(J17/J5,0)</f>
        <v/>
      </c>
      <c r="K18" s="14">
        <f>IFERROR(K17/K5,0)</f>
        <v/>
      </c>
      <c r="L18" s="14">
        <f>IFERROR(L17/L5,0)</f>
        <v/>
      </c>
      <c r="M18" s="14">
        <f>IFERROR(M17/M5,0)</f>
        <v/>
      </c>
      <c r="N18" s="14">
        <f>IFERROR(N17/N5,0)</f>
        <v/>
      </c>
      <c r="O18" s="14">
        <f>IFERROR(O17/O5,0)</f>
        <v/>
      </c>
      <c r="P18" s="14">
        <f>IFERROR(P17/P5,0)</f>
        <v/>
      </c>
    </row>
    <row r="19" ht="12" customHeight="1">
      <c r="A19" s="12" t="inlineStr">
        <is>
          <t>CONTRIBUTIVE MARGIN (TURNOVER-COGS)</t>
        </is>
      </c>
      <c r="B19" s="12" t="n"/>
      <c r="C19" s="12" t="n"/>
      <c r="D19" s="13" t="n">
        <v>78083.37</v>
      </c>
      <c r="E19" s="13" t="n">
        <v>91522.92999999999</v>
      </c>
      <c r="F19" s="13" t="n">
        <v>144944.36</v>
      </c>
      <c r="G19" s="13" t="n">
        <v>3488.86</v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3" t="n">
        <v>0</v>
      </c>
      <c r="N19" s="13" t="n">
        <v>0</v>
      </c>
      <c r="O19" s="13" t="n">
        <v>0</v>
      </c>
      <c r="P19" s="13">
        <f>SUM(D19:O19)</f>
        <v/>
      </c>
    </row>
    <row r="20" ht="12" customHeight="1">
      <c r="A20" t="inlineStr">
        <is>
          <t>% CONTRIBUTIVE MARGIN</t>
        </is>
      </c>
      <c r="D20" s="14">
        <f>IFERROR(D19/D5,0)</f>
        <v/>
      </c>
      <c r="E20" s="14">
        <f>IFERROR(E19/E5,0)</f>
        <v/>
      </c>
      <c r="F20" s="14">
        <f>IFERROR(F19/F5,0)</f>
        <v/>
      </c>
      <c r="G20" s="14">
        <f>IFERROR(G19/G5,0)</f>
        <v/>
      </c>
      <c r="H20" s="14">
        <f>IFERROR(H19/H5,0)</f>
        <v/>
      </c>
      <c r="I20" s="14">
        <f>IFERROR(I19/I5,0)</f>
        <v/>
      </c>
      <c r="J20" s="14">
        <f>IFERROR(J19/J5,0)</f>
        <v/>
      </c>
      <c r="K20" s="14">
        <f>IFERROR(K19/K5,0)</f>
        <v/>
      </c>
      <c r="L20" s="14">
        <f>IFERROR(L19/L5,0)</f>
        <v/>
      </c>
      <c r="M20" s="14">
        <f>IFERROR(M19/M5,0)</f>
        <v/>
      </c>
      <c r="N20" s="14">
        <f>IFERROR(N19/N5,0)</f>
        <v/>
      </c>
      <c r="O20" s="14">
        <f>IFERROR(O19/O5,0)</f>
        <v/>
      </c>
      <c r="P20" s="14">
        <f>IFERROR(P19/P5,0)</f>
        <v/>
      </c>
    </row>
    <row r="21" ht="12" customHeight="1">
      <c r="A21" s="10" t="inlineStr">
        <is>
          <t xml:space="preserve">  Opex</t>
        </is>
      </c>
      <c r="B21" s="10" t="n"/>
      <c r="C21" s="10" t="n"/>
      <c r="D21" s="11" t="n">
        <v>97867.47</v>
      </c>
      <c r="E21" s="11" t="n">
        <v>94152.64</v>
      </c>
      <c r="F21" s="11" t="n">
        <v>25726.49</v>
      </c>
      <c r="G21" s="11" t="n">
        <v>1231.21</v>
      </c>
      <c r="H21" s="11" t="n">
        <v>212.57</v>
      </c>
      <c r="I21" s="11" t="n">
        <v>212.57</v>
      </c>
      <c r="J21" s="11" t="n">
        <v>212.57</v>
      </c>
      <c r="K21" s="11" t="n">
        <v>212.57</v>
      </c>
      <c r="L21" s="11" t="n">
        <v>212.57</v>
      </c>
      <c r="M21" s="11" t="n">
        <v>212.57</v>
      </c>
      <c r="N21" s="11" t="n">
        <v>212.57</v>
      </c>
      <c r="O21" s="11" t="n">
        <v>212.57</v>
      </c>
      <c r="P21" s="11">
        <f>SUM(D21:O21)</f>
        <v/>
      </c>
    </row>
    <row r="22" ht="12" customHeight="1">
      <c r="A22" s="8" t="inlineStr">
        <is>
          <t xml:space="preserve">    Marketing</t>
        </is>
      </c>
      <c r="B22" s="8" t="n"/>
      <c r="C22" s="8" t="n"/>
      <c r="D22" s="9" t="n">
        <v>54648.52</v>
      </c>
      <c r="E22" s="9" t="n">
        <v>47626.1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0</v>
      </c>
      <c r="O22" s="9" t="n">
        <v>0</v>
      </c>
      <c r="P22" s="9">
        <f>SUM(D22:O22)</f>
        <v/>
      </c>
    </row>
    <row r="23" ht="12" customHeight="1">
      <c r="A23" s="8" t="inlineStr">
        <is>
          <t xml:space="preserve">    Staff</t>
        </is>
      </c>
      <c r="B23" s="8" t="n"/>
      <c r="C23" s="8" t="n"/>
      <c r="D23" s="9" t="n">
        <v>14731.84</v>
      </c>
      <c r="E23" s="9" t="n">
        <v>14915.68</v>
      </c>
      <c r="F23" s="9" t="n">
        <v>15349.42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>
        <f>SUM(D23:O23)</f>
        <v/>
      </c>
    </row>
    <row r="24" ht="12" customHeight="1">
      <c r="A24" s="8" t="inlineStr">
        <is>
          <t xml:space="preserve">    Shared services</t>
        </is>
      </c>
      <c r="B24" s="8" t="n"/>
      <c r="C24" s="8" t="n"/>
      <c r="D24" s="9" t="n">
        <v>18067.31</v>
      </c>
      <c r="E24" s="9" t="n">
        <v>21531.34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>
        <f>SUM(D24:O24)</f>
        <v/>
      </c>
    </row>
    <row r="25" ht="12" customHeight="1">
      <c r="A25" s="8" t="inlineStr">
        <is>
          <t xml:space="preserve">    Administration</t>
        </is>
      </c>
      <c r="B25" s="8" t="n"/>
      <c r="C25" s="8" t="n"/>
      <c r="D25" s="9" t="n">
        <v>5585.84</v>
      </c>
      <c r="E25" s="9" t="n">
        <v>5487.67</v>
      </c>
      <c r="F25" s="9" t="n">
        <v>5134.24</v>
      </c>
      <c r="G25" s="9" t="n">
        <v>1203.52</v>
      </c>
      <c r="H25" s="9" t="n">
        <v>212.57</v>
      </c>
      <c r="I25" s="9" t="n">
        <v>212.57</v>
      </c>
      <c r="J25" s="9" t="n">
        <v>212.57</v>
      </c>
      <c r="K25" s="9" t="n">
        <v>212.57</v>
      </c>
      <c r="L25" s="9" t="n">
        <v>212.57</v>
      </c>
      <c r="M25" s="9" t="n">
        <v>212.57</v>
      </c>
      <c r="N25" s="9" t="n">
        <v>212.57</v>
      </c>
      <c r="O25" s="9" t="n">
        <v>212.57</v>
      </c>
      <c r="P25" s="9">
        <f>SUM(D25:O25)</f>
        <v/>
      </c>
    </row>
    <row r="26" ht="12" customHeight="1">
      <c r="A26" s="8" t="inlineStr">
        <is>
          <t xml:space="preserve">    Technology</t>
        </is>
      </c>
      <c r="B26" s="8" t="n"/>
      <c r="C26" s="8" t="n"/>
      <c r="D26" s="9" t="n">
        <v>4422.09</v>
      </c>
      <c r="E26" s="9" t="n">
        <v>4037.39</v>
      </c>
      <c r="F26" s="9" t="n">
        <v>5242.83</v>
      </c>
      <c r="G26" s="9" t="n">
        <v>27.69</v>
      </c>
      <c r="H26" s="9" t="n">
        <v>0</v>
      </c>
      <c r="I26" s="9" t="n">
        <v>0</v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0</v>
      </c>
      <c r="O26" s="9" t="n">
        <v>0</v>
      </c>
      <c r="P26" s="9">
        <f>SUM(D26:O26)</f>
        <v/>
      </c>
    </row>
    <row r="27" ht="12" customHeight="1">
      <c r="A27" s="8" t="inlineStr">
        <is>
          <t xml:space="preserve">    Otros gastos</t>
        </is>
      </c>
      <c r="B27" s="8" t="n"/>
      <c r="C27" s="8" t="n"/>
      <c r="D27" s="9" t="n">
        <v>411.87</v>
      </c>
      <c r="E27" s="9" t="n">
        <v>554.46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  <c r="K27" s="9" t="n">
        <v>0</v>
      </c>
      <c r="L27" s="9" t="n">
        <v>0</v>
      </c>
      <c r="M27" s="9" t="n">
        <v>0</v>
      </c>
      <c r="N27" s="9" t="n">
        <v>0</v>
      </c>
      <c r="O27" s="9" t="n">
        <v>0</v>
      </c>
      <c r="P27" s="9">
        <f>SUM(D27:O27)</f>
        <v/>
      </c>
    </row>
    <row r="28" ht="12" customHeight="1">
      <c r="A28" t="inlineStr">
        <is>
          <t xml:space="preserve">  Diferencias divisas</t>
        </is>
      </c>
      <c r="D28" s="5" t="n">
        <v>-132.9</v>
      </c>
      <c r="E28" s="5" t="n">
        <v>-277.52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5">
        <f>SUM(D28:O28)</f>
        <v/>
      </c>
    </row>
    <row r="29" ht="12" customHeight="1">
      <c r="A29" s="12" t="inlineStr">
        <is>
          <t>PROFIT</t>
        </is>
      </c>
      <c r="B29" s="12" t="n"/>
      <c r="C29" s="12" t="n"/>
      <c r="D29" s="13" t="n">
        <v>-19651.2</v>
      </c>
      <c r="E29" s="13" t="n">
        <v>-2352.19</v>
      </c>
      <c r="F29" s="13" t="n">
        <v>119217.87</v>
      </c>
      <c r="G29" s="13" t="n">
        <v>2257.65</v>
      </c>
      <c r="H29" s="13" t="n">
        <v>-212.57</v>
      </c>
      <c r="I29" s="13" t="n">
        <v>-212.57</v>
      </c>
      <c r="J29" s="13" t="n">
        <v>-212.57</v>
      </c>
      <c r="K29" s="13" t="n">
        <v>-212.57</v>
      </c>
      <c r="L29" s="13" t="n">
        <v>-212.57</v>
      </c>
      <c r="M29" s="13" t="n">
        <v>-212.57</v>
      </c>
      <c r="N29" s="13" t="n">
        <v>-212.57</v>
      </c>
      <c r="O29" s="13" t="n">
        <v>-212.57</v>
      </c>
      <c r="P29" s="13">
        <f>SUM(D29:O29)</f>
        <v/>
      </c>
    </row>
    <row r="30" ht="12" customHeight="1">
      <c r="A30" t="inlineStr">
        <is>
          <t>% Profit / turnover</t>
        </is>
      </c>
      <c r="D30" s="14">
        <f>IFERROR(D29/D4,0)</f>
        <v/>
      </c>
      <c r="E30" s="14">
        <f>IFERROR(E29/E4,0)</f>
        <v/>
      </c>
      <c r="F30" s="14">
        <f>IFERROR(F29/F4,0)</f>
        <v/>
      </c>
      <c r="G30" s="14">
        <f>IFERROR(G29/G4,0)</f>
        <v/>
      </c>
      <c r="H30" s="14">
        <f>IFERROR(H29/H4,0)</f>
        <v/>
      </c>
      <c r="I30" s="14">
        <f>IFERROR(I29/I4,0)</f>
        <v/>
      </c>
      <c r="J30" s="14">
        <f>IFERROR(J29/J4,0)</f>
        <v/>
      </c>
      <c r="K30" s="14">
        <f>IFERROR(K29/K4,0)</f>
        <v/>
      </c>
      <c r="L30" s="14">
        <f>IFERROR(L29/L4,0)</f>
        <v/>
      </c>
      <c r="M30" s="14">
        <f>IFERROR(M29/M4,0)</f>
        <v/>
      </c>
      <c r="N30" s="14">
        <f>IFERROR(N29/N4,0)</f>
        <v/>
      </c>
      <c r="O30" s="14">
        <f>IFERROR(O29/O4,0)</f>
        <v/>
      </c>
      <c r="P30" s="14">
        <f>IFERROR(P29/P4,0)</f>
        <v/>
      </c>
    </row>
  </sheetData>
  <mergeCells count="2">
    <mergeCell ref="A3:C3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  <col width="21" customWidth="1" min="10" max="10"/>
    <col width="14" customWidth="1" min="11" max="11"/>
    <col width="14" customWidth="1" min="12" max="12"/>
    <col width="15" customWidth="1" min="13" max="13"/>
    <col width="14" customWidth="1" min="14" max="14"/>
    <col width="14" customWidth="1" min="15" max="15"/>
    <col width="14" customWidth="1" min="16" max="16"/>
    <col width="14" customWidth="1" min="17" max="17"/>
    <col width="21" customWidth="1" min="18" max="18"/>
    <col width="14" customWidth="1" min="19" max="19"/>
    <col width="14" customWidth="1" min="20" max="20"/>
    <col width="14" customWidth="1" min="21" max="21"/>
    <col width="17" customWidth="1" min="22" max="22"/>
    <col width="16" customWidth="1" min="23" max="23"/>
    <col width="14" customWidth="1" min="24" max="24"/>
    <col width="14" customWidth="1" min="25" max="25"/>
    <col width="14" customWidth="1" min="26" max="26"/>
  </cols>
  <sheetData>
    <row r="1">
      <c r="A1" s="15" t="inlineStr">
        <is>
          <t>yyyymm</t>
        </is>
      </c>
      <c r="B1" s="15" t="inlineStr">
        <is>
          <t>company_code</t>
        </is>
      </c>
      <c r="C1" s="15" t="inlineStr">
        <is>
          <t>turnover</t>
        </is>
      </c>
      <c r="D1" s="15" t="inlineStr">
        <is>
          <t>product_sales</t>
        </is>
      </c>
      <c r="E1" s="15" t="inlineStr">
        <is>
          <t>marketplaces</t>
        </is>
      </c>
      <c r="F1" s="15" t="inlineStr">
        <is>
          <t>services</t>
        </is>
      </c>
      <c r="G1" s="15" t="inlineStr">
        <is>
          <t>rappels</t>
        </is>
      </c>
      <c r="H1" s="15" t="inlineStr">
        <is>
          <t>supplies</t>
        </is>
      </c>
      <c r="I1" s="15" t="inlineStr">
        <is>
          <t>otros_ingresos</t>
        </is>
      </c>
      <c r="J1" s="15" t="inlineStr">
        <is>
          <t>diferencias_divisas</t>
        </is>
      </c>
      <c r="K1" s="15" t="inlineStr">
        <is>
          <t>expenses</t>
        </is>
      </c>
      <c r="L1" s="15" t="inlineStr">
        <is>
          <t>cogs</t>
        </is>
      </c>
      <c r="M1" s="15" t="inlineStr">
        <is>
          <t>manufacturing</t>
        </is>
      </c>
      <c r="N1" s="15" t="inlineStr">
        <is>
          <t>logistics</t>
        </is>
      </c>
      <c r="O1" s="15" t="inlineStr">
        <is>
          <t>royalties</t>
        </is>
      </c>
      <c r="P1" s="15" t="inlineStr">
        <is>
          <t>payment_fees</t>
        </is>
      </c>
      <c r="Q1" s="15" t="inlineStr">
        <is>
          <t>gross_margin</t>
        </is>
      </c>
      <c r="R1" s="15" t="inlineStr">
        <is>
          <t>contributive_margin</t>
        </is>
      </c>
      <c r="S1" s="15" t="inlineStr">
        <is>
          <t>opex</t>
        </is>
      </c>
      <c r="T1" s="15" t="inlineStr">
        <is>
          <t>marketing</t>
        </is>
      </c>
      <c r="U1" s="15" t="inlineStr">
        <is>
          <t>staff</t>
        </is>
      </c>
      <c r="V1" s="15" t="inlineStr">
        <is>
          <t>shared_services</t>
        </is>
      </c>
      <c r="W1" s="15" t="inlineStr">
        <is>
          <t>administration</t>
        </is>
      </c>
      <c r="X1" s="15" t="inlineStr">
        <is>
          <t>technology</t>
        </is>
      </c>
      <c r="Y1" s="15" t="inlineStr">
        <is>
          <t>otros_gastos</t>
        </is>
      </c>
      <c r="Z1" s="15" t="inlineStr">
        <is>
          <t>profit</t>
        </is>
      </c>
    </row>
    <row r="2">
      <c r="A2" t="inlineStr">
        <is>
          <t>202601</t>
        </is>
      </c>
      <c r="B2" t="inlineStr">
        <is>
          <t>SL</t>
        </is>
      </c>
      <c r="C2" s="5" t="n">
        <v>156264.48</v>
      </c>
      <c r="D2" s="5" t="n">
        <v>133633.77</v>
      </c>
      <c r="E2" s="5" t="n">
        <v>1419.7</v>
      </c>
      <c r="F2" s="5" t="n">
        <v>20919.65</v>
      </c>
      <c r="G2" s="5" t="n">
        <v>-1118.95</v>
      </c>
      <c r="H2" s="5" t="n">
        <v>-2176.46</v>
      </c>
      <c r="I2" s="5" t="n">
        <v>3586.77</v>
      </c>
      <c r="J2" s="5" t="n">
        <v>-132.9</v>
      </c>
      <c r="K2" s="5" t="n">
        <v>170221.71</v>
      </c>
      <c r="L2" s="5" t="n">
        <v>91689.77</v>
      </c>
      <c r="M2" s="5" t="n">
        <v>56636.72</v>
      </c>
      <c r="N2" s="5" t="n">
        <v>17191.41</v>
      </c>
      <c r="O2" s="5" t="n">
        <v>13737</v>
      </c>
      <c r="P2" s="5" t="n">
        <v>4124.64</v>
      </c>
      <c r="Q2" s="5" t="n">
        <v>76997.05</v>
      </c>
      <c r="R2" s="5" t="n">
        <v>64574.71</v>
      </c>
      <c r="S2" s="5" t="n">
        <v>78531.94</v>
      </c>
      <c r="T2" s="5" t="n">
        <v>54648.52</v>
      </c>
      <c r="U2" s="5" t="n">
        <v>14731.84</v>
      </c>
      <c r="V2" s="5" t="n">
        <v>0</v>
      </c>
      <c r="W2" s="5" t="n">
        <v>4317.62</v>
      </c>
      <c r="X2" s="5" t="n">
        <v>4422.09</v>
      </c>
      <c r="Y2" s="5" t="n">
        <v>411.87</v>
      </c>
      <c r="Z2" s="5" t="n">
        <v>-13824.33</v>
      </c>
    </row>
    <row r="3">
      <c r="A3" t="inlineStr">
        <is>
          <t>202602</t>
        </is>
      </c>
      <c r="B3" t="inlineStr">
        <is>
          <t>SL</t>
        </is>
      </c>
      <c r="C3" s="5" t="n">
        <v>175793.24</v>
      </c>
      <c r="D3" s="5" t="n">
        <v>149057.08</v>
      </c>
      <c r="E3" s="5" t="n">
        <v>2875.02</v>
      </c>
      <c r="F3" s="5" t="n">
        <v>24383.68</v>
      </c>
      <c r="G3" s="5" t="n">
        <v>0</v>
      </c>
      <c r="H3" s="5" t="n">
        <v>-522.54</v>
      </c>
      <c r="I3" s="5" t="n">
        <v>0</v>
      </c>
      <c r="J3" s="5" t="n">
        <v>-277.52</v>
      </c>
      <c r="K3" s="5" t="n">
        <v>174651.27</v>
      </c>
      <c r="L3" s="5" t="n">
        <v>103370.02</v>
      </c>
      <c r="M3" s="5" t="n">
        <v>63482.91</v>
      </c>
      <c r="N3" s="5" t="n">
        <v>19190.42</v>
      </c>
      <c r="O3" s="5" t="n">
        <v>16662</v>
      </c>
      <c r="P3" s="5" t="n">
        <v>4034.69</v>
      </c>
      <c r="Q3" s="5" t="n">
        <v>85574.17</v>
      </c>
      <c r="R3" s="5" t="n">
        <v>72423.22</v>
      </c>
      <c r="S3" s="5" t="n">
        <v>71281.25</v>
      </c>
      <c r="T3" s="5" t="n">
        <v>47626.1</v>
      </c>
      <c r="U3" s="5" t="n">
        <v>14915.68</v>
      </c>
      <c r="V3" s="5" t="n">
        <v>0</v>
      </c>
      <c r="W3" s="5" t="n">
        <v>4147.62</v>
      </c>
      <c r="X3" s="5" t="n">
        <v>4037.39</v>
      </c>
      <c r="Y3" s="5" t="n">
        <v>554.46</v>
      </c>
      <c r="Z3" s="5" t="n">
        <v>1419.49</v>
      </c>
    </row>
    <row r="4">
      <c r="A4" t="inlineStr">
        <is>
          <t>202603</t>
        </is>
      </c>
      <c r="B4" t="inlineStr">
        <is>
          <t>SL</t>
        </is>
      </c>
      <c r="C4" s="5" t="n">
        <v>169143.19</v>
      </c>
      <c r="D4" s="5" t="n">
        <v>153533.23</v>
      </c>
      <c r="E4" s="5" t="n">
        <v>15609.96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83718.09</v>
      </c>
      <c r="L4" s="5" t="n">
        <v>62066.5</v>
      </c>
      <c r="M4" s="5" t="n">
        <v>42712.31</v>
      </c>
      <c r="N4" s="5" t="n">
        <v>409.62</v>
      </c>
      <c r="O4" s="5" t="n">
        <v>14544</v>
      </c>
      <c r="P4" s="5" t="n">
        <v>4400.57</v>
      </c>
      <c r="Q4" s="5" t="n">
        <v>110820.92</v>
      </c>
      <c r="R4" s="5" t="n">
        <v>107076.69</v>
      </c>
      <c r="S4" s="5" t="n">
        <v>21651.59</v>
      </c>
      <c r="T4" s="5" t="n">
        <v>0</v>
      </c>
      <c r="U4" s="5" t="n">
        <v>15349.42</v>
      </c>
      <c r="V4" s="5" t="n">
        <v>0</v>
      </c>
      <c r="W4" s="5" t="n">
        <v>1222.08</v>
      </c>
      <c r="X4" s="5" t="n">
        <v>5080.09</v>
      </c>
      <c r="Y4" s="5" t="n">
        <v>0</v>
      </c>
      <c r="Z4" s="5" t="n">
        <v>85425.10000000001</v>
      </c>
    </row>
    <row r="5">
      <c r="A5" t="inlineStr">
        <is>
          <t>202604</t>
        </is>
      </c>
      <c r="B5" t="inlineStr">
        <is>
          <t>SL</t>
        </is>
      </c>
      <c r="C5" s="5" t="n">
        <v>3013.01</v>
      </c>
      <c r="D5" s="5" t="n">
        <v>3013.01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27.69</v>
      </c>
      <c r="L5" s="5" t="n">
        <v>0</v>
      </c>
      <c r="M5" s="5" t="n">
        <v>0</v>
      </c>
      <c r="N5" s="5" t="n">
        <v>0</v>
      </c>
      <c r="O5" s="5" t="n">
        <v>0</v>
      </c>
      <c r="P5" s="5" t="n">
        <v>0</v>
      </c>
      <c r="Q5" s="5" t="n">
        <v>3013.01</v>
      </c>
      <c r="R5" s="5" t="n">
        <v>3013.01</v>
      </c>
      <c r="S5" s="5" t="n">
        <v>27.69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27.69</v>
      </c>
      <c r="Y5" s="5" t="n">
        <v>0</v>
      </c>
      <c r="Z5" s="5" t="n">
        <v>2985.32</v>
      </c>
    </row>
    <row r="6">
      <c r="A6" t="inlineStr">
        <is>
          <t>202605</t>
        </is>
      </c>
      <c r="B6" t="inlineStr">
        <is>
          <t>SL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</row>
    <row r="7">
      <c r="A7" t="inlineStr">
        <is>
          <t>202606</t>
        </is>
      </c>
      <c r="B7" t="inlineStr">
        <is>
          <t>SL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</row>
    <row r="8">
      <c r="A8" t="inlineStr">
        <is>
          <t>202607</t>
        </is>
      </c>
      <c r="B8" t="inlineStr">
        <is>
          <t>SL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0</v>
      </c>
      <c r="Z8" s="5" t="n">
        <v>0</v>
      </c>
    </row>
    <row r="9">
      <c r="A9" t="inlineStr">
        <is>
          <t>202608</t>
        </is>
      </c>
      <c r="B9" t="inlineStr">
        <is>
          <t>SL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</row>
    <row r="10">
      <c r="A10" t="inlineStr">
        <is>
          <t>202609</t>
        </is>
      </c>
      <c r="B10" t="inlineStr">
        <is>
          <t>SL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</row>
    <row r="11">
      <c r="A11" t="inlineStr">
        <is>
          <t>202610</t>
        </is>
      </c>
      <c r="B11" t="inlineStr">
        <is>
          <t>SL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</row>
    <row r="12">
      <c r="A12" t="inlineStr">
        <is>
          <t>202611</t>
        </is>
      </c>
      <c r="B12" t="inlineStr">
        <is>
          <t>SL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</row>
    <row r="13">
      <c r="A13" t="inlineStr">
        <is>
          <t>202612</t>
        </is>
      </c>
      <c r="B13" t="inlineStr">
        <is>
          <t>SL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0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</row>
    <row r="14">
      <c r="A14" t="inlineStr">
        <is>
          <t>202601</t>
        </is>
      </c>
      <c r="B14" t="inlineStr">
        <is>
          <t>LTD</t>
        </is>
      </c>
      <c r="C14" s="5" t="n">
        <v>18128.22</v>
      </c>
      <c r="D14" s="5" t="n">
        <v>18128.22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19761.1</v>
      </c>
      <c r="L14" s="5" t="n">
        <v>8877.959999999999</v>
      </c>
      <c r="M14" s="5" t="n">
        <v>6973.85</v>
      </c>
      <c r="N14" s="5" t="n">
        <v>1448.91</v>
      </c>
      <c r="O14" s="5" t="n">
        <v>0</v>
      </c>
      <c r="P14" s="5" t="n">
        <v>455.2</v>
      </c>
      <c r="Q14" s="5" t="n">
        <v>11154.37</v>
      </c>
      <c r="R14" s="5" t="n">
        <v>9250.26</v>
      </c>
      <c r="S14" s="5" t="n">
        <v>10883.14</v>
      </c>
      <c r="T14" s="5" t="n">
        <v>0</v>
      </c>
      <c r="U14" s="5" t="n">
        <v>0</v>
      </c>
      <c r="V14" s="5" t="n">
        <v>10732.87</v>
      </c>
      <c r="W14" s="5" t="n">
        <v>150.27</v>
      </c>
      <c r="X14" s="5" t="n">
        <v>0</v>
      </c>
      <c r="Y14" s="5" t="n">
        <v>0</v>
      </c>
      <c r="Z14" s="5" t="n">
        <v>-1632.88</v>
      </c>
    </row>
    <row r="15">
      <c r="A15" t="inlineStr">
        <is>
          <t>202602</t>
        </is>
      </c>
      <c r="B15" t="inlineStr">
        <is>
          <t>LTD</t>
        </is>
      </c>
      <c r="C15" s="5" t="n">
        <v>22171.92</v>
      </c>
      <c r="D15" s="5" t="n">
        <v>22171.92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22313.85</v>
      </c>
      <c r="L15" s="5" t="n">
        <v>9033.57</v>
      </c>
      <c r="M15" s="5" t="n">
        <v>6569.64</v>
      </c>
      <c r="N15" s="5" t="n">
        <v>1906.08</v>
      </c>
      <c r="O15" s="5" t="n">
        <v>0</v>
      </c>
      <c r="P15" s="5" t="n">
        <v>557.85</v>
      </c>
      <c r="Q15" s="5" t="n">
        <v>15602.28</v>
      </c>
      <c r="R15" s="5" t="n">
        <v>13138.35</v>
      </c>
      <c r="S15" s="5" t="n">
        <v>13280.28</v>
      </c>
      <c r="T15" s="5" t="n">
        <v>0</v>
      </c>
      <c r="U15" s="5" t="n">
        <v>0</v>
      </c>
      <c r="V15" s="5" t="n">
        <v>13068.98</v>
      </c>
      <c r="W15" s="5" t="n">
        <v>211.3</v>
      </c>
      <c r="X15" s="5" t="n">
        <v>0</v>
      </c>
      <c r="Y15" s="5" t="n">
        <v>0</v>
      </c>
      <c r="Z15" s="5" t="n">
        <v>-141.93</v>
      </c>
    </row>
    <row r="16">
      <c r="A16" t="inlineStr">
        <is>
          <t>202603</t>
        </is>
      </c>
      <c r="B16" t="inlineStr">
        <is>
          <t>LTD</t>
        </is>
      </c>
      <c r="C16" s="5" t="n">
        <v>25753.18</v>
      </c>
      <c r="D16" s="5" t="n">
        <v>25753.18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3644.96</v>
      </c>
      <c r="L16" s="5" t="n">
        <v>709.99</v>
      </c>
      <c r="M16" s="5" t="n">
        <v>0</v>
      </c>
      <c r="N16" s="5" t="n">
        <v>59.89</v>
      </c>
      <c r="O16" s="5" t="n">
        <v>0</v>
      </c>
      <c r="P16" s="5" t="n">
        <v>650.1</v>
      </c>
      <c r="Q16" s="5" t="n">
        <v>25753.18</v>
      </c>
      <c r="R16" s="5" t="n">
        <v>25043.19</v>
      </c>
      <c r="S16" s="5" t="n">
        <v>2934.97</v>
      </c>
      <c r="T16" s="5" t="n">
        <v>0</v>
      </c>
      <c r="U16" s="5" t="n">
        <v>0</v>
      </c>
      <c r="V16" s="5" t="n">
        <v>0</v>
      </c>
      <c r="W16" s="5" t="n">
        <v>2772.23</v>
      </c>
      <c r="X16" s="5" t="n">
        <v>162.74</v>
      </c>
      <c r="Y16" s="5" t="n">
        <v>0</v>
      </c>
      <c r="Z16" s="5" t="n">
        <v>22108.22</v>
      </c>
    </row>
    <row r="17">
      <c r="A17" t="inlineStr">
        <is>
          <t>202604</t>
        </is>
      </c>
      <c r="B17" t="inlineStr">
        <is>
          <t>LTD</t>
        </is>
      </c>
      <c r="C17" s="5" t="n">
        <v>204.5</v>
      </c>
      <c r="D17" s="5" t="n">
        <v>204.5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212.57</v>
      </c>
      <c r="L17" s="5" t="n">
        <v>0</v>
      </c>
      <c r="M17" s="5" t="n">
        <v>0</v>
      </c>
      <c r="N17" s="5" t="n">
        <v>0</v>
      </c>
      <c r="O17" s="5" t="n">
        <v>0</v>
      </c>
      <c r="P17" s="5" t="n">
        <v>0</v>
      </c>
      <c r="Q17" s="5" t="n">
        <v>204.5</v>
      </c>
      <c r="R17" s="5" t="n">
        <v>204.5</v>
      </c>
      <c r="S17" s="5" t="n">
        <v>212.57</v>
      </c>
      <c r="T17" s="5" t="n">
        <v>0</v>
      </c>
      <c r="U17" s="5" t="n">
        <v>0</v>
      </c>
      <c r="V17" s="5" t="n">
        <v>0</v>
      </c>
      <c r="W17" s="5" t="n">
        <v>212.57</v>
      </c>
      <c r="X17" s="5" t="n">
        <v>0</v>
      </c>
      <c r="Y17" s="5" t="n">
        <v>0</v>
      </c>
      <c r="Z17" s="5" t="n">
        <v>-8.07</v>
      </c>
    </row>
    <row r="18">
      <c r="A18" t="inlineStr">
        <is>
          <t>202605</t>
        </is>
      </c>
      <c r="B18" t="inlineStr">
        <is>
          <t>LTD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212.57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5" t="n">
        <v>212.57</v>
      </c>
      <c r="T18" s="5" t="n">
        <v>0</v>
      </c>
      <c r="U18" s="5" t="n">
        <v>0</v>
      </c>
      <c r="V18" s="5" t="n">
        <v>0</v>
      </c>
      <c r="W18" s="5" t="n">
        <v>212.57</v>
      </c>
      <c r="X18" s="5" t="n">
        <v>0</v>
      </c>
      <c r="Y18" s="5" t="n">
        <v>0</v>
      </c>
      <c r="Z18" s="5" t="n">
        <v>-212.57</v>
      </c>
    </row>
    <row r="19">
      <c r="A19" t="inlineStr">
        <is>
          <t>202606</t>
        </is>
      </c>
      <c r="B19" t="inlineStr">
        <is>
          <t>LTD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212.57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s="5" t="n">
        <v>212.57</v>
      </c>
      <c r="T19" s="5" t="n">
        <v>0</v>
      </c>
      <c r="U19" s="5" t="n">
        <v>0</v>
      </c>
      <c r="V19" s="5" t="n">
        <v>0</v>
      </c>
      <c r="W19" s="5" t="n">
        <v>212.57</v>
      </c>
      <c r="X19" s="5" t="n">
        <v>0</v>
      </c>
      <c r="Y19" s="5" t="n">
        <v>0</v>
      </c>
      <c r="Z19" s="5" t="n">
        <v>-212.57</v>
      </c>
    </row>
    <row r="20">
      <c r="A20" t="inlineStr">
        <is>
          <t>202607</t>
        </is>
      </c>
      <c r="B20" t="inlineStr">
        <is>
          <t>LTD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212.57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212.57</v>
      </c>
      <c r="T20" s="5" t="n">
        <v>0</v>
      </c>
      <c r="U20" s="5" t="n">
        <v>0</v>
      </c>
      <c r="V20" s="5" t="n">
        <v>0</v>
      </c>
      <c r="W20" s="5" t="n">
        <v>212.57</v>
      </c>
      <c r="X20" s="5" t="n">
        <v>0</v>
      </c>
      <c r="Y20" s="5" t="n">
        <v>0</v>
      </c>
      <c r="Z20" s="5" t="n">
        <v>-212.57</v>
      </c>
    </row>
    <row r="21">
      <c r="A21" t="inlineStr">
        <is>
          <t>202608</t>
        </is>
      </c>
      <c r="B21" t="inlineStr">
        <is>
          <t>LTD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212.57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212.57</v>
      </c>
      <c r="T21" s="5" t="n">
        <v>0</v>
      </c>
      <c r="U21" s="5" t="n">
        <v>0</v>
      </c>
      <c r="V21" s="5" t="n">
        <v>0</v>
      </c>
      <c r="W21" s="5" t="n">
        <v>212.57</v>
      </c>
      <c r="X21" s="5" t="n">
        <v>0</v>
      </c>
      <c r="Y21" s="5" t="n">
        <v>0</v>
      </c>
      <c r="Z21" s="5" t="n">
        <v>-212.57</v>
      </c>
    </row>
    <row r="22">
      <c r="A22" t="inlineStr">
        <is>
          <t>202609</t>
        </is>
      </c>
      <c r="B22" t="inlineStr">
        <is>
          <t>LTD</t>
        </is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212.57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212.57</v>
      </c>
      <c r="T22" s="5" t="n">
        <v>0</v>
      </c>
      <c r="U22" s="5" t="n">
        <v>0</v>
      </c>
      <c r="V22" s="5" t="n">
        <v>0</v>
      </c>
      <c r="W22" s="5" t="n">
        <v>212.57</v>
      </c>
      <c r="X22" s="5" t="n">
        <v>0</v>
      </c>
      <c r="Y22" s="5" t="n">
        <v>0</v>
      </c>
      <c r="Z22" s="5" t="n">
        <v>-212.57</v>
      </c>
    </row>
    <row r="23">
      <c r="A23" t="inlineStr">
        <is>
          <t>202610</t>
        </is>
      </c>
      <c r="B23" t="inlineStr">
        <is>
          <t>LTD</t>
        </is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212.57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212.57</v>
      </c>
      <c r="T23" s="5" t="n">
        <v>0</v>
      </c>
      <c r="U23" s="5" t="n">
        <v>0</v>
      </c>
      <c r="V23" s="5" t="n">
        <v>0</v>
      </c>
      <c r="W23" s="5" t="n">
        <v>212.57</v>
      </c>
      <c r="X23" s="5" t="n">
        <v>0</v>
      </c>
      <c r="Y23" s="5" t="n">
        <v>0</v>
      </c>
      <c r="Z23" s="5" t="n">
        <v>-212.57</v>
      </c>
    </row>
    <row r="24">
      <c r="A24" t="inlineStr">
        <is>
          <t>202611</t>
        </is>
      </c>
      <c r="B24" t="inlineStr">
        <is>
          <t>LTD</t>
        </is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212.57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5" t="n">
        <v>212.57</v>
      </c>
      <c r="T24" s="5" t="n">
        <v>0</v>
      </c>
      <c r="U24" s="5" t="n">
        <v>0</v>
      </c>
      <c r="V24" s="5" t="n">
        <v>0</v>
      </c>
      <c r="W24" s="5" t="n">
        <v>212.57</v>
      </c>
      <c r="X24" s="5" t="n">
        <v>0</v>
      </c>
      <c r="Y24" s="5" t="n">
        <v>0</v>
      </c>
      <c r="Z24" s="5" t="n">
        <v>-212.57</v>
      </c>
    </row>
    <row r="25">
      <c r="A25" t="inlineStr">
        <is>
          <t>202612</t>
        </is>
      </c>
      <c r="B25" t="inlineStr">
        <is>
          <t>LTD</t>
        </is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212.57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212.57</v>
      </c>
      <c r="T25" s="5" t="n">
        <v>0</v>
      </c>
      <c r="U25" s="5" t="n">
        <v>0</v>
      </c>
      <c r="V25" s="5" t="n">
        <v>0</v>
      </c>
      <c r="W25" s="5" t="n">
        <v>212.57</v>
      </c>
      <c r="X25" s="5" t="n">
        <v>0</v>
      </c>
      <c r="Y25" s="5" t="n">
        <v>0</v>
      </c>
      <c r="Z25" s="5" t="n">
        <v>-212.57</v>
      </c>
    </row>
    <row r="26">
      <c r="A26" t="inlineStr">
        <is>
          <t>202601</t>
        </is>
      </c>
      <c r="B26" t="inlineStr">
        <is>
          <t>INC</t>
        </is>
      </c>
      <c r="C26" s="5" t="n">
        <v>8609.43</v>
      </c>
      <c r="D26" s="5" t="n">
        <v>8609.43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12803.42</v>
      </c>
      <c r="L26" s="5" t="n">
        <v>4351.03</v>
      </c>
      <c r="M26" s="5" t="n">
        <v>1681.42</v>
      </c>
      <c r="N26" s="5" t="n">
        <v>2423.74</v>
      </c>
      <c r="O26" s="5" t="n">
        <v>0</v>
      </c>
      <c r="P26" s="5" t="n">
        <v>245.87</v>
      </c>
      <c r="Q26" s="5" t="n">
        <v>6928.01</v>
      </c>
      <c r="R26" s="5" t="n">
        <v>4258.4</v>
      </c>
      <c r="S26" s="5" t="n">
        <v>8452.389999999999</v>
      </c>
      <c r="T26" s="5" t="n">
        <v>0</v>
      </c>
      <c r="U26" s="5" t="n">
        <v>0</v>
      </c>
      <c r="V26" s="5" t="n">
        <v>7334.44</v>
      </c>
      <c r="W26" s="5" t="n">
        <v>1117.95</v>
      </c>
      <c r="X26" s="5" t="n">
        <v>0</v>
      </c>
      <c r="Y26" s="5" t="n">
        <v>0</v>
      </c>
      <c r="Z26" s="5" t="n">
        <v>-4193.99</v>
      </c>
    </row>
    <row r="27">
      <c r="A27" t="inlineStr">
        <is>
          <t>202602</t>
        </is>
      </c>
      <c r="B27" t="inlineStr">
        <is>
          <t>INC</t>
        </is>
      </c>
      <c r="C27" s="5" t="n">
        <v>13171.59</v>
      </c>
      <c r="D27" s="5" t="n">
        <v>13171.59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16801.34</v>
      </c>
      <c r="L27" s="5" t="n">
        <v>7210.23</v>
      </c>
      <c r="M27" s="5" t="n">
        <v>3046.14</v>
      </c>
      <c r="N27" s="5" t="n">
        <v>3765.88</v>
      </c>
      <c r="O27" s="5" t="n">
        <v>0</v>
      </c>
      <c r="P27" s="5" t="n">
        <v>398.21</v>
      </c>
      <c r="Q27" s="5" t="n">
        <v>10125.45</v>
      </c>
      <c r="R27" s="5" t="n">
        <v>5961.36</v>
      </c>
      <c r="S27" s="5" t="n">
        <v>9591.110000000001</v>
      </c>
      <c r="T27" s="5" t="n">
        <v>0</v>
      </c>
      <c r="U27" s="5" t="n">
        <v>0</v>
      </c>
      <c r="V27" s="5" t="n">
        <v>8462.360000000001</v>
      </c>
      <c r="W27" s="5" t="n">
        <v>1128.75</v>
      </c>
      <c r="X27" s="5" t="n">
        <v>0</v>
      </c>
      <c r="Y27" s="5" t="n">
        <v>0</v>
      </c>
      <c r="Z27" s="5" t="n">
        <v>-3629.75</v>
      </c>
    </row>
    <row r="28">
      <c r="A28" t="inlineStr">
        <is>
          <t>202603</t>
        </is>
      </c>
      <c r="B28" t="inlineStr">
        <is>
          <t>INC</t>
        </is>
      </c>
      <c r="C28" s="5" t="n">
        <v>14382.28</v>
      </c>
      <c r="D28" s="5" t="n">
        <v>14382.28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2697.73</v>
      </c>
      <c r="L28" s="5" t="n">
        <v>1557.8</v>
      </c>
      <c r="M28" s="5" t="n">
        <v>1105.19</v>
      </c>
      <c r="N28" s="5" t="n">
        <v>0</v>
      </c>
      <c r="O28" s="5" t="n">
        <v>0</v>
      </c>
      <c r="P28" s="5" t="n">
        <v>452.61</v>
      </c>
      <c r="Q28" s="5" t="n">
        <v>13277.09</v>
      </c>
      <c r="R28" s="5" t="n">
        <v>12824.48</v>
      </c>
      <c r="S28" s="5" t="n">
        <v>1139.93</v>
      </c>
      <c r="T28" s="5" t="n">
        <v>0</v>
      </c>
      <c r="U28" s="5" t="n">
        <v>0</v>
      </c>
      <c r="V28" s="5" t="n">
        <v>0</v>
      </c>
      <c r="W28" s="5" t="n">
        <v>1139.93</v>
      </c>
      <c r="X28" s="5" t="n">
        <v>0</v>
      </c>
      <c r="Y28" s="5" t="n">
        <v>0</v>
      </c>
      <c r="Z28" s="5" t="n">
        <v>11684.55</v>
      </c>
    </row>
    <row r="29">
      <c r="A29" t="inlineStr">
        <is>
          <t>202604</t>
        </is>
      </c>
      <c r="B29" t="inlineStr">
        <is>
          <t>INC</t>
        </is>
      </c>
      <c r="C29" s="5" t="n">
        <v>271.35</v>
      </c>
      <c r="D29" s="5" t="n">
        <v>271.35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990.95</v>
      </c>
      <c r="L29" s="5" t="n">
        <v>0</v>
      </c>
      <c r="M29" s="5" t="n">
        <v>0</v>
      </c>
      <c r="N29" s="5" t="n">
        <v>0</v>
      </c>
      <c r="O29" s="5" t="n">
        <v>0</v>
      </c>
      <c r="P29" s="5" t="n">
        <v>0</v>
      </c>
      <c r="Q29" s="5" t="n">
        <v>271.35</v>
      </c>
      <c r="R29" s="5" t="n">
        <v>271.35</v>
      </c>
      <c r="S29" s="5" t="n">
        <v>990.95</v>
      </c>
      <c r="T29" s="5" t="n">
        <v>0</v>
      </c>
      <c r="U29" s="5" t="n">
        <v>0</v>
      </c>
      <c r="V29" s="5" t="n">
        <v>0</v>
      </c>
      <c r="W29" s="5" t="n">
        <v>990.95</v>
      </c>
      <c r="X29" s="5" t="n">
        <v>0</v>
      </c>
      <c r="Y29" s="5" t="n">
        <v>0</v>
      </c>
      <c r="Z29" s="5" t="n">
        <v>-719.6</v>
      </c>
    </row>
    <row r="30">
      <c r="A30" t="inlineStr">
        <is>
          <t>202605</t>
        </is>
      </c>
      <c r="B30" t="inlineStr">
        <is>
          <t>INC</t>
        </is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s="5" t="n">
        <v>0</v>
      </c>
      <c r="T30" s="5" t="n">
        <v>0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5" t="n">
        <v>0</v>
      </c>
    </row>
    <row r="31">
      <c r="A31" t="inlineStr">
        <is>
          <t>202606</t>
        </is>
      </c>
      <c r="B31" t="inlineStr">
        <is>
          <t>INC</t>
        </is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s="5" t="n">
        <v>0</v>
      </c>
      <c r="T31" s="5" t="n">
        <v>0</v>
      </c>
      <c r="U31" s="5" t="n">
        <v>0</v>
      </c>
      <c r="V31" s="5" t="n">
        <v>0</v>
      </c>
      <c r="W31" s="5" t="n">
        <v>0</v>
      </c>
      <c r="X31" s="5" t="n">
        <v>0</v>
      </c>
      <c r="Y31" s="5" t="n">
        <v>0</v>
      </c>
      <c r="Z31" s="5" t="n">
        <v>0</v>
      </c>
    </row>
    <row r="32">
      <c r="A32" t="inlineStr">
        <is>
          <t>202607</t>
        </is>
      </c>
      <c r="B32" t="inlineStr">
        <is>
          <t>INC</t>
        </is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0</v>
      </c>
      <c r="Y32" s="5" t="n">
        <v>0</v>
      </c>
      <c r="Z32" s="5" t="n">
        <v>0</v>
      </c>
    </row>
    <row r="33">
      <c r="A33" t="inlineStr">
        <is>
          <t>202608</t>
        </is>
      </c>
      <c r="B33" t="inlineStr">
        <is>
          <t>INC</t>
        </is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5" t="n">
        <v>0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5" t="n">
        <v>0</v>
      </c>
      <c r="T33" s="5" t="n">
        <v>0</v>
      </c>
      <c r="U33" s="5" t="n">
        <v>0</v>
      </c>
      <c r="V33" s="5" t="n">
        <v>0</v>
      </c>
      <c r="W33" s="5" t="n">
        <v>0</v>
      </c>
      <c r="X33" s="5" t="n">
        <v>0</v>
      </c>
      <c r="Y33" s="5" t="n">
        <v>0</v>
      </c>
      <c r="Z33" s="5" t="n">
        <v>0</v>
      </c>
    </row>
    <row r="34">
      <c r="A34" t="inlineStr">
        <is>
          <t>202609</t>
        </is>
      </c>
      <c r="B34" t="inlineStr">
        <is>
          <t>INC</t>
        </is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s="5" t="n">
        <v>0</v>
      </c>
      <c r="T34" s="5" t="n">
        <v>0</v>
      </c>
      <c r="U34" s="5" t="n">
        <v>0</v>
      </c>
      <c r="V34" s="5" t="n">
        <v>0</v>
      </c>
      <c r="W34" s="5" t="n">
        <v>0</v>
      </c>
      <c r="X34" s="5" t="n">
        <v>0</v>
      </c>
      <c r="Y34" s="5" t="n">
        <v>0</v>
      </c>
      <c r="Z34" s="5" t="n">
        <v>0</v>
      </c>
    </row>
    <row r="35">
      <c r="A35" t="inlineStr">
        <is>
          <t>202610</t>
        </is>
      </c>
      <c r="B35" t="inlineStr">
        <is>
          <t>INC</t>
        </is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5" t="n">
        <v>0</v>
      </c>
      <c r="N35" s="5" t="n">
        <v>0</v>
      </c>
      <c r="O35" s="5" t="n">
        <v>0</v>
      </c>
      <c r="P35" s="5" t="n">
        <v>0</v>
      </c>
      <c r="Q35" s="5" t="n">
        <v>0</v>
      </c>
      <c r="R35" s="5" t="n">
        <v>0</v>
      </c>
      <c r="S35" s="5" t="n">
        <v>0</v>
      </c>
      <c r="T35" s="5" t="n">
        <v>0</v>
      </c>
      <c r="U35" s="5" t="n">
        <v>0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</row>
    <row r="36">
      <c r="A36" t="inlineStr">
        <is>
          <t>202611</t>
        </is>
      </c>
      <c r="B36" t="inlineStr">
        <is>
          <t>INC</t>
        </is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5" t="n">
        <v>0</v>
      </c>
      <c r="Q36" s="5" t="n">
        <v>0</v>
      </c>
      <c r="R36" s="5" t="n">
        <v>0</v>
      </c>
      <c r="S36" s="5" t="n">
        <v>0</v>
      </c>
      <c r="T36" s="5" t="n">
        <v>0</v>
      </c>
      <c r="U36" s="5" t="n">
        <v>0</v>
      </c>
      <c r="V36" s="5" t="n">
        <v>0</v>
      </c>
      <c r="W36" s="5" t="n">
        <v>0</v>
      </c>
      <c r="X36" s="5" t="n">
        <v>0</v>
      </c>
      <c r="Y36" s="5" t="n">
        <v>0</v>
      </c>
      <c r="Z36" s="5" t="n">
        <v>0</v>
      </c>
    </row>
    <row r="37">
      <c r="A37" t="inlineStr">
        <is>
          <t>202612</t>
        </is>
      </c>
      <c r="B37" t="inlineStr">
        <is>
          <t>INC</t>
        </is>
      </c>
      <c r="C37" s="5" t="n">
        <v>0</v>
      </c>
      <c r="D37" s="5" t="n">
        <v>0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5" t="n">
        <v>0</v>
      </c>
      <c r="P37" s="5" t="n">
        <v>0</v>
      </c>
      <c r="Q37" s="5" t="n">
        <v>0</v>
      </c>
      <c r="R37" s="5" t="n">
        <v>0</v>
      </c>
      <c r="S37" s="5" t="n">
        <v>0</v>
      </c>
      <c r="T37" s="5" t="n">
        <v>0</v>
      </c>
      <c r="U37" s="5" t="n">
        <v>0</v>
      </c>
      <c r="V37" s="5" t="n">
        <v>0</v>
      </c>
      <c r="W37" s="5" t="n">
        <v>0</v>
      </c>
      <c r="X37" s="5" t="n">
        <v>0</v>
      </c>
      <c r="Y37" s="5" t="n">
        <v>0</v>
      </c>
      <c r="Z37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>
      <c r="A1" s="15" t="inlineStr">
        <is>
          <t>yyyymm</t>
        </is>
      </c>
      <c r="B1" s="15" t="inlineStr">
        <is>
          <t>rate_date</t>
        </is>
      </c>
      <c r="C1" s="15" t="inlineStr">
        <is>
          <t>currency_original</t>
        </is>
      </c>
      <c r="D1" s="15" t="inlineStr">
        <is>
          <t>reporting_currency</t>
        </is>
      </c>
      <c r="E1" s="15" t="inlineStr">
        <is>
          <t>reference_rate</t>
        </is>
      </c>
      <c r="F1" s="15" t="inlineStr">
        <is>
          <t>fx_rate</t>
        </is>
      </c>
      <c r="G1" s="15" t="inlineStr">
        <is>
          <t>source</t>
        </is>
      </c>
    </row>
    <row r="2">
      <c r="A2" t="inlineStr">
        <is>
          <t>202601</t>
        </is>
      </c>
      <c r="B2" t="inlineStr">
        <is>
          <t>2026-01-01</t>
        </is>
      </c>
      <c r="C2" t="inlineStr">
        <is>
          <t>EUR</t>
        </is>
      </c>
      <c r="D2" t="inlineStr">
        <is>
          <t>EUR</t>
        </is>
      </c>
      <c r="E2" s="16" t="n">
        <v>1</v>
      </c>
      <c r="F2" s="16" t="n">
        <v>1</v>
      </c>
      <c r="G2" t="inlineStr">
        <is>
          <t>identity</t>
        </is>
      </c>
    </row>
    <row r="3">
      <c r="A3" t="inlineStr">
        <is>
          <t>202601</t>
        </is>
      </c>
      <c r="B3" t="inlineStr">
        <is>
          <t>2026-01-30</t>
        </is>
      </c>
      <c r="C3" t="inlineStr">
        <is>
          <t>GBP</t>
        </is>
      </c>
      <c r="D3" t="inlineStr">
        <is>
          <t>EUR</t>
        </is>
      </c>
      <c r="E3" s="16" t="n">
        <v>0.8662</v>
      </c>
      <c r="F3" s="16" t="n">
        <v>1.15446779</v>
      </c>
      <c r="G3" t="inlineStr">
        <is>
          <t>https://www.ecb.europa.eu/stats/eurofxref/eurofxref-hist.xml</t>
        </is>
      </c>
    </row>
    <row r="4">
      <c r="A4" t="inlineStr">
        <is>
          <t>202601</t>
        </is>
      </c>
      <c r="B4" t="inlineStr">
        <is>
          <t>2026-01-30</t>
        </is>
      </c>
      <c r="C4" t="inlineStr">
        <is>
          <t>USD</t>
        </is>
      </c>
      <c r="D4" t="inlineStr">
        <is>
          <t>EUR</t>
        </is>
      </c>
      <c r="E4" s="16" t="n">
        <v>1.1919</v>
      </c>
      <c r="F4" s="16" t="n">
        <v>0.83899656</v>
      </c>
      <c r="G4" t="inlineStr">
        <is>
          <t>https://www.ecb.europa.eu/stats/eurofxref/eurofxref-hist.xml</t>
        </is>
      </c>
    </row>
    <row r="5">
      <c r="A5" t="inlineStr">
        <is>
          <t>202602</t>
        </is>
      </c>
      <c r="B5" t="inlineStr">
        <is>
          <t>2026-02-01</t>
        </is>
      </c>
      <c r="C5" t="inlineStr">
        <is>
          <t>EUR</t>
        </is>
      </c>
      <c r="D5" t="inlineStr">
        <is>
          <t>EUR</t>
        </is>
      </c>
      <c r="E5" s="16" t="n">
        <v>1</v>
      </c>
      <c r="F5" s="16" t="n">
        <v>1</v>
      </c>
      <c r="G5" t="inlineStr">
        <is>
          <t>identity</t>
        </is>
      </c>
    </row>
    <row r="6">
      <c r="A6" t="inlineStr">
        <is>
          <t>202602</t>
        </is>
      </c>
      <c r="B6" t="inlineStr">
        <is>
          <t>2026-02-27</t>
        </is>
      </c>
      <c r="C6" t="inlineStr">
        <is>
          <t>GBP</t>
        </is>
      </c>
      <c r="D6" t="inlineStr">
        <is>
          <t>EUR</t>
        </is>
      </c>
      <c r="E6" s="16" t="n">
        <v>0.8763</v>
      </c>
      <c r="F6" s="16" t="n">
        <v>1.1411617</v>
      </c>
      <c r="G6" t="inlineStr">
        <is>
          <t>https://www.ecb.europa.eu/stats/eurofxref/eurofxref-hist.xml</t>
        </is>
      </c>
    </row>
    <row r="7">
      <c r="A7" t="inlineStr">
        <is>
          <t>202602</t>
        </is>
      </c>
      <c r="B7" t="inlineStr">
        <is>
          <t>2026-02-27</t>
        </is>
      </c>
      <c r="C7" t="inlineStr">
        <is>
          <t>USD</t>
        </is>
      </c>
      <c r="D7" t="inlineStr">
        <is>
          <t>EUR</t>
        </is>
      </c>
      <c r="E7" s="16" t="n">
        <v>1.1805</v>
      </c>
      <c r="F7" s="16" t="n">
        <v>0.84709869</v>
      </c>
      <c r="G7" t="inlineStr">
        <is>
          <t>https://www.ecb.europa.eu/stats/eurofxref/eurofxref-hist.xml</t>
        </is>
      </c>
    </row>
    <row r="8">
      <c r="A8" t="inlineStr">
        <is>
          <t>202603</t>
        </is>
      </c>
      <c r="B8" t="inlineStr">
        <is>
          <t>2026-03-01</t>
        </is>
      </c>
      <c r="C8" t="inlineStr">
        <is>
          <t>EUR</t>
        </is>
      </c>
      <c r="D8" t="inlineStr">
        <is>
          <t>EUR</t>
        </is>
      </c>
      <c r="E8" s="16" t="n">
        <v>1</v>
      </c>
      <c r="F8" s="16" t="n">
        <v>1</v>
      </c>
      <c r="G8" t="inlineStr">
        <is>
          <t>identity</t>
        </is>
      </c>
    </row>
    <row r="9">
      <c r="A9" t="inlineStr">
        <is>
          <t>202603</t>
        </is>
      </c>
      <c r="B9" t="inlineStr">
        <is>
          <t>2026-03-31</t>
        </is>
      </c>
      <c r="C9" t="inlineStr">
        <is>
          <t>GBP</t>
        </is>
      </c>
      <c r="D9" t="inlineStr">
        <is>
          <t>EUR</t>
        </is>
      </c>
      <c r="E9" s="16" t="n">
        <v>0.86833</v>
      </c>
      <c r="F9" s="16" t="n">
        <v>1.1516359</v>
      </c>
      <c r="G9" t="inlineStr">
        <is>
          <t>https://www.ecb.europa.eu/stats/eurofxref/eurofxref-hist.xml</t>
        </is>
      </c>
    </row>
    <row r="10">
      <c r="A10" t="inlineStr">
        <is>
          <t>202603</t>
        </is>
      </c>
      <c r="B10" t="inlineStr">
        <is>
          <t>2026-03-31</t>
        </is>
      </c>
      <c r="C10" t="inlineStr">
        <is>
          <t>USD</t>
        </is>
      </c>
      <c r="D10" t="inlineStr">
        <is>
          <t>EUR</t>
        </is>
      </c>
      <c r="E10" s="16" t="n">
        <v>1.1498</v>
      </c>
      <c r="F10" s="16" t="n">
        <v>0.86971647</v>
      </c>
      <c r="G10" t="inlineStr">
        <is>
          <t>https://www.ecb.europa.eu/stats/eurofxref/eurofxref-hist.xml</t>
        </is>
      </c>
    </row>
    <row r="11">
      <c r="A11" t="inlineStr">
        <is>
          <t>202604</t>
        </is>
      </c>
      <c r="B11" t="inlineStr">
        <is>
          <t>2026-04-01</t>
        </is>
      </c>
      <c r="C11" t="inlineStr">
        <is>
          <t>EUR</t>
        </is>
      </c>
      <c r="D11" t="inlineStr">
        <is>
          <t>EUR</t>
        </is>
      </c>
      <c r="E11" s="16" t="n">
        <v>1</v>
      </c>
      <c r="F11" s="16" t="n">
        <v>1</v>
      </c>
      <c r="G11" t="inlineStr">
        <is>
          <t>identity</t>
        </is>
      </c>
    </row>
    <row r="12">
      <c r="A12" t="inlineStr">
        <is>
          <t>202604</t>
        </is>
      </c>
      <c r="B12" t="inlineStr">
        <is>
          <t>2026-04-01</t>
        </is>
      </c>
      <c r="C12" t="inlineStr">
        <is>
          <t>GBP</t>
        </is>
      </c>
      <c r="D12" t="inlineStr">
        <is>
          <t>EUR</t>
        </is>
      </c>
      <c r="E12" s="16" t="n">
        <v>0.87113</v>
      </c>
      <c r="F12" s="16" t="n">
        <v>1.14793429</v>
      </c>
      <c r="G12" t="inlineStr">
        <is>
          <t>https://www.ecb.europa.eu/stats/eurofxref/eurofxref-hist.xml</t>
        </is>
      </c>
    </row>
    <row r="13">
      <c r="A13" t="inlineStr">
        <is>
          <t>202604</t>
        </is>
      </c>
      <c r="B13" t="inlineStr">
        <is>
          <t>2026-04-01</t>
        </is>
      </c>
      <c r="C13" t="inlineStr">
        <is>
          <t>USD</t>
        </is>
      </c>
      <c r="D13" t="inlineStr">
        <is>
          <t>EUR</t>
        </is>
      </c>
      <c r="E13" s="16" t="n">
        <v>1.1605</v>
      </c>
      <c r="F13" s="16" t="n">
        <v>0.86169754</v>
      </c>
      <c r="G13" t="inlineStr">
        <is>
          <t>https://www.ecb.europa.eu/stats/eurofxref/eurofxref-hist.xml</t>
        </is>
      </c>
    </row>
    <row r="14">
      <c r="A14" t="inlineStr">
        <is>
          <t>202605</t>
        </is>
      </c>
      <c r="B14" t="inlineStr">
        <is>
          <t>2026-04-01</t>
        </is>
      </c>
      <c r="C14" t="inlineStr">
        <is>
          <t>GBP</t>
        </is>
      </c>
      <c r="D14" t="inlineStr">
        <is>
          <t>EUR</t>
        </is>
      </c>
      <c r="E14" s="16" t="n">
        <v>0.87113</v>
      </c>
      <c r="F14" s="16" t="n">
        <v>1.14793429</v>
      </c>
      <c r="G14" t="inlineStr">
        <is>
          <t>https://www.ecb.europa.eu/stats/eurofxref/eurofxref-hist.xml (latest available, no ECB data for 202605)</t>
        </is>
      </c>
    </row>
    <row r="15">
      <c r="A15" t="inlineStr">
        <is>
          <t>202606</t>
        </is>
      </c>
      <c r="B15" t="inlineStr">
        <is>
          <t>2026-04-01</t>
        </is>
      </c>
      <c r="C15" t="inlineStr">
        <is>
          <t>GBP</t>
        </is>
      </c>
      <c r="D15" t="inlineStr">
        <is>
          <t>EUR</t>
        </is>
      </c>
      <c r="E15" s="16" t="n">
        <v>0.87113</v>
      </c>
      <c r="F15" s="16" t="n">
        <v>1.14793429</v>
      </c>
      <c r="G15" t="inlineStr">
        <is>
          <t>https://www.ecb.europa.eu/stats/eurofxref/eurofxref-hist.xml (latest available, no ECB data for 202606)</t>
        </is>
      </c>
    </row>
    <row r="16">
      <c r="A16" t="inlineStr">
        <is>
          <t>202607</t>
        </is>
      </c>
      <c r="B16" t="inlineStr">
        <is>
          <t>2026-04-01</t>
        </is>
      </c>
      <c r="C16" t="inlineStr">
        <is>
          <t>GBP</t>
        </is>
      </c>
      <c r="D16" t="inlineStr">
        <is>
          <t>EUR</t>
        </is>
      </c>
      <c r="E16" s="16" t="n">
        <v>0.87113</v>
      </c>
      <c r="F16" s="16" t="n">
        <v>1.14793429</v>
      </c>
      <c r="G16" t="inlineStr">
        <is>
          <t>https://www.ecb.europa.eu/stats/eurofxref/eurofxref-hist.xml (latest available, no ECB data for 202607)</t>
        </is>
      </c>
    </row>
    <row r="17">
      <c r="A17" t="inlineStr">
        <is>
          <t>202608</t>
        </is>
      </c>
      <c r="B17" t="inlineStr">
        <is>
          <t>2026-04-01</t>
        </is>
      </c>
      <c r="C17" t="inlineStr">
        <is>
          <t>GBP</t>
        </is>
      </c>
      <c r="D17" t="inlineStr">
        <is>
          <t>EUR</t>
        </is>
      </c>
      <c r="E17" s="16" t="n">
        <v>0.87113</v>
      </c>
      <c r="F17" s="16" t="n">
        <v>1.14793429</v>
      </c>
      <c r="G17" t="inlineStr">
        <is>
          <t>https://www.ecb.europa.eu/stats/eurofxref/eurofxref-hist.xml (latest available, no ECB data for 202608)</t>
        </is>
      </c>
    </row>
    <row r="18">
      <c r="A18" t="inlineStr">
        <is>
          <t>202609</t>
        </is>
      </c>
      <c r="B18" t="inlineStr">
        <is>
          <t>2026-04-01</t>
        </is>
      </c>
      <c r="C18" t="inlineStr">
        <is>
          <t>GBP</t>
        </is>
      </c>
      <c r="D18" t="inlineStr">
        <is>
          <t>EUR</t>
        </is>
      </c>
      <c r="E18" s="16" t="n">
        <v>0.87113</v>
      </c>
      <c r="F18" s="16" t="n">
        <v>1.14793429</v>
      </c>
      <c r="G18" t="inlineStr">
        <is>
          <t>https://www.ecb.europa.eu/stats/eurofxref/eurofxref-hist.xml (latest available, no ECB data for 202609)</t>
        </is>
      </c>
    </row>
    <row r="19">
      <c r="A19" t="inlineStr">
        <is>
          <t>202610</t>
        </is>
      </c>
      <c r="B19" t="inlineStr">
        <is>
          <t>2026-04-01</t>
        </is>
      </c>
      <c r="C19" t="inlineStr">
        <is>
          <t>GBP</t>
        </is>
      </c>
      <c r="D19" t="inlineStr">
        <is>
          <t>EUR</t>
        </is>
      </c>
      <c r="E19" s="16" t="n">
        <v>0.87113</v>
      </c>
      <c r="F19" s="16" t="n">
        <v>1.14793429</v>
      </c>
      <c r="G19" t="inlineStr">
        <is>
          <t>https://www.ecb.europa.eu/stats/eurofxref/eurofxref-hist.xml (latest available, no ECB data for 202610)</t>
        </is>
      </c>
    </row>
    <row r="20">
      <c r="A20" t="inlineStr">
        <is>
          <t>202611</t>
        </is>
      </c>
      <c r="B20" t="inlineStr">
        <is>
          <t>2026-04-01</t>
        </is>
      </c>
      <c r="C20" t="inlineStr">
        <is>
          <t>GBP</t>
        </is>
      </c>
      <c r="D20" t="inlineStr">
        <is>
          <t>EUR</t>
        </is>
      </c>
      <c r="E20" s="16" t="n">
        <v>0.87113</v>
      </c>
      <c r="F20" s="16" t="n">
        <v>1.14793429</v>
      </c>
      <c r="G20" t="inlineStr">
        <is>
          <t>https://www.ecb.europa.eu/stats/eurofxref/eurofxref-hist.xml (latest available, no ECB data for 202611)</t>
        </is>
      </c>
    </row>
    <row r="21">
      <c r="A21" t="inlineStr">
        <is>
          <t>202612</t>
        </is>
      </c>
      <c r="B21" t="inlineStr">
        <is>
          <t>2026-04-01</t>
        </is>
      </c>
      <c r="C21" t="inlineStr">
        <is>
          <t>GBP</t>
        </is>
      </c>
      <c r="D21" t="inlineStr">
        <is>
          <t>EUR</t>
        </is>
      </c>
      <c r="E21" s="16" t="n">
        <v>0.87113</v>
      </c>
      <c r="F21" s="16" t="n">
        <v>1.14793429</v>
      </c>
      <c r="G21" t="inlineStr">
        <is>
          <t>https://www.ecb.europa.eu/stats/eurofxref/eurofxref-hist.xml (latest available, no ECB data for 202612)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2026-04-01T15:32:58Z</dcterms:created>
  <dcterms:modified xsi:type="dcterms:W3CDTF">2026-04-01T15:32:58Z</dcterms:modified>
</cp:coreProperties>
</file>