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G-CONSOLIDADO" sheetId="1" state="visible" r:id="rId1"/>
    <sheet xmlns:r="http://schemas.openxmlformats.org/officeDocument/2006/relationships" name="i-sl" sheetId="2" state="visible" r:id="rId2"/>
    <sheet xmlns:r="http://schemas.openxmlformats.org/officeDocument/2006/relationships" name="i-ltd" sheetId="3" state="visible" r:id="rId3"/>
    <sheet xmlns:r="http://schemas.openxmlformats.org/officeDocument/2006/relationships" name="i-inc" sheetId="4" state="visible" r:id="rId4"/>
    <sheet xmlns:r="http://schemas.openxmlformats.org/officeDocument/2006/relationships" name="fx-rates" sheetId="5" state="visible" r:id="rId5"/>
    <sheet xmlns:r="http://schemas.openxmlformats.org/officeDocument/2006/relationships" name="P&amp;G-TRIMESTRAL" sheetId="6" state="visible" r:id="rId6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#,##0.00;[Red](#,##0.00);-"/>
    <numFmt numFmtId="165" formatCode="0.00000000"/>
    <numFmt numFmtId="166" formatCode="0.0%;[Red](0.0%);-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i val="1"/>
      <color rgb="00666666"/>
      <sz val="9"/>
    </font>
    <font>
      <b val="1"/>
      <sz val="10"/>
    </font>
    <font>
      <sz val="9"/>
    </font>
    <font>
      <b val="1"/>
    </font>
    <font>
      <b val="1"/>
      <sz val="9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D9D9"/>
      </patternFill>
    </fill>
    <fill>
      <patternFill patternType="solid">
        <fgColor rgb="00EAF3F8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top style="medium">
        <color rgb="007F7F7F"/>
      </top>
    </border>
    <border>
      <top style="thin">
        <color rgb="00A6A6A6"/>
      </top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164" fontId="5" fillId="3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/>
    </xf>
    <xf numFmtId="164" fontId="6" fillId="4" borderId="2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indent="3"/>
    </xf>
    <xf numFmtId="164" fontId="5" fillId="0" borderId="0" applyAlignment="1" pivotButton="0" quotePrefix="0" xfId="0">
      <alignment horizontal="right" vertical="center"/>
    </xf>
    <xf numFmtId="164" fontId="5" fillId="4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indent="5"/>
    </xf>
    <xf numFmtId="0" fontId="3" fillId="0" borderId="0" applyAlignment="1" pivotButton="0" quotePrefix="0" xfId="0">
      <alignment horizontal="left" vertical="center" indent="4"/>
    </xf>
    <xf numFmtId="0" fontId="5" fillId="0" borderId="0" applyAlignment="1" pivotButton="0" quotePrefix="0" xfId="0">
      <alignment horizontal="left" vertical="center" indent="2"/>
    </xf>
    <xf numFmtId="0" fontId="4" fillId="6" borderId="1" applyAlignment="1" pivotButton="0" quotePrefix="0" xfId="0">
      <alignment horizontal="left" vertical="center"/>
    </xf>
    <xf numFmtId="0" fontId="0" fillId="6" borderId="1" pivotButton="0" quotePrefix="0" xfId="0"/>
    <xf numFmtId="164" fontId="5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/>
    </xf>
    <xf numFmtId="166" fontId="5" fillId="6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applyAlignment="1" pivotButton="0" quotePrefix="0" xfId="0">
      <alignment horizontal="left" vertical="center" indent="4"/>
    </xf>
    <xf numFmtId="0" fontId="5" fillId="0" borderId="0" applyAlignment="1" pivotButton="0" quotePrefix="0" xfId="0">
      <alignment horizontal="left" vertical="center" indent="5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idden="1">
      <c r="D1" t="inlineStr">
        <is>
          <t>202601</t>
        </is>
      </c>
      <c r="E1" t="inlineStr">
        <is>
          <t>202602</t>
        </is>
      </c>
      <c r="F1" t="inlineStr">
        <is>
          <t>202603</t>
        </is>
      </c>
      <c r="G1" t="inlineStr">
        <is>
          <t>202604</t>
        </is>
      </c>
      <c r="H1" t="inlineStr">
        <is>
          <t>202605</t>
        </is>
      </c>
      <c r="I1" t="inlineStr">
        <is>
          <t>202606</t>
        </is>
      </c>
      <c r="J1" t="inlineStr">
        <is>
          <t>202607</t>
        </is>
      </c>
      <c r="K1" t="inlineStr">
        <is>
          <t>202608</t>
        </is>
      </c>
      <c r="L1" t="inlineStr">
        <is>
          <t>202609</t>
        </is>
      </c>
      <c r="M1" t="inlineStr">
        <is>
          <t>202610</t>
        </is>
      </c>
      <c r="N1" t="inlineStr">
        <is>
          <t>202611</t>
        </is>
      </c>
      <c r="O1" t="inlineStr">
        <is>
          <t>202612</t>
        </is>
      </c>
      <c r="P1" t="inlineStr">
        <is>
          <t>TOTAL</t>
        </is>
      </c>
    </row>
    <row r="2" ht="12" customHeight="1">
      <c r="A2" s="1" t="inlineStr">
        <is>
          <t>P&amp;G CONSOLIDADO 2026 (EUR)</t>
        </is>
      </c>
      <c r="B2" s="2" t="n"/>
      <c r="C2" s="2" t="n"/>
      <c r="D2" s="2" t="inlineStr">
        <is>
          <t>Enero</t>
        </is>
      </c>
      <c r="E2" s="2" t="inlineStr">
        <is>
          <t>Febrero</t>
        </is>
      </c>
      <c r="F2" s="2" t="inlineStr">
        <is>
          <t>Marzo</t>
        </is>
      </c>
      <c r="G2" s="2" t="inlineStr">
        <is>
          <t>Abril</t>
        </is>
      </c>
      <c r="H2" s="2" t="inlineStr">
        <is>
          <t>Mayo</t>
        </is>
      </c>
      <c r="I2" s="2" t="inlineStr">
        <is>
          <t>Junio</t>
        </is>
      </c>
      <c r="J2" s="2" t="inlineStr">
        <is>
          <t>Julio</t>
        </is>
      </c>
      <c r="K2" s="2" t="inlineStr">
        <is>
          <t>Agosto</t>
        </is>
      </c>
      <c r="L2" s="2" t="inlineStr">
        <is>
          <t>Septiembre</t>
        </is>
      </c>
      <c r="M2" s="2" t="inlineStr">
        <is>
          <t>Octubre</t>
        </is>
      </c>
      <c r="N2" s="2" t="inlineStr">
        <is>
          <t>Noviembre</t>
        </is>
      </c>
      <c r="O2" s="2" t="inlineStr">
        <is>
          <t>Diciembre</t>
        </is>
      </c>
      <c r="P2" s="2" t="inlineStr">
        <is>
          <t>Total</t>
        </is>
      </c>
    </row>
    <row r="3" ht="12" customHeight="1">
      <c r="A3" s="3" t="inlineStr">
        <is>
          <t>Shopify daily average | Actualizado: 04/09/2026 10:00 h</t>
        </is>
      </c>
      <c r="D3">
        <f>IFERROR(IF(DATE(VALUE(LEFT(D$1,4)),VALUE(RIGHT(D$1,2)),1)&gt;TODAY(),"",IF(EOMONTH(DATE(VALUE(LEFT(D$1,4)),VALUE(RIGHT(D$1,2)),1),0)&lt;TODAY(),D6/DAY(EOMONTH(DATE(VALUE(LEFT(D$1,4)),VALUE(RIGHT(D$1,2)),1),0)),D6/MAX(NOW()-DATE(VALUE(LEFT(D$1,4)),VALUE(RIGHT(D$1,2)),1),1/24))),"")</f>
        <v/>
      </c>
      <c r="E3">
        <f>IFERROR(IF(DATE(VALUE(LEFT(E$1,4)),VALUE(RIGHT(E$1,2)),1)&gt;TODAY(),"",IF(EOMONTH(DATE(VALUE(LEFT(E$1,4)),VALUE(RIGHT(E$1,2)),1),0)&lt;TODAY(),E6/DAY(EOMONTH(DATE(VALUE(LEFT(E$1,4)),VALUE(RIGHT(E$1,2)),1),0)),E6/MAX(NOW()-DATE(VALUE(LEFT(E$1,4)),VALUE(RIGHT(E$1,2)),1),1/24))),"")</f>
        <v/>
      </c>
      <c r="F3">
        <f>IFERROR(IF(DATE(VALUE(LEFT(F$1,4)),VALUE(RIGHT(F$1,2)),1)&gt;TODAY(),"",IF(EOMONTH(DATE(VALUE(LEFT(F$1,4)),VALUE(RIGHT(F$1,2)),1),0)&lt;TODAY(),F6/DAY(EOMONTH(DATE(VALUE(LEFT(F$1,4)),VALUE(RIGHT(F$1,2)),1),0)),F6/MAX(NOW()-DATE(VALUE(LEFT(F$1,4)),VALUE(RIGHT(F$1,2)),1),1/24))),"")</f>
        <v/>
      </c>
      <c r="G3">
        <f>IFERROR(IF(DATE(VALUE(LEFT(G$1,4)),VALUE(RIGHT(G$1,2)),1)&gt;TODAY(),"",IF(EOMONTH(DATE(VALUE(LEFT(G$1,4)),VALUE(RIGHT(G$1,2)),1),0)&lt;TODAY(),G6/DAY(EOMONTH(DATE(VALUE(LEFT(G$1,4)),VALUE(RIGHT(G$1,2)),1),0)),G6/MAX(NOW()-DATE(VALUE(LEFT(G$1,4)),VALUE(RIGHT(G$1,2)),1),1/24))),"")</f>
        <v/>
      </c>
      <c r="H3">
        <f>IFERROR(IF(DATE(VALUE(LEFT(H$1,4)),VALUE(RIGHT(H$1,2)),1)&gt;TODAY(),"",IF(EOMONTH(DATE(VALUE(LEFT(H$1,4)),VALUE(RIGHT(H$1,2)),1),0)&lt;TODAY(),H6/DAY(EOMONTH(DATE(VALUE(LEFT(H$1,4)),VALUE(RIGHT(H$1,2)),1),0)),H6/MAX(NOW()-DATE(VALUE(LEFT(H$1,4)),VALUE(RIGHT(H$1,2)),1),1/24))),"")</f>
        <v/>
      </c>
      <c r="I3">
        <f>IFERROR(IF(DATE(VALUE(LEFT(I$1,4)),VALUE(RIGHT(I$1,2)),1)&gt;TODAY(),"",IF(EOMONTH(DATE(VALUE(LEFT(I$1,4)),VALUE(RIGHT(I$1,2)),1),0)&lt;TODAY(),I6/DAY(EOMONTH(DATE(VALUE(LEFT(I$1,4)),VALUE(RIGHT(I$1,2)),1),0)),I6/MAX(NOW()-DATE(VALUE(LEFT(I$1,4)),VALUE(RIGHT(I$1,2)),1),1/24))),"")</f>
        <v/>
      </c>
      <c r="J3">
        <f>IFERROR(IF(DATE(VALUE(LEFT(J$1,4)),VALUE(RIGHT(J$1,2)),1)&gt;TODAY(),"",IF(EOMONTH(DATE(VALUE(LEFT(J$1,4)),VALUE(RIGHT(J$1,2)),1),0)&lt;TODAY(),J6/DAY(EOMONTH(DATE(VALUE(LEFT(J$1,4)),VALUE(RIGHT(J$1,2)),1),0)),J6/MAX(NOW()-DATE(VALUE(LEFT(J$1,4)),VALUE(RIGHT(J$1,2)),1),1/24))),"")</f>
        <v/>
      </c>
      <c r="K3">
        <f>IFERROR(IF(DATE(VALUE(LEFT(K$1,4)),VALUE(RIGHT(K$1,2)),1)&gt;TODAY(),"",IF(EOMONTH(DATE(VALUE(LEFT(K$1,4)),VALUE(RIGHT(K$1,2)),1),0)&lt;TODAY(),K6/DAY(EOMONTH(DATE(VALUE(LEFT(K$1,4)),VALUE(RIGHT(K$1,2)),1),0)),K6/MAX(NOW()-DATE(VALUE(LEFT(K$1,4)),VALUE(RIGHT(K$1,2)),1),1/24))),"")</f>
        <v/>
      </c>
      <c r="L3">
        <f>IFERROR(IF(DATE(VALUE(LEFT(L$1,4)),VALUE(RIGHT(L$1,2)),1)&gt;TODAY(),"",IF(EOMONTH(DATE(VALUE(LEFT(L$1,4)),VALUE(RIGHT(L$1,2)),1),0)&lt;TODAY(),L6/DAY(EOMONTH(DATE(VALUE(LEFT(L$1,4)),VALUE(RIGHT(L$1,2)),1),0)),L6/MAX(NOW()-DATE(VALUE(LEFT(L$1,4)),VALUE(RIGHT(L$1,2)),1),1/24))),"")</f>
        <v/>
      </c>
      <c r="M3">
        <f>IFERROR(IF(DATE(VALUE(LEFT(M$1,4)),VALUE(RIGHT(M$1,2)),1)&gt;TODAY(),"",IF(EOMONTH(DATE(VALUE(LEFT(M$1,4)),VALUE(RIGHT(M$1,2)),1),0)&lt;TODAY(),M6/DAY(EOMONTH(DATE(VALUE(LEFT(M$1,4)),VALUE(RIGHT(M$1,2)),1),0)),M6/MAX(NOW()-DATE(VALUE(LEFT(M$1,4)),VALUE(RIGHT(M$1,2)),1),1/24))),"")</f>
        <v/>
      </c>
      <c r="N3">
        <f>IFERROR(IF(DATE(VALUE(LEFT(N$1,4)),VALUE(RIGHT(N$1,2)),1)&gt;TODAY(),"",IF(EOMONTH(DATE(VALUE(LEFT(N$1,4)),VALUE(RIGHT(N$1,2)),1),0)&lt;TODAY(),N6/DAY(EOMONTH(DATE(VALUE(LEFT(N$1,4)),VALUE(RIGHT(N$1,2)),1),0)),N6/MAX(NOW()-DATE(VALUE(LEFT(N$1,4)),VALUE(RIGHT(N$1,2)),1),1/24))),"")</f>
        <v/>
      </c>
      <c r="O3">
        <f>IFERROR(IF(DATE(VALUE(LEFT(O$1,4)),VALUE(RIGHT(O$1,2)),1)&gt;TODAY(),"",IF(EOMONTH(DATE(VALUE(LEFT(O$1,4)),VALUE(RIGHT(O$1,2)),1),0)&lt;TODAY(),O6/DAY(EOMONTH(DATE(VALUE(LEFT(O$1,4)),VALUE(RIGHT(O$1,2)),1),0)),O6/MAX(NOW()-DATE(VALUE(LEFT(O$1,4)),VALUE(RIGHT(O$1,2)),1),1/24))),"")</f>
        <v/>
      </c>
    </row>
    <row r="4" ht="12" customHeight="1">
      <c r="A4" s="4" t="inlineStr">
        <is>
          <t>TURNOVER</t>
        </is>
      </c>
      <c r="B4" s="5" t="n"/>
      <c r="C4" s="5" t="n"/>
      <c r="D4" s="6">
        <f>D5+D17+D18</f>
        <v/>
      </c>
      <c r="E4" s="6">
        <f>E5+E17+E18</f>
        <v/>
      </c>
      <c r="F4" s="6">
        <f>F5+F17+F18</f>
        <v/>
      </c>
      <c r="G4" s="6">
        <f>G5+G17+G18</f>
        <v/>
      </c>
      <c r="H4" s="6">
        <f>H5+H17+H18</f>
        <v/>
      </c>
      <c r="I4" s="6">
        <f>I5+I17+I18</f>
        <v/>
      </c>
      <c r="J4" s="6">
        <f>J5+J17+J18</f>
        <v/>
      </c>
      <c r="K4" s="6">
        <f>K5+K17+K18</f>
        <v/>
      </c>
      <c r="L4" s="6">
        <f>L5+L17+L18</f>
        <v/>
      </c>
      <c r="M4" s="6">
        <f>M5+M17+M18</f>
        <v/>
      </c>
      <c r="N4" s="6">
        <f>N5+N17+N18</f>
        <v/>
      </c>
      <c r="O4" s="6">
        <f>O5+O17+O18</f>
        <v/>
      </c>
      <c r="P4" s="7">
        <f>SUM(D4:O4)</f>
        <v/>
      </c>
    </row>
    <row r="5" ht="12" customHeight="1">
      <c r="A5" s="8" t="inlineStr">
        <is>
          <t>Product sales</t>
        </is>
      </c>
      <c r="B5" s="9" t="n"/>
      <c r="C5" s="9" t="n"/>
      <c r="D5" s="10">
        <f>D6+D14+D15+D16</f>
        <v/>
      </c>
      <c r="E5" s="10">
        <f>E6+E14+E15+E16</f>
        <v/>
      </c>
      <c r="F5" s="10">
        <f>F6+F14+F15+F16</f>
        <v/>
      </c>
      <c r="G5" s="10">
        <f>G6+G14+G15+G16</f>
        <v/>
      </c>
      <c r="H5" s="10">
        <f>H6+H14+H15+H16</f>
        <v/>
      </c>
      <c r="I5" s="10">
        <f>I6+I14+I15+I16</f>
        <v/>
      </c>
      <c r="J5" s="10">
        <f>J6+J14+J15+J16</f>
        <v/>
      </c>
      <c r="K5" s="10">
        <f>K6+K14+K15+K16</f>
        <v/>
      </c>
      <c r="L5" s="10">
        <f>L6+L14+L15+L16</f>
        <v/>
      </c>
      <c r="M5" s="10">
        <f>M6+M14+M15+M16</f>
        <v/>
      </c>
      <c r="N5" s="10">
        <f>N6+N14+N15+N16</f>
        <v/>
      </c>
      <c r="O5" s="10">
        <f>O6+O14+O15+O16</f>
        <v/>
      </c>
      <c r="P5" s="11">
        <f>SUM(D5:O5)</f>
        <v/>
      </c>
    </row>
    <row r="6" ht="12" customHeight="1">
      <c r="A6" s="12" t="inlineStr">
        <is>
          <t>Shopify</t>
        </is>
      </c>
      <c r="D6" s="13">
        <f>D7+D9+D11</f>
        <v/>
      </c>
      <c r="E6" s="13">
        <f>E7+E9+E11</f>
        <v/>
      </c>
      <c r="F6" s="13">
        <f>F7+F9+F11</f>
        <v/>
      </c>
      <c r="G6" s="13">
        <f>G7+G9+G11</f>
        <v/>
      </c>
      <c r="H6" s="13">
        <f>H7+H9+H11</f>
        <v/>
      </c>
      <c r="I6" s="13">
        <f>I7+I9+I11</f>
        <v/>
      </c>
      <c r="J6" s="13">
        <f>J7+J9+J11</f>
        <v/>
      </c>
      <c r="K6" s="13">
        <f>K7+K9+K11</f>
        <v/>
      </c>
      <c r="L6" s="13">
        <f>L7+L9+L11</f>
        <v/>
      </c>
      <c r="M6" s="13">
        <f>M7+M9+M11</f>
        <v/>
      </c>
      <c r="N6" s="13">
        <f>N7+N9+N11</f>
        <v/>
      </c>
      <c r="O6" s="13">
        <f>O7+O9+O11</f>
        <v/>
      </c>
      <c r="P6" s="14">
        <f>SUM(D6:O6)</f>
        <v/>
      </c>
    </row>
    <row r="7" ht="12" customHeight="1">
      <c r="A7" t="inlineStr">
        <is>
          <t>SL</t>
        </is>
      </c>
      <c r="D7" s="13">
        <f>SUMIFS('i-sl'!$C:$C,'i-sl'!$A:$A,D$1,'i-sl'!$B:$B,"shopify")</f>
        <v/>
      </c>
      <c r="E7" s="13">
        <f>SUMIFS('i-sl'!$C:$C,'i-sl'!$A:$A,E$1,'i-sl'!$B:$B,"shopify")</f>
        <v/>
      </c>
      <c r="F7" s="13">
        <f>SUMIFS('i-sl'!$C:$C,'i-sl'!$A:$A,F$1,'i-sl'!$B:$B,"shopify")</f>
        <v/>
      </c>
      <c r="G7" s="13">
        <f>SUMIFS('i-sl'!$C:$C,'i-sl'!$A:$A,G$1,'i-sl'!$B:$B,"shopify")</f>
        <v/>
      </c>
      <c r="H7" s="13">
        <f>SUMIFS('i-sl'!$C:$C,'i-sl'!$A:$A,H$1,'i-sl'!$B:$B,"shopify")</f>
        <v/>
      </c>
      <c r="I7" s="13">
        <f>SUMIFS('i-sl'!$C:$C,'i-sl'!$A:$A,I$1,'i-sl'!$B:$B,"shopify")</f>
        <v/>
      </c>
      <c r="J7" s="13">
        <f>SUMIFS('i-sl'!$C:$C,'i-sl'!$A:$A,J$1,'i-sl'!$B:$B,"shopify")</f>
        <v/>
      </c>
      <c r="K7" s="13">
        <f>SUMIFS('i-sl'!$C:$C,'i-sl'!$A:$A,K$1,'i-sl'!$B:$B,"shopify")</f>
        <v/>
      </c>
      <c r="L7" s="13">
        <f>SUMIFS('i-sl'!$C:$C,'i-sl'!$A:$A,L$1,'i-sl'!$B:$B,"shopify")</f>
        <v/>
      </c>
      <c r="M7" s="13">
        <f>SUMIFS('i-sl'!$C:$C,'i-sl'!$A:$A,M$1,'i-sl'!$B:$B,"shopify")</f>
        <v/>
      </c>
      <c r="N7" s="13">
        <f>SUMIFS('i-sl'!$C:$C,'i-sl'!$A:$A,N$1,'i-sl'!$B:$B,"shopify")</f>
        <v/>
      </c>
      <c r="O7" s="13">
        <f>SUMIFS('i-sl'!$C:$C,'i-sl'!$A:$A,O$1,'i-sl'!$B:$B,"shopify")</f>
        <v/>
      </c>
      <c r="P7" s="14">
        <f>SUM(D7:O7)</f>
        <v/>
      </c>
    </row>
    <row r="8" ht="12" customHeight="1">
      <c r="A8" s="15" t="inlineStr">
        <is>
          <t>avg/day</t>
        </is>
      </c>
      <c r="D8" s="13">
        <f>IFERROR(IF(DATE(VALUE(LEFT(D$1,4)),VALUE(RIGHT(D$1,2)),1)&gt;TODAY(),"",IF(EOMONTH(DATE(VALUE(LEFT(D$1,4)),VALUE(RIGHT(D$1,2)),1),0)&lt;TODAY(),D7/DAY(EOMONTH(DATE(VALUE(LEFT(D$1,4)),VALUE(RIGHT(D$1,2)),1),0)),D7/MAX(NOW()-DATE(VALUE(LEFT(D$1,4)),VALUE(RIGHT(D$1,2)),1),1/24))),"")</f>
        <v/>
      </c>
      <c r="E8" s="13">
        <f>IFERROR(IF(DATE(VALUE(LEFT(E$1,4)),VALUE(RIGHT(E$1,2)),1)&gt;TODAY(),"",IF(EOMONTH(DATE(VALUE(LEFT(E$1,4)),VALUE(RIGHT(E$1,2)),1),0)&lt;TODAY(),E7/DAY(EOMONTH(DATE(VALUE(LEFT(E$1,4)),VALUE(RIGHT(E$1,2)),1),0)),E7/MAX(NOW()-DATE(VALUE(LEFT(E$1,4)),VALUE(RIGHT(E$1,2)),1),1/24))),"")</f>
        <v/>
      </c>
      <c r="F8" s="13">
        <f>IFERROR(IF(DATE(VALUE(LEFT(F$1,4)),VALUE(RIGHT(F$1,2)),1)&gt;TODAY(),"",IF(EOMONTH(DATE(VALUE(LEFT(F$1,4)),VALUE(RIGHT(F$1,2)),1),0)&lt;TODAY(),F7/DAY(EOMONTH(DATE(VALUE(LEFT(F$1,4)),VALUE(RIGHT(F$1,2)),1),0)),F7/MAX(NOW()-DATE(VALUE(LEFT(F$1,4)),VALUE(RIGHT(F$1,2)),1),1/24))),"")</f>
        <v/>
      </c>
      <c r="G8" s="13">
        <f>IFERROR(IF(DATE(VALUE(LEFT(G$1,4)),VALUE(RIGHT(G$1,2)),1)&gt;TODAY(),"",IF(EOMONTH(DATE(VALUE(LEFT(G$1,4)),VALUE(RIGHT(G$1,2)),1),0)&lt;TODAY(),G7/DAY(EOMONTH(DATE(VALUE(LEFT(G$1,4)),VALUE(RIGHT(G$1,2)),1),0)),G7/MAX(NOW()-DATE(VALUE(LEFT(G$1,4)),VALUE(RIGHT(G$1,2)),1),1/24))),"")</f>
        <v/>
      </c>
      <c r="H8" s="13">
        <f>IFERROR(IF(DATE(VALUE(LEFT(H$1,4)),VALUE(RIGHT(H$1,2)),1)&gt;TODAY(),"",IF(EOMONTH(DATE(VALUE(LEFT(H$1,4)),VALUE(RIGHT(H$1,2)),1),0)&lt;TODAY(),H7/DAY(EOMONTH(DATE(VALUE(LEFT(H$1,4)),VALUE(RIGHT(H$1,2)),1),0)),H7/MAX(NOW()-DATE(VALUE(LEFT(H$1,4)),VALUE(RIGHT(H$1,2)),1),1/24))),"")</f>
        <v/>
      </c>
      <c r="I8" s="13">
        <f>IFERROR(IF(DATE(VALUE(LEFT(I$1,4)),VALUE(RIGHT(I$1,2)),1)&gt;TODAY(),"",IF(EOMONTH(DATE(VALUE(LEFT(I$1,4)),VALUE(RIGHT(I$1,2)),1),0)&lt;TODAY(),I7/DAY(EOMONTH(DATE(VALUE(LEFT(I$1,4)),VALUE(RIGHT(I$1,2)),1),0)),I7/MAX(NOW()-DATE(VALUE(LEFT(I$1,4)),VALUE(RIGHT(I$1,2)),1),1/24))),"")</f>
        <v/>
      </c>
      <c r="J8" s="13">
        <f>IFERROR(IF(DATE(VALUE(LEFT(J$1,4)),VALUE(RIGHT(J$1,2)),1)&gt;TODAY(),"",IF(EOMONTH(DATE(VALUE(LEFT(J$1,4)),VALUE(RIGHT(J$1,2)),1),0)&lt;TODAY(),J7/DAY(EOMONTH(DATE(VALUE(LEFT(J$1,4)),VALUE(RIGHT(J$1,2)),1),0)),J7/MAX(NOW()-DATE(VALUE(LEFT(J$1,4)),VALUE(RIGHT(J$1,2)),1),1/24))),"")</f>
        <v/>
      </c>
      <c r="K8" s="13">
        <f>IFERROR(IF(DATE(VALUE(LEFT(K$1,4)),VALUE(RIGHT(K$1,2)),1)&gt;TODAY(),"",IF(EOMONTH(DATE(VALUE(LEFT(K$1,4)),VALUE(RIGHT(K$1,2)),1),0)&lt;TODAY(),K7/DAY(EOMONTH(DATE(VALUE(LEFT(K$1,4)),VALUE(RIGHT(K$1,2)),1),0)),K7/MAX(NOW()-DATE(VALUE(LEFT(K$1,4)),VALUE(RIGHT(K$1,2)),1),1/24))),"")</f>
        <v/>
      </c>
      <c r="L8" s="13">
        <f>IFERROR(IF(DATE(VALUE(LEFT(L$1,4)),VALUE(RIGHT(L$1,2)),1)&gt;TODAY(),"",IF(EOMONTH(DATE(VALUE(LEFT(L$1,4)),VALUE(RIGHT(L$1,2)),1),0)&lt;TODAY(),L7/DAY(EOMONTH(DATE(VALUE(LEFT(L$1,4)),VALUE(RIGHT(L$1,2)),1),0)),L7/MAX(NOW()-DATE(VALUE(LEFT(L$1,4)),VALUE(RIGHT(L$1,2)),1),1/24))),"")</f>
        <v/>
      </c>
      <c r="M8" s="13">
        <f>IFERROR(IF(DATE(VALUE(LEFT(M$1,4)),VALUE(RIGHT(M$1,2)),1)&gt;TODAY(),"",IF(EOMONTH(DATE(VALUE(LEFT(M$1,4)),VALUE(RIGHT(M$1,2)),1),0)&lt;TODAY(),M7/DAY(EOMONTH(DATE(VALUE(LEFT(M$1,4)),VALUE(RIGHT(M$1,2)),1),0)),M7/MAX(NOW()-DATE(VALUE(LEFT(M$1,4)),VALUE(RIGHT(M$1,2)),1),1/24))),"")</f>
        <v/>
      </c>
      <c r="N8" s="13">
        <f>IFERROR(IF(DATE(VALUE(LEFT(N$1,4)),VALUE(RIGHT(N$1,2)),1)&gt;TODAY(),"",IF(EOMONTH(DATE(VALUE(LEFT(N$1,4)),VALUE(RIGHT(N$1,2)),1),0)&lt;TODAY(),N7/DAY(EOMONTH(DATE(VALUE(LEFT(N$1,4)),VALUE(RIGHT(N$1,2)),1),0)),N7/MAX(NOW()-DATE(VALUE(LEFT(N$1,4)),VALUE(RIGHT(N$1,2)),1),1/24))),"")</f>
        <v/>
      </c>
      <c r="O8" s="13">
        <f>IFERROR(IF(DATE(VALUE(LEFT(O$1,4)),VALUE(RIGHT(O$1,2)),1)&gt;TODAY(),"",IF(EOMONTH(DATE(VALUE(LEFT(O$1,4)),VALUE(RIGHT(O$1,2)),1),0)&lt;TODAY(),O7/DAY(EOMONTH(DATE(VALUE(LEFT(O$1,4)),VALUE(RIGHT(O$1,2)),1),0)),O7/MAX(NOW()-DATE(VALUE(LEFT(O$1,4)),VALUE(RIGHT(O$1,2)),1),1/24))),"")</f>
        <v/>
      </c>
      <c r="P8" s="14">
        <f>SUM(D8:O8)</f>
        <v/>
      </c>
    </row>
    <row r="9" ht="12" customHeight="1">
      <c r="A9" t="inlineStr">
        <is>
          <t>LTD</t>
        </is>
      </c>
      <c r="D9" s="13">
        <f>IFERROR(SUMIFS('i-ltd'!$C:$C,'i-ltd'!$A:$A,D$1,'i-ltd'!$B:$B,"product_sales")/AVERAGEIFS('fx-rates'!$C:$C,'fx-rates'!$A:$A,D$1,'fx-rates'!$B:$B,"GBP"),0)</f>
        <v/>
      </c>
      <c r="E9" s="13">
        <f>IFERROR(SUMIFS('i-ltd'!$C:$C,'i-ltd'!$A:$A,E$1,'i-ltd'!$B:$B,"product_sales")/AVERAGEIFS('fx-rates'!$C:$C,'fx-rates'!$A:$A,E$1,'fx-rates'!$B:$B,"GBP"),0)</f>
        <v/>
      </c>
      <c r="F9" s="13">
        <f>IFERROR(SUMIFS('i-ltd'!$C:$C,'i-ltd'!$A:$A,F$1,'i-ltd'!$B:$B,"product_sales")/AVERAGEIFS('fx-rates'!$C:$C,'fx-rates'!$A:$A,F$1,'fx-rates'!$B:$B,"GBP"),0)</f>
        <v/>
      </c>
      <c r="G9" s="13">
        <f>IFERROR(SUMIFS('i-ltd'!$C:$C,'i-ltd'!$A:$A,G$1,'i-ltd'!$B:$B,"product_sales")/AVERAGEIFS('fx-rates'!$C:$C,'fx-rates'!$A:$A,G$1,'fx-rates'!$B:$B,"GBP"),0)</f>
        <v/>
      </c>
      <c r="H9" s="13">
        <f>IFERROR(SUMIFS('i-ltd'!$C:$C,'i-ltd'!$A:$A,H$1,'i-ltd'!$B:$B,"product_sales")/AVERAGEIFS('fx-rates'!$C:$C,'fx-rates'!$A:$A,H$1,'fx-rates'!$B:$B,"GBP"),0)</f>
        <v/>
      </c>
      <c r="I9" s="13">
        <f>IFERROR(SUMIFS('i-ltd'!$C:$C,'i-ltd'!$A:$A,I$1,'i-ltd'!$B:$B,"product_sales")/AVERAGEIFS('fx-rates'!$C:$C,'fx-rates'!$A:$A,I$1,'fx-rates'!$B:$B,"GBP"),0)</f>
        <v/>
      </c>
      <c r="J9" s="13">
        <f>IFERROR(SUMIFS('i-ltd'!$C:$C,'i-ltd'!$A:$A,J$1,'i-ltd'!$B:$B,"product_sales")/AVERAGEIFS('fx-rates'!$C:$C,'fx-rates'!$A:$A,J$1,'fx-rates'!$B:$B,"GBP"),0)</f>
        <v/>
      </c>
      <c r="K9" s="13">
        <f>IFERROR(SUMIFS('i-ltd'!$C:$C,'i-ltd'!$A:$A,K$1,'i-ltd'!$B:$B,"product_sales")/AVERAGEIFS('fx-rates'!$C:$C,'fx-rates'!$A:$A,K$1,'fx-rates'!$B:$B,"GBP"),0)</f>
        <v/>
      </c>
      <c r="L9" s="13">
        <f>IFERROR(SUMIFS('i-ltd'!$C:$C,'i-ltd'!$A:$A,L$1,'i-ltd'!$B:$B,"product_sales")/AVERAGEIFS('fx-rates'!$C:$C,'fx-rates'!$A:$A,L$1,'fx-rates'!$B:$B,"GBP"),0)</f>
        <v/>
      </c>
      <c r="M9" s="13">
        <f>IFERROR(SUMIFS('i-ltd'!$C:$C,'i-ltd'!$A:$A,M$1,'i-ltd'!$B:$B,"product_sales")/AVERAGEIFS('fx-rates'!$C:$C,'fx-rates'!$A:$A,M$1,'fx-rates'!$B:$B,"GBP"),0)</f>
        <v/>
      </c>
      <c r="N9" s="13">
        <f>IFERROR(SUMIFS('i-ltd'!$C:$C,'i-ltd'!$A:$A,N$1,'i-ltd'!$B:$B,"product_sales")/AVERAGEIFS('fx-rates'!$C:$C,'fx-rates'!$A:$A,N$1,'fx-rates'!$B:$B,"GBP"),0)</f>
        <v/>
      </c>
      <c r="O9" s="13">
        <f>IFERROR(SUMIFS('i-ltd'!$C:$C,'i-ltd'!$A:$A,O$1,'i-ltd'!$B:$B,"product_sales")/AVERAGEIFS('fx-rates'!$C:$C,'fx-rates'!$A:$A,O$1,'fx-rates'!$B:$B,"GBP"),0)</f>
        <v/>
      </c>
      <c r="P9" s="14">
        <f>SUM(D9:O9)</f>
        <v/>
      </c>
    </row>
    <row r="10" ht="12" customHeight="1">
      <c r="A10" s="15" t="inlineStr">
        <is>
          <t>avg/day</t>
        </is>
      </c>
      <c r="D10" s="13">
        <f>IFERROR(IF(DATE(VALUE(LEFT(D$1,4)),VALUE(RIGHT(D$1,2)),1)&gt;TODAY(),"",IF(EOMONTH(DATE(VALUE(LEFT(D$1,4)),VALUE(RIGHT(D$1,2)),1),0)&lt;TODAY(),D9/DAY(EOMONTH(DATE(VALUE(LEFT(D$1,4)),VALUE(RIGHT(D$1,2)),1),0)),D9/MAX(NOW()-DATE(VALUE(LEFT(D$1,4)),VALUE(RIGHT(D$1,2)),1),1/24))),"")</f>
        <v/>
      </c>
      <c r="E10" s="13">
        <f>IFERROR(IF(DATE(VALUE(LEFT(E$1,4)),VALUE(RIGHT(E$1,2)),1)&gt;TODAY(),"",IF(EOMONTH(DATE(VALUE(LEFT(E$1,4)),VALUE(RIGHT(E$1,2)),1),0)&lt;TODAY(),E9/DAY(EOMONTH(DATE(VALUE(LEFT(E$1,4)),VALUE(RIGHT(E$1,2)),1),0)),E9/MAX(NOW()-DATE(VALUE(LEFT(E$1,4)),VALUE(RIGHT(E$1,2)),1),1/24))),"")</f>
        <v/>
      </c>
      <c r="F10" s="13">
        <f>IFERROR(IF(DATE(VALUE(LEFT(F$1,4)),VALUE(RIGHT(F$1,2)),1)&gt;TODAY(),"",IF(EOMONTH(DATE(VALUE(LEFT(F$1,4)),VALUE(RIGHT(F$1,2)),1),0)&lt;TODAY(),F9/DAY(EOMONTH(DATE(VALUE(LEFT(F$1,4)),VALUE(RIGHT(F$1,2)),1),0)),F9/MAX(NOW()-DATE(VALUE(LEFT(F$1,4)),VALUE(RIGHT(F$1,2)),1),1/24))),"")</f>
        <v/>
      </c>
      <c r="G10" s="13">
        <f>IFERROR(IF(DATE(VALUE(LEFT(G$1,4)),VALUE(RIGHT(G$1,2)),1)&gt;TODAY(),"",IF(EOMONTH(DATE(VALUE(LEFT(G$1,4)),VALUE(RIGHT(G$1,2)),1),0)&lt;TODAY(),G9/DAY(EOMONTH(DATE(VALUE(LEFT(G$1,4)),VALUE(RIGHT(G$1,2)),1),0)),G9/MAX(NOW()-DATE(VALUE(LEFT(G$1,4)),VALUE(RIGHT(G$1,2)),1),1/24))),"")</f>
        <v/>
      </c>
      <c r="H10" s="13">
        <f>IFERROR(IF(DATE(VALUE(LEFT(H$1,4)),VALUE(RIGHT(H$1,2)),1)&gt;TODAY(),"",IF(EOMONTH(DATE(VALUE(LEFT(H$1,4)),VALUE(RIGHT(H$1,2)),1),0)&lt;TODAY(),H9/DAY(EOMONTH(DATE(VALUE(LEFT(H$1,4)),VALUE(RIGHT(H$1,2)),1),0)),H9/MAX(NOW()-DATE(VALUE(LEFT(H$1,4)),VALUE(RIGHT(H$1,2)),1),1/24))),"")</f>
        <v/>
      </c>
      <c r="I10" s="13">
        <f>IFERROR(IF(DATE(VALUE(LEFT(I$1,4)),VALUE(RIGHT(I$1,2)),1)&gt;TODAY(),"",IF(EOMONTH(DATE(VALUE(LEFT(I$1,4)),VALUE(RIGHT(I$1,2)),1),0)&lt;TODAY(),I9/DAY(EOMONTH(DATE(VALUE(LEFT(I$1,4)),VALUE(RIGHT(I$1,2)),1),0)),I9/MAX(NOW()-DATE(VALUE(LEFT(I$1,4)),VALUE(RIGHT(I$1,2)),1),1/24))),"")</f>
        <v/>
      </c>
      <c r="J10" s="13">
        <f>IFERROR(IF(DATE(VALUE(LEFT(J$1,4)),VALUE(RIGHT(J$1,2)),1)&gt;TODAY(),"",IF(EOMONTH(DATE(VALUE(LEFT(J$1,4)),VALUE(RIGHT(J$1,2)),1),0)&lt;TODAY(),J9/DAY(EOMONTH(DATE(VALUE(LEFT(J$1,4)),VALUE(RIGHT(J$1,2)),1),0)),J9/MAX(NOW()-DATE(VALUE(LEFT(J$1,4)),VALUE(RIGHT(J$1,2)),1),1/24))),"")</f>
        <v/>
      </c>
      <c r="K10" s="13">
        <f>IFERROR(IF(DATE(VALUE(LEFT(K$1,4)),VALUE(RIGHT(K$1,2)),1)&gt;TODAY(),"",IF(EOMONTH(DATE(VALUE(LEFT(K$1,4)),VALUE(RIGHT(K$1,2)),1),0)&lt;TODAY(),K9/DAY(EOMONTH(DATE(VALUE(LEFT(K$1,4)),VALUE(RIGHT(K$1,2)),1),0)),K9/MAX(NOW()-DATE(VALUE(LEFT(K$1,4)),VALUE(RIGHT(K$1,2)),1),1/24))),"")</f>
        <v/>
      </c>
      <c r="L10" s="13">
        <f>IFERROR(IF(DATE(VALUE(LEFT(L$1,4)),VALUE(RIGHT(L$1,2)),1)&gt;TODAY(),"",IF(EOMONTH(DATE(VALUE(LEFT(L$1,4)),VALUE(RIGHT(L$1,2)),1),0)&lt;TODAY(),L9/DAY(EOMONTH(DATE(VALUE(LEFT(L$1,4)),VALUE(RIGHT(L$1,2)),1),0)),L9/MAX(NOW()-DATE(VALUE(LEFT(L$1,4)),VALUE(RIGHT(L$1,2)),1),1/24))),"")</f>
        <v/>
      </c>
      <c r="M10" s="13">
        <f>IFERROR(IF(DATE(VALUE(LEFT(M$1,4)),VALUE(RIGHT(M$1,2)),1)&gt;TODAY(),"",IF(EOMONTH(DATE(VALUE(LEFT(M$1,4)),VALUE(RIGHT(M$1,2)),1),0)&lt;TODAY(),M9/DAY(EOMONTH(DATE(VALUE(LEFT(M$1,4)),VALUE(RIGHT(M$1,2)),1),0)),M9/MAX(NOW()-DATE(VALUE(LEFT(M$1,4)),VALUE(RIGHT(M$1,2)),1),1/24))),"")</f>
        <v/>
      </c>
      <c r="N10" s="13">
        <f>IFERROR(IF(DATE(VALUE(LEFT(N$1,4)),VALUE(RIGHT(N$1,2)),1)&gt;TODAY(),"",IF(EOMONTH(DATE(VALUE(LEFT(N$1,4)),VALUE(RIGHT(N$1,2)),1),0)&lt;TODAY(),N9/DAY(EOMONTH(DATE(VALUE(LEFT(N$1,4)),VALUE(RIGHT(N$1,2)),1),0)),N9/MAX(NOW()-DATE(VALUE(LEFT(N$1,4)),VALUE(RIGHT(N$1,2)),1),1/24))),"")</f>
        <v/>
      </c>
      <c r="O10" s="13">
        <f>IFERROR(IF(DATE(VALUE(LEFT(O$1,4)),VALUE(RIGHT(O$1,2)),1)&gt;TODAY(),"",IF(EOMONTH(DATE(VALUE(LEFT(O$1,4)),VALUE(RIGHT(O$1,2)),1),0)&lt;TODAY(),O9/DAY(EOMONTH(DATE(VALUE(LEFT(O$1,4)),VALUE(RIGHT(O$1,2)),1),0)),O9/MAX(NOW()-DATE(VALUE(LEFT(O$1,4)),VALUE(RIGHT(O$1,2)),1),1/24))),"")</f>
        <v/>
      </c>
      <c r="P10" s="14">
        <f>SUM(D10:O10)</f>
        <v/>
      </c>
    </row>
    <row r="11" ht="12" customHeight="1">
      <c r="A11" t="inlineStr">
        <is>
          <t>INC</t>
        </is>
      </c>
      <c r="D11" s="13">
        <f>IFERROR(SUMIFS('i-inc'!$C:$C,'i-inc'!$A:$A,D$1,'i-inc'!$B:$B,"product_sales")/AVERAGEIFS('fx-rates'!$C:$C,'fx-rates'!$A:$A,D$1,'fx-rates'!$B:$B,"USD"),0)</f>
        <v/>
      </c>
      <c r="E11" s="13">
        <f>IFERROR(SUMIFS('i-inc'!$C:$C,'i-inc'!$A:$A,E$1,'i-inc'!$B:$B,"product_sales")/AVERAGEIFS('fx-rates'!$C:$C,'fx-rates'!$A:$A,E$1,'fx-rates'!$B:$B,"USD"),0)</f>
        <v/>
      </c>
      <c r="F11" s="13">
        <f>IFERROR(SUMIFS('i-inc'!$C:$C,'i-inc'!$A:$A,F$1,'i-inc'!$B:$B,"product_sales")/AVERAGEIFS('fx-rates'!$C:$C,'fx-rates'!$A:$A,F$1,'fx-rates'!$B:$B,"USD"),0)</f>
        <v/>
      </c>
      <c r="G11" s="13">
        <f>IFERROR(SUMIFS('i-inc'!$C:$C,'i-inc'!$A:$A,G$1,'i-inc'!$B:$B,"product_sales")/AVERAGEIFS('fx-rates'!$C:$C,'fx-rates'!$A:$A,G$1,'fx-rates'!$B:$B,"USD"),0)</f>
        <v/>
      </c>
      <c r="H11" s="13">
        <f>IFERROR(SUMIFS('i-inc'!$C:$C,'i-inc'!$A:$A,H$1,'i-inc'!$B:$B,"product_sales")/AVERAGEIFS('fx-rates'!$C:$C,'fx-rates'!$A:$A,H$1,'fx-rates'!$B:$B,"USD"),0)</f>
        <v/>
      </c>
      <c r="I11" s="13">
        <f>IFERROR(SUMIFS('i-inc'!$C:$C,'i-inc'!$A:$A,I$1,'i-inc'!$B:$B,"product_sales")/AVERAGEIFS('fx-rates'!$C:$C,'fx-rates'!$A:$A,I$1,'fx-rates'!$B:$B,"USD"),0)</f>
        <v/>
      </c>
      <c r="J11" s="13">
        <f>IFERROR(SUMIFS('i-inc'!$C:$C,'i-inc'!$A:$A,J$1,'i-inc'!$B:$B,"product_sales")/AVERAGEIFS('fx-rates'!$C:$C,'fx-rates'!$A:$A,J$1,'fx-rates'!$B:$B,"USD"),0)</f>
        <v/>
      </c>
      <c r="K11" s="13">
        <f>IFERROR(SUMIFS('i-inc'!$C:$C,'i-inc'!$A:$A,K$1,'i-inc'!$B:$B,"product_sales")/AVERAGEIFS('fx-rates'!$C:$C,'fx-rates'!$A:$A,K$1,'fx-rates'!$B:$B,"USD"),0)</f>
        <v/>
      </c>
      <c r="L11" s="13">
        <f>IFERROR(SUMIFS('i-inc'!$C:$C,'i-inc'!$A:$A,L$1,'i-inc'!$B:$B,"product_sales")/AVERAGEIFS('fx-rates'!$C:$C,'fx-rates'!$A:$A,L$1,'fx-rates'!$B:$B,"USD"),0)</f>
        <v/>
      </c>
      <c r="M11" s="13">
        <f>IFERROR(SUMIFS('i-inc'!$C:$C,'i-inc'!$A:$A,M$1,'i-inc'!$B:$B,"product_sales")/AVERAGEIFS('fx-rates'!$C:$C,'fx-rates'!$A:$A,M$1,'fx-rates'!$B:$B,"USD"),0)</f>
        <v/>
      </c>
      <c r="N11" s="13">
        <f>IFERROR(SUMIFS('i-inc'!$C:$C,'i-inc'!$A:$A,N$1,'i-inc'!$B:$B,"product_sales")/AVERAGEIFS('fx-rates'!$C:$C,'fx-rates'!$A:$A,N$1,'fx-rates'!$B:$B,"USD"),0)</f>
        <v/>
      </c>
      <c r="O11" s="13">
        <f>IFERROR(SUMIFS('i-inc'!$C:$C,'i-inc'!$A:$A,O$1,'i-inc'!$B:$B,"product_sales")/AVERAGEIFS('fx-rates'!$C:$C,'fx-rates'!$A:$A,O$1,'fx-rates'!$B:$B,"USD"),0)</f>
        <v/>
      </c>
      <c r="P11" s="14">
        <f>SUM(D11:O11)</f>
        <v/>
      </c>
    </row>
    <row r="12" ht="12" customHeight="1">
      <c r="A12" s="15" t="inlineStr">
        <is>
          <t>avg/day</t>
        </is>
      </c>
      <c r="D12" s="13">
        <f>IFERROR(IF(DATE(VALUE(LEFT(D$1,4)),VALUE(RIGHT(D$1,2)),1)&gt;TODAY(),"",IF(EOMONTH(DATE(VALUE(LEFT(D$1,4)),VALUE(RIGHT(D$1,2)),1),0)&lt;TODAY(),D11/DAY(EOMONTH(DATE(VALUE(LEFT(D$1,4)),VALUE(RIGHT(D$1,2)),1),0)),D11/MAX(NOW()-DATE(VALUE(LEFT(D$1,4)),VALUE(RIGHT(D$1,2)),1),1/24))),"")</f>
        <v/>
      </c>
      <c r="E12" s="13">
        <f>IFERROR(IF(DATE(VALUE(LEFT(E$1,4)),VALUE(RIGHT(E$1,2)),1)&gt;TODAY(),"",IF(EOMONTH(DATE(VALUE(LEFT(E$1,4)),VALUE(RIGHT(E$1,2)),1),0)&lt;TODAY(),E11/DAY(EOMONTH(DATE(VALUE(LEFT(E$1,4)),VALUE(RIGHT(E$1,2)),1),0)),E11/MAX(NOW()-DATE(VALUE(LEFT(E$1,4)),VALUE(RIGHT(E$1,2)),1),1/24))),"")</f>
        <v/>
      </c>
      <c r="F12" s="13">
        <f>IFERROR(IF(DATE(VALUE(LEFT(F$1,4)),VALUE(RIGHT(F$1,2)),1)&gt;TODAY(),"",IF(EOMONTH(DATE(VALUE(LEFT(F$1,4)),VALUE(RIGHT(F$1,2)),1),0)&lt;TODAY(),F11/DAY(EOMONTH(DATE(VALUE(LEFT(F$1,4)),VALUE(RIGHT(F$1,2)),1),0)),F11/MAX(NOW()-DATE(VALUE(LEFT(F$1,4)),VALUE(RIGHT(F$1,2)),1),1/24))),"")</f>
        <v/>
      </c>
      <c r="G12" s="13">
        <f>IFERROR(IF(DATE(VALUE(LEFT(G$1,4)),VALUE(RIGHT(G$1,2)),1)&gt;TODAY(),"",IF(EOMONTH(DATE(VALUE(LEFT(G$1,4)),VALUE(RIGHT(G$1,2)),1),0)&lt;TODAY(),G11/DAY(EOMONTH(DATE(VALUE(LEFT(G$1,4)),VALUE(RIGHT(G$1,2)),1),0)),G11/MAX(NOW()-DATE(VALUE(LEFT(G$1,4)),VALUE(RIGHT(G$1,2)),1),1/24))),"")</f>
        <v/>
      </c>
      <c r="H12" s="13">
        <f>IFERROR(IF(DATE(VALUE(LEFT(H$1,4)),VALUE(RIGHT(H$1,2)),1)&gt;TODAY(),"",IF(EOMONTH(DATE(VALUE(LEFT(H$1,4)),VALUE(RIGHT(H$1,2)),1),0)&lt;TODAY(),H11/DAY(EOMONTH(DATE(VALUE(LEFT(H$1,4)),VALUE(RIGHT(H$1,2)),1),0)),H11/MAX(NOW()-DATE(VALUE(LEFT(H$1,4)),VALUE(RIGHT(H$1,2)),1),1/24))),"")</f>
        <v/>
      </c>
      <c r="I12" s="13">
        <f>IFERROR(IF(DATE(VALUE(LEFT(I$1,4)),VALUE(RIGHT(I$1,2)),1)&gt;TODAY(),"",IF(EOMONTH(DATE(VALUE(LEFT(I$1,4)),VALUE(RIGHT(I$1,2)),1),0)&lt;TODAY(),I11/DAY(EOMONTH(DATE(VALUE(LEFT(I$1,4)),VALUE(RIGHT(I$1,2)),1),0)),I11/MAX(NOW()-DATE(VALUE(LEFT(I$1,4)),VALUE(RIGHT(I$1,2)),1),1/24))),"")</f>
        <v/>
      </c>
      <c r="J12" s="13">
        <f>IFERROR(IF(DATE(VALUE(LEFT(J$1,4)),VALUE(RIGHT(J$1,2)),1)&gt;TODAY(),"",IF(EOMONTH(DATE(VALUE(LEFT(J$1,4)),VALUE(RIGHT(J$1,2)),1),0)&lt;TODAY(),J11/DAY(EOMONTH(DATE(VALUE(LEFT(J$1,4)),VALUE(RIGHT(J$1,2)),1),0)),J11/MAX(NOW()-DATE(VALUE(LEFT(J$1,4)),VALUE(RIGHT(J$1,2)),1),1/24))),"")</f>
        <v/>
      </c>
      <c r="K12" s="13">
        <f>IFERROR(IF(DATE(VALUE(LEFT(K$1,4)),VALUE(RIGHT(K$1,2)),1)&gt;TODAY(),"",IF(EOMONTH(DATE(VALUE(LEFT(K$1,4)),VALUE(RIGHT(K$1,2)),1),0)&lt;TODAY(),K11/DAY(EOMONTH(DATE(VALUE(LEFT(K$1,4)),VALUE(RIGHT(K$1,2)),1),0)),K11/MAX(NOW()-DATE(VALUE(LEFT(K$1,4)),VALUE(RIGHT(K$1,2)),1),1/24))),"")</f>
        <v/>
      </c>
      <c r="L12" s="13">
        <f>IFERROR(IF(DATE(VALUE(LEFT(L$1,4)),VALUE(RIGHT(L$1,2)),1)&gt;TODAY(),"",IF(EOMONTH(DATE(VALUE(LEFT(L$1,4)),VALUE(RIGHT(L$1,2)),1),0)&lt;TODAY(),L11/DAY(EOMONTH(DATE(VALUE(LEFT(L$1,4)),VALUE(RIGHT(L$1,2)),1),0)),L11/MAX(NOW()-DATE(VALUE(LEFT(L$1,4)),VALUE(RIGHT(L$1,2)),1),1/24))),"")</f>
        <v/>
      </c>
      <c r="M12" s="13">
        <f>IFERROR(IF(DATE(VALUE(LEFT(M$1,4)),VALUE(RIGHT(M$1,2)),1)&gt;TODAY(),"",IF(EOMONTH(DATE(VALUE(LEFT(M$1,4)),VALUE(RIGHT(M$1,2)),1),0)&lt;TODAY(),M11/DAY(EOMONTH(DATE(VALUE(LEFT(M$1,4)),VALUE(RIGHT(M$1,2)),1),0)),M11/MAX(NOW()-DATE(VALUE(LEFT(M$1,4)),VALUE(RIGHT(M$1,2)),1),1/24))),"")</f>
        <v/>
      </c>
      <c r="N12" s="13">
        <f>IFERROR(IF(DATE(VALUE(LEFT(N$1,4)),VALUE(RIGHT(N$1,2)),1)&gt;TODAY(),"",IF(EOMONTH(DATE(VALUE(LEFT(N$1,4)),VALUE(RIGHT(N$1,2)),1),0)&lt;TODAY(),N11/DAY(EOMONTH(DATE(VALUE(LEFT(N$1,4)),VALUE(RIGHT(N$1,2)),1),0)),N11/MAX(NOW()-DATE(VALUE(LEFT(N$1,4)),VALUE(RIGHT(N$1,2)),1),1/24))),"")</f>
        <v/>
      </c>
      <c r="O12" s="13">
        <f>IFERROR(IF(DATE(VALUE(LEFT(O$1,4)),VALUE(RIGHT(O$1,2)),1)&gt;TODAY(),"",IF(EOMONTH(DATE(VALUE(LEFT(O$1,4)),VALUE(RIGHT(O$1,2)),1),0)&lt;TODAY(),O11/DAY(EOMONTH(DATE(VALUE(LEFT(O$1,4)),VALUE(RIGHT(O$1,2)),1),0)),O11/MAX(NOW()-DATE(VALUE(LEFT(O$1,4)),VALUE(RIGHT(O$1,2)),1),1/24))),"")</f>
        <v/>
      </c>
      <c r="P12" s="14">
        <f>SUM(D12:O12)</f>
        <v/>
      </c>
    </row>
    <row r="13" ht="12" customHeight="1">
      <c r="A13" s="16" t="inlineStr">
        <is>
          <t>Shopify daily average</t>
        </is>
      </c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4">
        <f>SUM(D13:O13)</f>
        <v/>
      </c>
    </row>
    <row r="14" ht="12" customHeight="1">
      <c r="A14" s="12" t="inlineStr">
        <is>
          <t>Marketplaces</t>
        </is>
      </c>
      <c r="D14" s="13">
        <f>SUMIFS('i-sl'!$C:$C,'i-sl'!$A:$A,D$1,'i-sl'!$B:$B,"marketplaces")</f>
        <v/>
      </c>
      <c r="E14" s="13">
        <f>SUMIFS('i-sl'!$C:$C,'i-sl'!$A:$A,E$1,'i-sl'!$B:$B,"marketplaces")</f>
        <v/>
      </c>
      <c r="F14" s="13">
        <f>SUMIFS('i-sl'!$C:$C,'i-sl'!$A:$A,F$1,'i-sl'!$B:$B,"marketplaces")</f>
        <v/>
      </c>
      <c r="G14" s="13">
        <f>SUMIFS('i-sl'!$C:$C,'i-sl'!$A:$A,G$1,'i-sl'!$B:$B,"marketplaces")</f>
        <v/>
      </c>
      <c r="H14" s="13">
        <f>SUMIFS('i-sl'!$C:$C,'i-sl'!$A:$A,H$1,'i-sl'!$B:$B,"marketplaces")</f>
        <v/>
      </c>
      <c r="I14" s="13">
        <f>SUMIFS('i-sl'!$C:$C,'i-sl'!$A:$A,I$1,'i-sl'!$B:$B,"marketplaces")</f>
        <v/>
      </c>
      <c r="J14" s="13">
        <f>SUMIFS('i-sl'!$C:$C,'i-sl'!$A:$A,J$1,'i-sl'!$B:$B,"marketplaces")</f>
        <v/>
      </c>
      <c r="K14" s="13">
        <f>SUMIFS('i-sl'!$C:$C,'i-sl'!$A:$A,K$1,'i-sl'!$B:$B,"marketplaces")</f>
        <v/>
      </c>
      <c r="L14" s="13">
        <f>SUMIFS('i-sl'!$C:$C,'i-sl'!$A:$A,L$1,'i-sl'!$B:$B,"marketplaces")</f>
        <v/>
      </c>
      <c r="M14" s="13">
        <f>SUMIFS('i-sl'!$C:$C,'i-sl'!$A:$A,M$1,'i-sl'!$B:$B,"marketplaces")</f>
        <v/>
      </c>
      <c r="N14" s="13">
        <f>SUMIFS('i-sl'!$C:$C,'i-sl'!$A:$A,N$1,'i-sl'!$B:$B,"marketplaces")</f>
        <v/>
      </c>
      <c r="O14" s="13">
        <f>SUMIFS('i-sl'!$C:$C,'i-sl'!$A:$A,O$1,'i-sl'!$B:$B,"marketplaces")</f>
        <v/>
      </c>
      <c r="P14" s="14">
        <f>SUM(D14:O14)</f>
        <v/>
      </c>
    </row>
    <row r="15" ht="12" customHeight="1">
      <c r="A15" s="12" t="inlineStr">
        <is>
          <t>Rappels</t>
        </is>
      </c>
      <c r="D15" s="13">
        <f>SUMIFS('i-sl'!$C:$C,'i-sl'!$A:$A,D$1,'i-sl'!$B:$B,"rappels")</f>
        <v/>
      </c>
      <c r="E15" s="13">
        <f>SUMIFS('i-sl'!$C:$C,'i-sl'!$A:$A,E$1,'i-sl'!$B:$B,"rappels")</f>
        <v/>
      </c>
      <c r="F15" s="13">
        <f>SUMIFS('i-sl'!$C:$C,'i-sl'!$A:$A,F$1,'i-sl'!$B:$B,"rappels")</f>
        <v/>
      </c>
      <c r="G15" s="13">
        <f>SUMIFS('i-sl'!$C:$C,'i-sl'!$A:$A,G$1,'i-sl'!$B:$B,"rappels")</f>
        <v/>
      </c>
      <c r="H15" s="13">
        <f>SUMIFS('i-sl'!$C:$C,'i-sl'!$A:$A,H$1,'i-sl'!$B:$B,"rappels")</f>
        <v/>
      </c>
      <c r="I15" s="13">
        <f>SUMIFS('i-sl'!$C:$C,'i-sl'!$A:$A,I$1,'i-sl'!$B:$B,"rappels")</f>
        <v/>
      </c>
      <c r="J15" s="13">
        <f>SUMIFS('i-sl'!$C:$C,'i-sl'!$A:$A,J$1,'i-sl'!$B:$B,"rappels")</f>
        <v/>
      </c>
      <c r="K15" s="13">
        <f>SUMIFS('i-sl'!$C:$C,'i-sl'!$A:$A,K$1,'i-sl'!$B:$B,"rappels")</f>
        <v/>
      </c>
      <c r="L15" s="13">
        <f>SUMIFS('i-sl'!$C:$C,'i-sl'!$A:$A,L$1,'i-sl'!$B:$B,"rappels")</f>
        <v/>
      </c>
      <c r="M15" s="13">
        <f>SUMIFS('i-sl'!$C:$C,'i-sl'!$A:$A,M$1,'i-sl'!$B:$B,"rappels")</f>
        <v/>
      </c>
      <c r="N15" s="13">
        <f>SUMIFS('i-sl'!$C:$C,'i-sl'!$A:$A,N$1,'i-sl'!$B:$B,"rappels")</f>
        <v/>
      </c>
      <c r="O15" s="13">
        <f>SUMIFS('i-sl'!$C:$C,'i-sl'!$A:$A,O$1,'i-sl'!$B:$B,"rappels")</f>
        <v/>
      </c>
      <c r="P15" s="14">
        <f>SUM(D15:O15)</f>
        <v/>
      </c>
    </row>
    <row r="16" ht="12" customHeight="1">
      <c r="A16" s="12" t="inlineStr">
        <is>
          <t>Supplies</t>
        </is>
      </c>
      <c r="D16" s="13">
        <f>SUMIFS('i-sl'!$C:$C,'i-sl'!$A:$A,D$1,'i-sl'!$B:$B,"supplies")</f>
        <v/>
      </c>
      <c r="E16" s="13">
        <f>SUMIFS('i-sl'!$C:$C,'i-sl'!$A:$A,E$1,'i-sl'!$B:$B,"supplies")</f>
        <v/>
      </c>
      <c r="F16" s="13">
        <f>SUMIFS('i-sl'!$C:$C,'i-sl'!$A:$A,F$1,'i-sl'!$B:$B,"supplies")</f>
        <v/>
      </c>
      <c r="G16" s="13">
        <f>SUMIFS('i-sl'!$C:$C,'i-sl'!$A:$A,G$1,'i-sl'!$B:$B,"supplies")</f>
        <v/>
      </c>
      <c r="H16" s="13">
        <f>SUMIFS('i-sl'!$C:$C,'i-sl'!$A:$A,H$1,'i-sl'!$B:$B,"supplies")</f>
        <v/>
      </c>
      <c r="I16" s="13">
        <f>SUMIFS('i-sl'!$C:$C,'i-sl'!$A:$A,I$1,'i-sl'!$B:$B,"supplies")</f>
        <v/>
      </c>
      <c r="J16" s="13">
        <f>SUMIFS('i-sl'!$C:$C,'i-sl'!$A:$A,J$1,'i-sl'!$B:$B,"supplies")</f>
        <v/>
      </c>
      <c r="K16" s="13">
        <f>SUMIFS('i-sl'!$C:$C,'i-sl'!$A:$A,K$1,'i-sl'!$B:$B,"supplies")</f>
        <v/>
      </c>
      <c r="L16" s="13">
        <f>SUMIFS('i-sl'!$C:$C,'i-sl'!$A:$A,L$1,'i-sl'!$B:$B,"supplies")</f>
        <v/>
      </c>
      <c r="M16" s="13">
        <f>SUMIFS('i-sl'!$C:$C,'i-sl'!$A:$A,M$1,'i-sl'!$B:$B,"supplies")</f>
        <v/>
      </c>
      <c r="N16" s="13">
        <f>SUMIFS('i-sl'!$C:$C,'i-sl'!$A:$A,N$1,'i-sl'!$B:$B,"supplies")</f>
        <v/>
      </c>
      <c r="O16" s="13">
        <f>SUMIFS('i-sl'!$C:$C,'i-sl'!$A:$A,O$1,'i-sl'!$B:$B,"supplies")</f>
        <v/>
      </c>
      <c r="P16" s="14">
        <f>SUM(D16:O16)</f>
        <v/>
      </c>
    </row>
    <row r="17" ht="12" customHeight="1">
      <c r="A17" s="8" t="inlineStr">
        <is>
          <t>Services</t>
        </is>
      </c>
      <c r="B17" s="9" t="n"/>
      <c r="C17" s="9" t="n"/>
      <c r="D17" s="10">
        <f>SUMIFS('i-sl'!$C:$C,'i-sl'!$A:$A,D$1,'i-sl'!$B:$B,"services_ext")</f>
        <v/>
      </c>
      <c r="E17" s="10">
        <f>SUMIFS('i-sl'!$C:$C,'i-sl'!$A:$A,E$1,'i-sl'!$B:$B,"services_ext")</f>
        <v/>
      </c>
      <c r="F17" s="10">
        <f>SUMIFS('i-sl'!$C:$C,'i-sl'!$A:$A,F$1,'i-sl'!$B:$B,"services_ext")</f>
        <v/>
      </c>
      <c r="G17" s="10">
        <f>SUMIFS('i-sl'!$C:$C,'i-sl'!$A:$A,G$1,'i-sl'!$B:$B,"services_ext")</f>
        <v/>
      </c>
      <c r="H17" s="10">
        <f>SUMIFS('i-sl'!$C:$C,'i-sl'!$A:$A,H$1,'i-sl'!$B:$B,"services_ext")</f>
        <v/>
      </c>
      <c r="I17" s="10">
        <f>SUMIFS('i-sl'!$C:$C,'i-sl'!$A:$A,I$1,'i-sl'!$B:$B,"services_ext")</f>
        <v/>
      </c>
      <c r="J17" s="10">
        <f>SUMIFS('i-sl'!$C:$C,'i-sl'!$A:$A,J$1,'i-sl'!$B:$B,"services_ext")</f>
        <v/>
      </c>
      <c r="K17" s="10">
        <f>SUMIFS('i-sl'!$C:$C,'i-sl'!$A:$A,K$1,'i-sl'!$B:$B,"services_ext")</f>
        <v/>
      </c>
      <c r="L17" s="10">
        <f>SUMIFS('i-sl'!$C:$C,'i-sl'!$A:$A,L$1,'i-sl'!$B:$B,"services_ext")</f>
        <v/>
      </c>
      <c r="M17" s="10">
        <f>SUMIFS('i-sl'!$C:$C,'i-sl'!$A:$A,M$1,'i-sl'!$B:$B,"services_ext")</f>
        <v/>
      </c>
      <c r="N17" s="10">
        <f>SUMIFS('i-sl'!$C:$C,'i-sl'!$A:$A,N$1,'i-sl'!$B:$B,"services_ext")</f>
        <v/>
      </c>
      <c r="O17" s="10">
        <f>SUMIFS('i-sl'!$C:$C,'i-sl'!$A:$A,O$1,'i-sl'!$B:$B,"services_ext")</f>
        <v/>
      </c>
      <c r="P17" s="11">
        <f>SUM(D17:O17)</f>
        <v/>
      </c>
    </row>
    <row r="18" ht="12" customHeight="1">
      <c r="A18" s="17" t="inlineStr">
        <is>
          <t>Uncategorized income</t>
        </is>
      </c>
      <c r="D18" s="13">
        <f>SUMIFS('i-sl'!$C:$C,'i-sl'!$A:$A,D$1,'i-sl'!$B:$B,"otros_ingresos")+IFERROR(SUMIFS('i-ltd'!$C:$C,'i-ltd'!$A:$A,D$1,'i-ltd'!$B:$B,"otros_ingresos")/AVERAGEIFS('fx-rates'!$C:$C,'fx-rates'!$A:$A,D$1,'fx-rates'!$B:$B,"GBP"),0)+IFERROR(SUMIFS('i-inc'!$C:$C,'i-inc'!$A:$A,D$1,'i-inc'!$B:$B,"otros_ingresos")/AVERAGEIFS('fx-rates'!$C:$C,'fx-rates'!$A:$A,D$1,'fx-rates'!$B:$B,"USD"),0)</f>
        <v/>
      </c>
      <c r="E18" s="13">
        <f>SUMIFS('i-sl'!$C:$C,'i-sl'!$A:$A,E$1,'i-sl'!$B:$B,"otros_ingresos")+IFERROR(SUMIFS('i-ltd'!$C:$C,'i-ltd'!$A:$A,E$1,'i-ltd'!$B:$B,"otros_ingresos")/AVERAGEIFS('fx-rates'!$C:$C,'fx-rates'!$A:$A,E$1,'fx-rates'!$B:$B,"GBP"),0)+IFERROR(SUMIFS('i-inc'!$C:$C,'i-inc'!$A:$A,E$1,'i-inc'!$B:$B,"otros_ingresos")/AVERAGEIFS('fx-rates'!$C:$C,'fx-rates'!$A:$A,E$1,'fx-rates'!$B:$B,"USD"),0)</f>
        <v/>
      </c>
      <c r="F18" s="13">
        <f>SUMIFS('i-sl'!$C:$C,'i-sl'!$A:$A,F$1,'i-sl'!$B:$B,"otros_ingresos")+IFERROR(SUMIFS('i-ltd'!$C:$C,'i-ltd'!$A:$A,F$1,'i-ltd'!$B:$B,"otros_ingresos")/AVERAGEIFS('fx-rates'!$C:$C,'fx-rates'!$A:$A,F$1,'fx-rates'!$B:$B,"GBP"),0)+IFERROR(SUMIFS('i-inc'!$C:$C,'i-inc'!$A:$A,F$1,'i-inc'!$B:$B,"otros_ingresos")/AVERAGEIFS('fx-rates'!$C:$C,'fx-rates'!$A:$A,F$1,'fx-rates'!$B:$B,"USD"),0)</f>
        <v/>
      </c>
      <c r="G18" s="13">
        <f>SUMIFS('i-sl'!$C:$C,'i-sl'!$A:$A,G$1,'i-sl'!$B:$B,"otros_ingresos")+IFERROR(SUMIFS('i-ltd'!$C:$C,'i-ltd'!$A:$A,G$1,'i-ltd'!$B:$B,"otros_ingresos")/AVERAGEIFS('fx-rates'!$C:$C,'fx-rates'!$A:$A,G$1,'fx-rates'!$B:$B,"GBP"),0)+IFERROR(SUMIFS('i-inc'!$C:$C,'i-inc'!$A:$A,G$1,'i-inc'!$B:$B,"otros_ingresos")/AVERAGEIFS('fx-rates'!$C:$C,'fx-rates'!$A:$A,G$1,'fx-rates'!$B:$B,"USD"),0)</f>
        <v/>
      </c>
      <c r="H18" s="13">
        <f>SUMIFS('i-sl'!$C:$C,'i-sl'!$A:$A,H$1,'i-sl'!$B:$B,"otros_ingresos")+IFERROR(SUMIFS('i-ltd'!$C:$C,'i-ltd'!$A:$A,H$1,'i-ltd'!$B:$B,"otros_ingresos")/AVERAGEIFS('fx-rates'!$C:$C,'fx-rates'!$A:$A,H$1,'fx-rates'!$B:$B,"GBP"),0)+IFERROR(SUMIFS('i-inc'!$C:$C,'i-inc'!$A:$A,H$1,'i-inc'!$B:$B,"otros_ingresos")/AVERAGEIFS('fx-rates'!$C:$C,'fx-rates'!$A:$A,H$1,'fx-rates'!$B:$B,"USD"),0)</f>
        <v/>
      </c>
      <c r="I18" s="13">
        <f>SUMIFS('i-sl'!$C:$C,'i-sl'!$A:$A,I$1,'i-sl'!$B:$B,"otros_ingresos")+IFERROR(SUMIFS('i-ltd'!$C:$C,'i-ltd'!$A:$A,I$1,'i-ltd'!$B:$B,"otros_ingresos")/AVERAGEIFS('fx-rates'!$C:$C,'fx-rates'!$A:$A,I$1,'fx-rates'!$B:$B,"GBP"),0)+IFERROR(SUMIFS('i-inc'!$C:$C,'i-inc'!$A:$A,I$1,'i-inc'!$B:$B,"otros_ingresos")/AVERAGEIFS('fx-rates'!$C:$C,'fx-rates'!$A:$A,I$1,'fx-rates'!$B:$B,"USD"),0)</f>
        <v/>
      </c>
      <c r="J18" s="13">
        <f>SUMIFS('i-sl'!$C:$C,'i-sl'!$A:$A,J$1,'i-sl'!$B:$B,"otros_ingresos")+IFERROR(SUMIFS('i-ltd'!$C:$C,'i-ltd'!$A:$A,J$1,'i-ltd'!$B:$B,"otros_ingresos")/AVERAGEIFS('fx-rates'!$C:$C,'fx-rates'!$A:$A,J$1,'fx-rates'!$B:$B,"GBP"),0)+IFERROR(SUMIFS('i-inc'!$C:$C,'i-inc'!$A:$A,J$1,'i-inc'!$B:$B,"otros_ingresos")/AVERAGEIFS('fx-rates'!$C:$C,'fx-rates'!$A:$A,J$1,'fx-rates'!$B:$B,"USD"),0)</f>
        <v/>
      </c>
      <c r="K18" s="13">
        <f>SUMIFS('i-sl'!$C:$C,'i-sl'!$A:$A,K$1,'i-sl'!$B:$B,"otros_ingresos")+IFERROR(SUMIFS('i-ltd'!$C:$C,'i-ltd'!$A:$A,K$1,'i-ltd'!$B:$B,"otros_ingresos")/AVERAGEIFS('fx-rates'!$C:$C,'fx-rates'!$A:$A,K$1,'fx-rates'!$B:$B,"GBP"),0)+IFERROR(SUMIFS('i-inc'!$C:$C,'i-inc'!$A:$A,K$1,'i-inc'!$B:$B,"otros_ingresos")/AVERAGEIFS('fx-rates'!$C:$C,'fx-rates'!$A:$A,K$1,'fx-rates'!$B:$B,"USD"),0)</f>
        <v/>
      </c>
      <c r="L18" s="13">
        <f>SUMIFS('i-sl'!$C:$C,'i-sl'!$A:$A,L$1,'i-sl'!$B:$B,"otros_ingresos")+IFERROR(SUMIFS('i-ltd'!$C:$C,'i-ltd'!$A:$A,L$1,'i-ltd'!$B:$B,"otros_ingresos")/AVERAGEIFS('fx-rates'!$C:$C,'fx-rates'!$A:$A,L$1,'fx-rates'!$B:$B,"GBP"),0)+IFERROR(SUMIFS('i-inc'!$C:$C,'i-inc'!$A:$A,L$1,'i-inc'!$B:$B,"otros_ingresos")/AVERAGEIFS('fx-rates'!$C:$C,'fx-rates'!$A:$A,L$1,'fx-rates'!$B:$B,"USD"),0)</f>
        <v/>
      </c>
      <c r="M18" s="13">
        <f>SUMIFS('i-sl'!$C:$C,'i-sl'!$A:$A,M$1,'i-sl'!$B:$B,"otros_ingresos")+IFERROR(SUMIFS('i-ltd'!$C:$C,'i-ltd'!$A:$A,M$1,'i-ltd'!$B:$B,"otros_ingresos")/AVERAGEIFS('fx-rates'!$C:$C,'fx-rates'!$A:$A,M$1,'fx-rates'!$B:$B,"GBP"),0)+IFERROR(SUMIFS('i-inc'!$C:$C,'i-inc'!$A:$A,M$1,'i-inc'!$B:$B,"otros_ingresos")/AVERAGEIFS('fx-rates'!$C:$C,'fx-rates'!$A:$A,M$1,'fx-rates'!$B:$B,"USD"),0)</f>
        <v/>
      </c>
      <c r="N18" s="13">
        <f>SUMIFS('i-sl'!$C:$C,'i-sl'!$A:$A,N$1,'i-sl'!$B:$B,"otros_ingresos")+IFERROR(SUMIFS('i-ltd'!$C:$C,'i-ltd'!$A:$A,N$1,'i-ltd'!$B:$B,"otros_ingresos")/AVERAGEIFS('fx-rates'!$C:$C,'fx-rates'!$A:$A,N$1,'fx-rates'!$B:$B,"GBP"),0)+IFERROR(SUMIFS('i-inc'!$C:$C,'i-inc'!$A:$A,N$1,'i-inc'!$B:$B,"otros_ingresos")/AVERAGEIFS('fx-rates'!$C:$C,'fx-rates'!$A:$A,N$1,'fx-rates'!$B:$B,"USD"),0)</f>
        <v/>
      </c>
      <c r="O18" s="13">
        <f>SUMIFS('i-sl'!$C:$C,'i-sl'!$A:$A,O$1,'i-sl'!$B:$B,"otros_ingresos")+IFERROR(SUMIFS('i-ltd'!$C:$C,'i-ltd'!$A:$A,O$1,'i-ltd'!$B:$B,"otros_ingresos")/AVERAGEIFS('fx-rates'!$C:$C,'fx-rates'!$A:$A,O$1,'fx-rates'!$B:$B,"GBP"),0)+IFERROR(SUMIFS('i-inc'!$C:$C,'i-inc'!$A:$A,O$1,'i-inc'!$B:$B,"otros_ingresos")/AVERAGEIFS('fx-rates'!$C:$C,'fx-rates'!$A:$A,O$1,'fx-rates'!$B:$B,"USD"),0)</f>
        <v/>
      </c>
      <c r="P18" s="14">
        <f>SUM(D18:O18)</f>
        <v/>
      </c>
    </row>
    <row r="19" ht="12" customHeight="1">
      <c r="A19" s="4" t="inlineStr">
        <is>
          <t>EXPENSES</t>
        </is>
      </c>
      <c r="B19" s="5" t="n"/>
      <c r="C19" s="5" t="n"/>
      <c r="D19" s="6">
        <f>D20+D29</f>
        <v/>
      </c>
      <c r="E19" s="6">
        <f>E20+E29</f>
        <v/>
      </c>
      <c r="F19" s="6">
        <f>F20+F29</f>
        <v/>
      </c>
      <c r="G19" s="6">
        <f>G20+G29</f>
        <v/>
      </c>
      <c r="H19" s="6">
        <f>H20+H29</f>
        <v/>
      </c>
      <c r="I19" s="6">
        <f>I20+I29</f>
        <v/>
      </c>
      <c r="J19" s="6">
        <f>J20+J29</f>
        <v/>
      </c>
      <c r="K19" s="6">
        <f>K20+K29</f>
        <v/>
      </c>
      <c r="L19" s="6">
        <f>L20+L29</f>
        <v/>
      </c>
      <c r="M19" s="6">
        <f>M20+M29</f>
        <v/>
      </c>
      <c r="N19" s="6">
        <f>N20+N29</f>
        <v/>
      </c>
      <c r="O19" s="6">
        <f>O20+O29</f>
        <v/>
      </c>
      <c r="P19" s="7">
        <f>SUM(D19:O19)</f>
        <v/>
      </c>
    </row>
    <row r="20" ht="12" customHeight="1">
      <c r="A20" s="8" t="inlineStr">
        <is>
          <t>COGS</t>
        </is>
      </c>
      <c r="B20" s="9" t="n"/>
      <c r="C20" s="9" t="n"/>
      <c r="D20" s="10">
        <f>D21+D22+D23+D24</f>
        <v/>
      </c>
      <c r="E20" s="10">
        <f>E21+E22+E23+E24</f>
        <v/>
      </c>
      <c r="F20" s="10">
        <f>F21+F22+F23+F24</f>
        <v/>
      </c>
      <c r="G20" s="10">
        <f>G21+G22+G23+G24</f>
        <v/>
      </c>
      <c r="H20" s="10">
        <f>H21+H22+H23+H24</f>
        <v/>
      </c>
      <c r="I20" s="10">
        <f>I21+I22+I23+I24</f>
        <v/>
      </c>
      <c r="J20" s="10">
        <f>J21+J22+J23+J24</f>
        <v/>
      </c>
      <c r="K20" s="10">
        <f>K21+K22+K23+K24</f>
        <v/>
      </c>
      <c r="L20" s="10">
        <f>L21+L22+L23+L24</f>
        <v/>
      </c>
      <c r="M20" s="10">
        <f>M21+M22+M23+M24</f>
        <v/>
      </c>
      <c r="N20" s="10">
        <f>N21+N22+N23+N24</f>
        <v/>
      </c>
      <c r="O20" s="10">
        <f>O21+O22+O23+O24</f>
        <v/>
      </c>
      <c r="P20" s="11">
        <f>SUM(D20:O20)</f>
        <v/>
      </c>
    </row>
    <row r="21" ht="12" customHeight="1">
      <c r="A21" s="12" t="inlineStr">
        <is>
          <t>Manufacturing</t>
        </is>
      </c>
      <c r="D21" s="13">
        <f>SUMIFS('i-sl'!$C:$C,'i-sl'!$A:$A,D$1,'i-sl'!$B:$B,"manufacturing")+IFERROR(SUMIFS('i-ltd'!$C:$C,'i-ltd'!$A:$A,D$1,'i-ltd'!$B:$B,"manufacturing")/AVERAGEIFS('fx-rates'!$C:$C,'fx-rates'!$A:$A,D$1,'fx-rates'!$B:$B,"GBP"),0)+IFERROR(SUMIFS('i-inc'!$C:$C,'i-inc'!$A:$A,D$1,'i-inc'!$B:$B,"manufacturing")/AVERAGEIFS('fx-rates'!$C:$C,'fx-rates'!$A:$A,D$1,'fx-rates'!$B:$B,"USD"),0)</f>
        <v/>
      </c>
      <c r="E21" s="13">
        <f>SUMIFS('i-sl'!$C:$C,'i-sl'!$A:$A,E$1,'i-sl'!$B:$B,"manufacturing")+IFERROR(SUMIFS('i-ltd'!$C:$C,'i-ltd'!$A:$A,E$1,'i-ltd'!$B:$B,"manufacturing")/AVERAGEIFS('fx-rates'!$C:$C,'fx-rates'!$A:$A,E$1,'fx-rates'!$B:$B,"GBP"),0)+IFERROR(SUMIFS('i-inc'!$C:$C,'i-inc'!$A:$A,E$1,'i-inc'!$B:$B,"manufacturing")/AVERAGEIFS('fx-rates'!$C:$C,'fx-rates'!$A:$A,E$1,'fx-rates'!$B:$B,"USD"),0)</f>
        <v/>
      </c>
      <c r="F21" s="13">
        <f>SUMIFS('i-sl'!$C:$C,'i-sl'!$A:$A,F$1,'i-sl'!$B:$B,"manufacturing")+IFERROR(SUMIFS('i-ltd'!$C:$C,'i-ltd'!$A:$A,F$1,'i-ltd'!$B:$B,"manufacturing")/AVERAGEIFS('fx-rates'!$C:$C,'fx-rates'!$A:$A,F$1,'fx-rates'!$B:$B,"GBP"),0)+IFERROR(SUMIFS('i-inc'!$C:$C,'i-inc'!$A:$A,F$1,'i-inc'!$B:$B,"manufacturing")/AVERAGEIFS('fx-rates'!$C:$C,'fx-rates'!$A:$A,F$1,'fx-rates'!$B:$B,"USD"),0)</f>
        <v/>
      </c>
      <c r="G21" s="13">
        <f>SUMIFS('i-sl'!$C:$C,'i-sl'!$A:$A,G$1,'i-sl'!$B:$B,"manufacturing")+IFERROR(SUMIFS('i-ltd'!$C:$C,'i-ltd'!$A:$A,G$1,'i-ltd'!$B:$B,"manufacturing")/AVERAGEIFS('fx-rates'!$C:$C,'fx-rates'!$A:$A,G$1,'fx-rates'!$B:$B,"GBP"),0)+IFERROR(SUMIFS('i-inc'!$C:$C,'i-inc'!$A:$A,G$1,'i-inc'!$B:$B,"manufacturing")/AVERAGEIFS('fx-rates'!$C:$C,'fx-rates'!$A:$A,G$1,'fx-rates'!$B:$B,"USD"),0)</f>
        <v/>
      </c>
      <c r="H21" s="13">
        <f>SUMIFS('i-sl'!$C:$C,'i-sl'!$A:$A,H$1,'i-sl'!$B:$B,"manufacturing")+IFERROR(SUMIFS('i-ltd'!$C:$C,'i-ltd'!$A:$A,H$1,'i-ltd'!$B:$B,"manufacturing")/AVERAGEIFS('fx-rates'!$C:$C,'fx-rates'!$A:$A,H$1,'fx-rates'!$B:$B,"GBP"),0)+IFERROR(SUMIFS('i-inc'!$C:$C,'i-inc'!$A:$A,H$1,'i-inc'!$B:$B,"manufacturing")/AVERAGEIFS('fx-rates'!$C:$C,'fx-rates'!$A:$A,H$1,'fx-rates'!$B:$B,"USD"),0)</f>
        <v/>
      </c>
      <c r="I21" s="13">
        <f>SUMIFS('i-sl'!$C:$C,'i-sl'!$A:$A,I$1,'i-sl'!$B:$B,"manufacturing")+IFERROR(SUMIFS('i-ltd'!$C:$C,'i-ltd'!$A:$A,I$1,'i-ltd'!$B:$B,"manufacturing")/AVERAGEIFS('fx-rates'!$C:$C,'fx-rates'!$A:$A,I$1,'fx-rates'!$B:$B,"GBP"),0)+IFERROR(SUMIFS('i-inc'!$C:$C,'i-inc'!$A:$A,I$1,'i-inc'!$B:$B,"manufacturing")/AVERAGEIFS('fx-rates'!$C:$C,'fx-rates'!$A:$A,I$1,'fx-rates'!$B:$B,"USD"),0)</f>
        <v/>
      </c>
      <c r="J21" s="13">
        <f>SUMIFS('i-sl'!$C:$C,'i-sl'!$A:$A,J$1,'i-sl'!$B:$B,"manufacturing")+IFERROR(SUMIFS('i-ltd'!$C:$C,'i-ltd'!$A:$A,J$1,'i-ltd'!$B:$B,"manufacturing")/AVERAGEIFS('fx-rates'!$C:$C,'fx-rates'!$A:$A,J$1,'fx-rates'!$B:$B,"GBP"),0)+IFERROR(SUMIFS('i-inc'!$C:$C,'i-inc'!$A:$A,J$1,'i-inc'!$B:$B,"manufacturing")/AVERAGEIFS('fx-rates'!$C:$C,'fx-rates'!$A:$A,J$1,'fx-rates'!$B:$B,"USD"),0)</f>
        <v/>
      </c>
      <c r="K21" s="13">
        <f>SUMIFS('i-sl'!$C:$C,'i-sl'!$A:$A,K$1,'i-sl'!$B:$B,"manufacturing")+IFERROR(SUMIFS('i-ltd'!$C:$C,'i-ltd'!$A:$A,K$1,'i-ltd'!$B:$B,"manufacturing")/AVERAGEIFS('fx-rates'!$C:$C,'fx-rates'!$A:$A,K$1,'fx-rates'!$B:$B,"GBP"),0)+IFERROR(SUMIFS('i-inc'!$C:$C,'i-inc'!$A:$A,K$1,'i-inc'!$B:$B,"manufacturing")/AVERAGEIFS('fx-rates'!$C:$C,'fx-rates'!$A:$A,K$1,'fx-rates'!$B:$B,"USD"),0)</f>
        <v/>
      </c>
      <c r="L21" s="13">
        <f>SUMIFS('i-sl'!$C:$C,'i-sl'!$A:$A,L$1,'i-sl'!$B:$B,"manufacturing")+IFERROR(SUMIFS('i-ltd'!$C:$C,'i-ltd'!$A:$A,L$1,'i-ltd'!$B:$B,"manufacturing")/AVERAGEIFS('fx-rates'!$C:$C,'fx-rates'!$A:$A,L$1,'fx-rates'!$B:$B,"GBP"),0)+IFERROR(SUMIFS('i-inc'!$C:$C,'i-inc'!$A:$A,L$1,'i-inc'!$B:$B,"manufacturing")/AVERAGEIFS('fx-rates'!$C:$C,'fx-rates'!$A:$A,L$1,'fx-rates'!$B:$B,"USD"),0)</f>
        <v/>
      </c>
      <c r="M21" s="13">
        <f>SUMIFS('i-sl'!$C:$C,'i-sl'!$A:$A,M$1,'i-sl'!$B:$B,"manufacturing")+IFERROR(SUMIFS('i-ltd'!$C:$C,'i-ltd'!$A:$A,M$1,'i-ltd'!$B:$B,"manufacturing")/AVERAGEIFS('fx-rates'!$C:$C,'fx-rates'!$A:$A,M$1,'fx-rates'!$B:$B,"GBP"),0)+IFERROR(SUMIFS('i-inc'!$C:$C,'i-inc'!$A:$A,M$1,'i-inc'!$B:$B,"manufacturing")/AVERAGEIFS('fx-rates'!$C:$C,'fx-rates'!$A:$A,M$1,'fx-rates'!$B:$B,"USD"),0)</f>
        <v/>
      </c>
      <c r="N21" s="13">
        <f>SUMIFS('i-sl'!$C:$C,'i-sl'!$A:$A,N$1,'i-sl'!$B:$B,"manufacturing")+IFERROR(SUMIFS('i-ltd'!$C:$C,'i-ltd'!$A:$A,N$1,'i-ltd'!$B:$B,"manufacturing")/AVERAGEIFS('fx-rates'!$C:$C,'fx-rates'!$A:$A,N$1,'fx-rates'!$B:$B,"GBP"),0)+IFERROR(SUMIFS('i-inc'!$C:$C,'i-inc'!$A:$A,N$1,'i-inc'!$B:$B,"manufacturing")/AVERAGEIFS('fx-rates'!$C:$C,'fx-rates'!$A:$A,N$1,'fx-rates'!$B:$B,"USD"),0)</f>
        <v/>
      </c>
      <c r="O21" s="13">
        <f>SUMIFS('i-sl'!$C:$C,'i-sl'!$A:$A,O$1,'i-sl'!$B:$B,"manufacturing")+IFERROR(SUMIFS('i-ltd'!$C:$C,'i-ltd'!$A:$A,O$1,'i-ltd'!$B:$B,"manufacturing")/AVERAGEIFS('fx-rates'!$C:$C,'fx-rates'!$A:$A,O$1,'fx-rates'!$B:$B,"GBP"),0)+IFERROR(SUMIFS('i-inc'!$C:$C,'i-inc'!$A:$A,O$1,'i-inc'!$B:$B,"manufacturing")/AVERAGEIFS('fx-rates'!$C:$C,'fx-rates'!$A:$A,O$1,'fx-rates'!$B:$B,"USD"),0)</f>
        <v/>
      </c>
      <c r="P21" s="14">
        <f>SUM(D21:O21)</f>
        <v/>
      </c>
    </row>
    <row r="22" ht="12" customHeight="1">
      <c r="A22" s="12" t="inlineStr">
        <is>
          <t>Logistics</t>
        </is>
      </c>
      <c r="D22" s="13">
        <f>SUMIFS('i-sl'!$C:$C,'i-sl'!$A:$A,D$1,'i-sl'!$B:$B,"logistics")+IFERROR(SUMIFS('i-ltd'!$C:$C,'i-ltd'!$A:$A,D$1,'i-ltd'!$B:$B,"logistics")/AVERAGEIFS('fx-rates'!$C:$C,'fx-rates'!$A:$A,D$1,'fx-rates'!$B:$B,"GBP"),0)+IFERROR(SUMIFS('i-inc'!$C:$C,'i-inc'!$A:$A,D$1,'i-inc'!$B:$B,"logistics")/AVERAGEIFS('fx-rates'!$C:$C,'fx-rates'!$A:$A,D$1,'fx-rates'!$B:$B,"USD"),0)</f>
        <v/>
      </c>
      <c r="E22" s="13">
        <f>SUMIFS('i-sl'!$C:$C,'i-sl'!$A:$A,E$1,'i-sl'!$B:$B,"logistics")+IFERROR(SUMIFS('i-ltd'!$C:$C,'i-ltd'!$A:$A,E$1,'i-ltd'!$B:$B,"logistics")/AVERAGEIFS('fx-rates'!$C:$C,'fx-rates'!$A:$A,E$1,'fx-rates'!$B:$B,"GBP"),0)+IFERROR(SUMIFS('i-inc'!$C:$C,'i-inc'!$A:$A,E$1,'i-inc'!$B:$B,"logistics")/AVERAGEIFS('fx-rates'!$C:$C,'fx-rates'!$A:$A,E$1,'fx-rates'!$B:$B,"USD"),0)</f>
        <v/>
      </c>
      <c r="F22" s="13">
        <f>SUMIFS('i-sl'!$C:$C,'i-sl'!$A:$A,F$1,'i-sl'!$B:$B,"logistics")+IFERROR(SUMIFS('i-ltd'!$C:$C,'i-ltd'!$A:$A,F$1,'i-ltd'!$B:$B,"logistics")/AVERAGEIFS('fx-rates'!$C:$C,'fx-rates'!$A:$A,F$1,'fx-rates'!$B:$B,"GBP"),0)+IFERROR(SUMIFS('i-inc'!$C:$C,'i-inc'!$A:$A,F$1,'i-inc'!$B:$B,"logistics")/AVERAGEIFS('fx-rates'!$C:$C,'fx-rates'!$A:$A,F$1,'fx-rates'!$B:$B,"USD"),0)</f>
        <v/>
      </c>
      <c r="G22" s="13">
        <f>SUMIFS('i-sl'!$C:$C,'i-sl'!$A:$A,G$1,'i-sl'!$B:$B,"logistics")+IFERROR(SUMIFS('i-ltd'!$C:$C,'i-ltd'!$A:$A,G$1,'i-ltd'!$B:$B,"logistics")/AVERAGEIFS('fx-rates'!$C:$C,'fx-rates'!$A:$A,G$1,'fx-rates'!$B:$B,"GBP"),0)+IFERROR(SUMIFS('i-inc'!$C:$C,'i-inc'!$A:$A,G$1,'i-inc'!$B:$B,"logistics")/AVERAGEIFS('fx-rates'!$C:$C,'fx-rates'!$A:$A,G$1,'fx-rates'!$B:$B,"USD"),0)</f>
        <v/>
      </c>
      <c r="H22" s="13">
        <f>SUMIFS('i-sl'!$C:$C,'i-sl'!$A:$A,H$1,'i-sl'!$B:$B,"logistics")+IFERROR(SUMIFS('i-ltd'!$C:$C,'i-ltd'!$A:$A,H$1,'i-ltd'!$B:$B,"logistics")/AVERAGEIFS('fx-rates'!$C:$C,'fx-rates'!$A:$A,H$1,'fx-rates'!$B:$B,"GBP"),0)+IFERROR(SUMIFS('i-inc'!$C:$C,'i-inc'!$A:$A,H$1,'i-inc'!$B:$B,"logistics")/AVERAGEIFS('fx-rates'!$C:$C,'fx-rates'!$A:$A,H$1,'fx-rates'!$B:$B,"USD"),0)</f>
        <v/>
      </c>
      <c r="I22" s="13">
        <f>SUMIFS('i-sl'!$C:$C,'i-sl'!$A:$A,I$1,'i-sl'!$B:$B,"logistics")+IFERROR(SUMIFS('i-ltd'!$C:$C,'i-ltd'!$A:$A,I$1,'i-ltd'!$B:$B,"logistics")/AVERAGEIFS('fx-rates'!$C:$C,'fx-rates'!$A:$A,I$1,'fx-rates'!$B:$B,"GBP"),0)+IFERROR(SUMIFS('i-inc'!$C:$C,'i-inc'!$A:$A,I$1,'i-inc'!$B:$B,"logistics")/AVERAGEIFS('fx-rates'!$C:$C,'fx-rates'!$A:$A,I$1,'fx-rates'!$B:$B,"USD"),0)</f>
        <v/>
      </c>
      <c r="J22" s="13">
        <f>SUMIFS('i-sl'!$C:$C,'i-sl'!$A:$A,J$1,'i-sl'!$B:$B,"logistics")+IFERROR(SUMIFS('i-ltd'!$C:$C,'i-ltd'!$A:$A,J$1,'i-ltd'!$B:$B,"logistics")/AVERAGEIFS('fx-rates'!$C:$C,'fx-rates'!$A:$A,J$1,'fx-rates'!$B:$B,"GBP"),0)+IFERROR(SUMIFS('i-inc'!$C:$C,'i-inc'!$A:$A,J$1,'i-inc'!$B:$B,"logistics")/AVERAGEIFS('fx-rates'!$C:$C,'fx-rates'!$A:$A,J$1,'fx-rates'!$B:$B,"USD"),0)</f>
        <v/>
      </c>
      <c r="K22" s="13">
        <f>SUMIFS('i-sl'!$C:$C,'i-sl'!$A:$A,K$1,'i-sl'!$B:$B,"logistics")+IFERROR(SUMIFS('i-ltd'!$C:$C,'i-ltd'!$A:$A,K$1,'i-ltd'!$B:$B,"logistics")/AVERAGEIFS('fx-rates'!$C:$C,'fx-rates'!$A:$A,K$1,'fx-rates'!$B:$B,"GBP"),0)+IFERROR(SUMIFS('i-inc'!$C:$C,'i-inc'!$A:$A,K$1,'i-inc'!$B:$B,"logistics")/AVERAGEIFS('fx-rates'!$C:$C,'fx-rates'!$A:$A,K$1,'fx-rates'!$B:$B,"USD"),0)</f>
        <v/>
      </c>
      <c r="L22" s="13">
        <f>SUMIFS('i-sl'!$C:$C,'i-sl'!$A:$A,L$1,'i-sl'!$B:$B,"logistics")+IFERROR(SUMIFS('i-ltd'!$C:$C,'i-ltd'!$A:$A,L$1,'i-ltd'!$B:$B,"logistics")/AVERAGEIFS('fx-rates'!$C:$C,'fx-rates'!$A:$A,L$1,'fx-rates'!$B:$B,"GBP"),0)+IFERROR(SUMIFS('i-inc'!$C:$C,'i-inc'!$A:$A,L$1,'i-inc'!$B:$B,"logistics")/AVERAGEIFS('fx-rates'!$C:$C,'fx-rates'!$A:$A,L$1,'fx-rates'!$B:$B,"USD"),0)</f>
        <v/>
      </c>
      <c r="M22" s="13">
        <f>SUMIFS('i-sl'!$C:$C,'i-sl'!$A:$A,M$1,'i-sl'!$B:$B,"logistics")+IFERROR(SUMIFS('i-ltd'!$C:$C,'i-ltd'!$A:$A,M$1,'i-ltd'!$B:$B,"logistics")/AVERAGEIFS('fx-rates'!$C:$C,'fx-rates'!$A:$A,M$1,'fx-rates'!$B:$B,"GBP"),0)+IFERROR(SUMIFS('i-inc'!$C:$C,'i-inc'!$A:$A,M$1,'i-inc'!$B:$B,"logistics")/AVERAGEIFS('fx-rates'!$C:$C,'fx-rates'!$A:$A,M$1,'fx-rates'!$B:$B,"USD"),0)</f>
        <v/>
      </c>
      <c r="N22" s="13">
        <f>SUMIFS('i-sl'!$C:$C,'i-sl'!$A:$A,N$1,'i-sl'!$B:$B,"logistics")+IFERROR(SUMIFS('i-ltd'!$C:$C,'i-ltd'!$A:$A,N$1,'i-ltd'!$B:$B,"logistics")/AVERAGEIFS('fx-rates'!$C:$C,'fx-rates'!$A:$A,N$1,'fx-rates'!$B:$B,"GBP"),0)+IFERROR(SUMIFS('i-inc'!$C:$C,'i-inc'!$A:$A,N$1,'i-inc'!$B:$B,"logistics")/AVERAGEIFS('fx-rates'!$C:$C,'fx-rates'!$A:$A,N$1,'fx-rates'!$B:$B,"USD"),0)</f>
        <v/>
      </c>
      <c r="O22" s="13">
        <f>SUMIFS('i-sl'!$C:$C,'i-sl'!$A:$A,O$1,'i-sl'!$B:$B,"logistics")+IFERROR(SUMIFS('i-ltd'!$C:$C,'i-ltd'!$A:$A,O$1,'i-ltd'!$B:$B,"logistics")/AVERAGEIFS('fx-rates'!$C:$C,'fx-rates'!$A:$A,O$1,'fx-rates'!$B:$B,"GBP"),0)+IFERROR(SUMIFS('i-inc'!$C:$C,'i-inc'!$A:$A,O$1,'i-inc'!$B:$B,"logistics")/AVERAGEIFS('fx-rates'!$C:$C,'fx-rates'!$A:$A,O$1,'fx-rates'!$B:$B,"USD"),0)</f>
        <v/>
      </c>
      <c r="P22" s="14">
        <f>SUM(D22:O22)</f>
        <v/>
      </c>
    </row>
    <row r="23" ht="12" customHeight="1">
      <c r="A23" s="12" t="inlineStr">
        <is>
          <t>Royalties</t>
        </is>
      </c>
      <c r="D23" s="13">
        <f>SUMIFS('i-sl'!$C:$C,'i-sl'!$A:$A,D$1,'i-sl'!$B:$B,"royalties")</f>
        <v/>
      </c>
      <c r="E23" s="13">
        <f>SUMIFS('i-sl'!$C:$C,'i-sl'!$A:$A,E$1,'i-sl'!$B:$B,"royalties")</f>
        <v/>
      </c>
      <c r="F23" s="13">
        <f>SUMIFS('i-sl'!$C:$C,'i-sl'!$A:$A,F$1,'i-sl'!$B:$B,"royalties")</f>
        <v/>
      </c>
      <c r="G23" s="13">
        <f>SUMIFS('i-sl'!$C:$C,'i-sl'!$A:$A,G$1,'i-sl'!$B:$B,"royalties")</f>
        <v/>
      </c>
      <c r="H23" s="13">
        <f>SUMIFS('i-sl'!$C:$C,'i-sl'!$A:$A,H$1,'i-sl'!$B:$B,"royalties")</f>
        <v/>
      </c>
      <c r="I23" s="13">
        <f>SUMIFS('i-sl'!$C:$C,'i-sl'!$A:$A,I$1,'i-sl'!$B:$B,"royalties")</f>
        <v/>
      </c>
      <c r="J23" s="13">
        <f>SUMIFS('i-sl'!$C:$C,'i-sl'!$A:$A,J$1,'i-sl'!$B:$B,"royalties")</f>
        <v/>
      </c>
      <c r="K23" s="13">
        <f>SUMIFS('i-sl'!$C:$C,'i-sl'!$A:$A,K$1,'i-sl'!$B:$B,"royalties")</f>
        <v/>
      </c>
      <c r="L23" s="13">
        <f>SUMIFS('i-sl'!$C:$C,'i-sl'!$A:$A,L$1,'i-sl'!$B:$B,"royalties")</f>
        <v/>
      </c>
      <c r="M23" s="13">
        <f>SUMIFS('i-sl'!$C:$C,'i-sl'!$A:$A,M$1,'i-sl'!$B:$B,"royalties")</f>
        <v/>
      </c>
      <c r="N23" s="13">
        <f>SUMIFS('i-sl'!$C:$C,'i-sl'!$A:$A,N$1,'i-sl'!$B:$B,"royalties")</f>
        <v/>
      </c>
      <c r="O23" s="13">
        <f>SUMIFS('i-sl'!$C:$C,'i-sl'!$A:$A,O$1,'i-sl'!$B:$B,"royalties")</f>
        <v/>
      </c>
      <c r="P23" s="14">
        <f>SUM(D23:O23)</f>
        <v/>
      </c>
    </row>
    <row r="24" ht="12" customHeight="1">
      <c r="A24" s="12" t="inlineStr">
        <is>
          <t>Payment fees</t>
        </is>
      </c>
      <c r="D24" s="13">
        <f>SUMIFS('i-sl'!$C:$C,'i-sl'!$A:$A,D$1,'i-sl'!$B:$B,"payment_fees")+IFERROR(SUMIFS('i-ltd'!$C:$C,'i-ltd'!$A:$A,D$1,'i-ltd'!$B:$B,"payment_fees")/AVERAGEIFS('fx-rates'!$C:$C,'fx-rates'!$A:$A,D$1,'fx-rates'!$B:$B,"GBP"),0)+IFERROR(SUMIFS('i-inc'!$C:$C,'i-inc'!$A:$A,D$1,'i-inc'!$B:$B,"payment_fees")/AVERAGEIFS('fx-rates'!$C:$C,'fx-rates'!$A:$A,D$1,'fx-rates'!$B:$B,"USD"),0)</f>
        <v/>
      </c>
      <c r="E24" s="13">
        <f>SUMIFS('i-sl'!$C:$C,'i-sl'!$A:$A,E$1,'i-sl'!$B:$B,"payment_fees")+IFERROR(SUMIFS('i-ltd'!$C:$C,'i-ltd'!$A:$A,E$1,'i-ltd'!$B:$B,"payment_fees")/AVERAGEIFS('fx-rates'!$C:$C,'fx-rates'!$A:$A,E$1,'fx-rates'!$B:$B,"GBP"),0)+IFERROR(SUMIFS('i-inc'!$C:$C,'i-inc'!$A:$A,E$1,'i-inc'!$B:$B,"payment_fees")/AVERAGEIFS('fx-rates'!$C:$C,'fx-rates'!$A:$A,E$1,'fx-rates'!$B:$B,"USD"),0)</f>
        <v/>
      </c>
      <c r="F24" s="13">
        <f>SUMIFS('i-sl'!$C:$C,'i-sl'!$A:$A,F$1,'i-sl'!$B:$B,"payment_fees")+IFERROR(SUMIFS('i-ltd'!$C:$C,'i-ltd'!$A:$A,F$1,'i-ltd'!$B:$B,"payment_fees")/AVERAGEIFS('fx-rates'!$C:$C,'fx-rates'!$A:$A,F$1,'fx-rates'!$B:$B,"GBP"),0)+IFERROR(SUMIFS('i-inc'!$C:$C,'i-inc'!$A:$A,F$1,'i-inc'!$B:$B,"payment_fees")/AVERAGEIFS('fx-rates'!$C:$C,'fx-rates'!$A:$A,F$1,'fx-rates'!$B:$B,"USD"),0)</f>
        <v/>
      </c>
      <c r="G24" s="13">
        <f>SUMIFS('i-sl'!$C:$C,'i-sl'!$A:$A,G$1,'i-sl'!$B:$B,"payment_fees")+IFERROR(SUMIFS('i-ltd'!$C:$C,'i-ltd'!$A:$A,G$1,'i-ltd'!$B:$B,"payment_fees")/AVERAGEIFS('fx-rates'!$C:$C,'fx-rates'!$A:$A,G$1,'fx-rates'!$B:$B,"GBP"),0)+IFERROR(SUMIFS('i-inc'!$C:$C,'i-inc'!$A:$A,G$1,'i-inc'!$B:$B,"payment_fees")/AVERAGEIFS('fx-rates'!$C:$C,'fx-rates'!$A:$A,G$1,'fx-rates'!$B:$B,"USD"),0)</f>
        <v/>
      </c>
      <c r="H24" s="13">
        <f>SUMIFS('i-sl'!$C:$C,'i-sl'!$A:$A,H$1,'i-sl'!$B:$B,"payment_fees")+IFERROR(SUMIFS('i-ltd'!$C:$C,'i-ltd'!$A:$A,H$1,'i-ltd'!$B:$B,"payment_fees")/AVERAGEIFS('fx-rates'!$C:$C,'fx-rates'!$A:$A,H$1,'fx-rates'!$B:$B,"GBP"),0)+IFERROR(SUMIFS('i-inc'!$C:$C,'i-inc'!$A:$A,H$1,'i-inc'!$B:$B,"payment_fees")/AVERAGEIFS('fx-rates'!$C:$C,'fx-rates'!$A:$A,H$1,'fx-rates'!$B:$B,"USD"),0)</f>
        <v/>
      </c>
      <c r="I24" s="13">
        <f>SUMIFS('i-sl'!$C:$C,'i-sl'!$A:$A,I$1,'i-sl'!$B:$B,"payment_fees")+IFERROR(SUMIFS('i-ltd'!$C:$C,'i-ltd'!$A:$A,I$1,'i-ltd'!$B:$B,"payment_fees")/AVERAGEIFS('fx-rates'!$C:$C,'fx-rates'!$A:$A,I$1,'fx-rates'!$B:$B,"GBP"),0)+IFERROR(SUMIFS('i-inc'!$C:$C,'i-inc'!$A:$A,I$1,'i-inc'!$B:$B,"payment_fees")/AVERAGEIFS('fx-rates'!$C:$C,'fx-rates'!$A:$A,I$1,'fx-rates'!$B:$B,"USD"),0)</f>
        <v/>
      </c>
      <c r="J24" s="13">
        <f>SUMIFS('i-sl'!$C:$C,'i-sl'!$A:$A,J$1,'i-sl'!$B:$B,"payment_fees")+IFERROR(SUMIFS('i-ltd'!$C:$C,'i-ltd'!$A:$A,J$1,'i-ltd'!$B:$B,"payment_fees")/AVERAGEIFS('fx-rates'!$C:$C,'fx-rates'!$A:$A,J$1,'fx-rates'!$B:$B,"GBP"),0)+IFERROR(SUMIFS('i-inc'!$C:$C,'i-inc'!$A:$A,J$1,'i-inc'!$B:$B,"payment_fees")/AVERAGEIFS('fx-rates'!$C:$C,'fx-rates'!$A:$A,J$1,'fx-rates'!$B:$B,"USD"),0)</f>
        <v/>
      </c>
      <c r="K24" s="13">
        <f>SUMIFS('i-sl'!$C:$C,'i-sl'!$A:$A,K$1,'i-sl'!$B:$B,"payment_fees")+IFERROR(SUMIFS('i-ltd'!$C:$C,'i-ltd'!$A:$A,K$1,'i-ltd'!$B:$B,"payment_fees")/AVERAGEIFS('fx-rates'!$C:$C,'fx-rates'!$A:$A,K$1,'fx-rates'!$B:$B,"GBP"),0)+IFERROR(SUMIFS('i-inc'!$C:$C,'i-inc'!$A:$A,K$1,'i-inc'!$B:$B,"payment_fees")/AVERAGEIFS('fx-rates'!$C:$C,'fx-rates'!$A:$A,K$1,'fx-rates'!$B:$B,"USD"),0)</f>
        <v/>
      </c>
      <c r="L24" s="13">
        <f>SUMIFS('i-sl'!$C:$C,'i-sl'!$A:$A,L$1,'i-sl'!$B:$B,"payment_fees")+IFERROR(SUMIFS('i-ltd'!$C:$C,'i-ltd'!$A:$A,L$1,'i-ltd'!$B:$B,"payment_fees")/AVERAGEIFS('fx-rates'!$C:$C,'fx-rates'!$A:$A,L$1,'fx-rates'!$B:$B,"GBP"),0)+IFERROR(SUMIFS('i-inc'!$C:$C,'i-inc'!$A:$A,L$1,'i-inc'!$B:$B,"payment_fees")/AVERAGEIFS('fx-rates'!$C:$C,'fx-rates'!$A:$A,L$1,'fx-rates'!$B:$B,"USD"),0)</f>
        <v/>
      </c>
      <c r="M24" s="13">
        <f>SUMIFS('i-sl'!$C:$C,'i-sl'!$A:$A,M$1,'i-sl'!$B:$B,"payment_fees")+IFERROR(SUMIFS('i-ltd'!$C:$C,'i-ltd'!$A:$A,M$1,'i-ltd'!$B:$B,"payment_fees")/AVERAGEIFS('fx-rates'!$C:$C,'fx-rates'!$A:$A,M$1,'fx-rates'!$B:$B,"GBP"),0)+IFERROR(SUMIFS('i-inc'!$C:$C,'i-inc'!$A:$A,M$1,'i-inc'!$B:$B,"payment_fees")/AVERAGEIFS('fx-rates'!$C:$C,'fx-rates'!$A:$A,M$1,'fx-rates'!$B:$B,"USD"),0)</f>
        <v/>
      </c>
      <c r="N24" s="13">
        <f>SUMIFS('i-sl'!$C:$C,'i-sl'!$A:$A,N$1,'i-sl'!$B:$B,"payment_fees")+IFERROR(SUMIFS('i-ltd'!$C:$C,'i-ltd'!$A:$A,N$1,'i-ltd'!$B:$B,"payment_fees")/AVERAGEIFS('fx-rates'!$C:$C,'fx-rates'!$A:$A,N$1,'fx-rates'!$B:$B,"GBP"),0)+IFERROR(SUMIFS('i-inc'!$C:$C,'i-inc'!$A:$A,N$1,'i-inc'!$B:$B,"payment_fees")/AVERAGEIFS('fx-rates'!$C:$C,'fx-rates'!$A:$A,N$1,'fx-rates'!$B:$B,"USD"),0)</f>
        <v/>
      </c>
      <c r="O24" s="13">
        <f>SUMIFS('i-sl'!$C:$C,'i-sl'!$A:$A,O$1,'i-sl'!$B:$B,"payment_fees")+IFERROR(SUMIFS('i-ltd'!$C:$C,'i-ltd'!$A:$A,O$1,'i-ltd'!$B:$B,"payment_fees")/AVERAGEIFS('fx-rates'!$C:$C,'fx-rates'!$A:$A,O$1,'fx-rates'!$B:$B,"GBP"),0)+IFERROR(SUMIFS('i-inc'!$C:$C,'i-inc'!$A:$A,O$1,'i-inc'!$B:$B,"payment_fees")/AVERAGEIFS('fx-rates'!$C:$C,'fx-rates'!$A:$A,O$1,'fx-rates'!$B:$B,"USD"),0)</f>
        <v/>
      </c>
      <c r="P24" s="14">
        <f>SUM(D24:O24)</f>
        <v/>
      </c>
    </row>
    <row r="25" ht="12" customHeight="1">
      <c r="A25" s="18" t="inlineStr">
        <is>
          <t>GROSS MARGIN (SALES-MANUFACTURING)</t>
        </is>
      </c>
      <c r="B25" s="19" t="n"/>
      <c r="C25" s="19" t="n"/>
      <c r="D25" s="20">
        <f>D5-D21</f>
        <v/>
      </c>
      <c r="E25" s="20">
        <f>E5-E21</f>
        <v/>
      </c>
      <c r="F25" s="20">
        <f>F5-F21</f>
        <v/>
      </c>
      <c r="G25" s="20">
        <f>G5-G21</f>
        <v/>
      </c>
      <c r="H25" s="20">
        <f>H5-H21</f>
        <v/>
      </c>
      <c r="I25" s="20">
        <f>I5-I21</f>
        <v/>
      </c>
      <c r="J25" s="20">
        <f>J5-J21</f>
        <v/>
      </c>
      <c r="K25" s="20">
        <f>K5-K21</f>
        <v/>
      </c>
      <c r="L25" s="20">
        <f>L5-L21</f>
        <v/>
      </c>
      <c r="M25" s="20">
        <f>M5-M21</f>
        <v/>
      </c>
      <c r="N25" s="20">
        <f>N5-N21</f>
        <v/>
      </c>
      <c r="O25" s="20">
        <f>O5-O21</f>
        <v/>
      </c>
      <c r="P25" s="7">
        <f>SUM(D25:O25)</f>
        <v/>
      </c>
    </row>
    <row r="26" ht="12" customHeight="1">
      <c r="A26" s="21" t="inlineStr">
        <is>
          <t>% gross margin</t>
        </is>
      </c>
      <c r="B26" s="19" t="n"/>
      <c r="C26" s="19" t="n"/>
      <c r="D26" s="22">
        <f>IFERROR(D25/D5,0)</f>
        <v/>
      </c>
      <c r="E26" s="22">
        <f>IFERROR(E25/E5,0)</f>
        <v/>
      </c>
      <c r="F26" s="22">
        <f>IFERROR(F25/F5,0)</f>
        <v/>
      </c>
      <c r="G26" s="22">
        <f>IFERROR(G25/G5,0)</f>
        <v/>
      </c>
      <c r="H26" s="22">
        <f>IFERROR(H25/H5,0)</f>
        <v/>
      </c>
      <c r="I26" s="22">
        <f>IFERROR(I25/I5,0)</f>
        <v/>
      </c>
      <c r="J26" s="22">
        <f>IFERROR(J25/J5,0)</f>
        <v/>
      </c>
      <c r="K26" s="22">
        <f>IFERROR(K25/K5,0)</f>
        <v/>
      </c>
      <c r="L26" s="22">
        <f>IFERROR(L25/L5,0)</f>
        <v/>
      </c>
      <c r="M26" s="22">
        <f>IFERROR(M25/M5,0)</f>
        <v/>
      </c>
      <c r="N26" s="22">
        <f>IFERROR(N25/N5,0)</f>
        <v/>
      </c>
      <c r="O26" s="22">
        <f>IFERROR(O25/O5,0)</f>
        <v/>
      </c>
      <c r="P26" s="23">
        <f>IFERROR(P25/P5,0)</f>
        <v/>
      </c>
    </row>
    <row r="27" ht="12" customHeight="1">
      <c r="A27" s="18" t="inlineStr">
        <is>
          <t>Contributive margin (product sales-COGS)</t>
        </is>
      </c>
      <c r="B27" s="19" t="n"/>
      <c r="C27" s="19" t="n"/>
      <c r="D27" s="20">
        <f>D5-D20</f>
        <v/>
      </c>
      <c r="E27" s="20">
        <f>E5-E20</f>
        <v/>
      </c>
      <c r="F27" s="20">
        <f>F5-F20</f>
        <v/>
      </c>
      <c r="G27" s="20">
        <f>G5-G20</f>
        <v/>
      </c>
      <c r="H27" s="20">
        <f>H5-H20</f>
        <v/>
      </c>
      <c r="I27" s="20">
        <f>I5-I20</f>
        <v/>
      </c>
      <c r="J27" s="20">
        <f>J5-J20</f>
        <v/>
      </c>
      <c r="K27" s="20">
        <f>K5-K20</f>
        <v/>
      </c>
      <c r="L27" s="20">
        <f>L5-L20</f>
        <v/>
      </c>
      <c r="M27" s="20">
        <f>M5-M20</f>
        <v/>
      </c>
      <c r="N27" s="20">
        <f>N5-N20</f>
        <v/>
      </c>
      <c r="O27" s="20">
        <f>O5-O20</f>
        <v/>
      </c>
      <c r="P27" s="7">
        <f>SUM(D27:O27)</f>
        <v/>
      </c>
    </row>
    <row r="28" ht="12" customHeight="1">
      <c r="A28" s="21" t="inlineStr">
        <is>
          <t>% contributive margin</t>
        </is>
      </c>
      <c r="B28" s="19" t="n"/>
      <c r="C28" s="19" t="n"/>
      <c r="D28" s="22">
        <f>IFERROR(D27/D5,0)</f>
        <v/>
      </c>
      <c r="E28" s="22">
        <f>IFERROR(E27/E5,0)</f>
        <v/>
      </c>
      <c r="F28" s="22">
        <f>IFERROR(F27/F5,0)</f>
        <v/>
      </c>
      <c r="G28" s="22">
        <f>IFERROR(G27/G5,0)</f>
        <v/>
      </c>
      <c r="H28" s="22">
        <f>IFERROR(H27/H5,0)</f>
        <v/>
      </c>
      <c r="I28" s="22">
        <f>IFERROR(I27/I5,0)</f>
        <v/>
      </c>
      <c r="J28" s="22">
        <f>IFERROR(J27/J5,0)</f>
        <v/>
      </c>
      <c r="K28" s="22">
        <f>IFERROR(K27/K5,0)</f>
        <v/>
      </c>
      <c r="L28" s="22">
        <f>IFERROR(L27/L5,0)</f>
        <v/>
      </c>
      <c r="M28" s="22">
        <f>IFERROR(M27/M5,0)</f>
        <v/>
      </c>
      <c r="N28" s="22">
        <f>IFERROR(N27/N5,0)</f>
        <v/>
      </c>
      <c r="O28" s="22">
        <f>IFERROR(O27/O5,0)</f>
        <v/>
      </c>
      <c r="P28" s="23">
        <f>IFERROR(P27/P5,0)</f>
        <v/>
      </c>
    </row>
    <row r="29" ht="12" customHeight="1">
      <c r="A29" s="8" t="inlineStr">
        <is>
          <t>OPEX</t>
        </is>
      </c>
      <c r="B29" s="9" t="n"/>
      <c r="C29" s="9" t="n"/>
      <c r="D29" s="10">
        <f>D30+D31+D32+D33+D34</f>
        <v/>
      </c>
      <c r="E29" s="10">
        <f>E30+E31+E32+E33+E34</f>
        <v/>
      </c>
      <c r="F29" s="10">
        <f>F30+F31+F32+F33+F34</f>
        <v/>
      </c>
      <c r="G29" s="10">
        <f>G30+G31+G32+G33+G34</f>
        <v/>
      </c>
      <c r="H29" s="10">
        <f>H30+H31+H32+H33+H34</f>
        <v/>
      </c>
      <c r="I29" s="10">
        <f>I30+I31+I32+I33+I34</f>
        <v/>
      </c>
      <c r="J29" s="10">
        <f>J30+J31+J32+J33+J34</f>
        <v/>
      </c>
      <c r="K29" s="10">
        <f>K30+K31+K32+K33+K34</f>
        <v/>
      </c>
      <c r="L29" s="10">
        <f>L30+L31+L32+L33+L34</f>
        <v/>
      </c>
      <c r="M29" s="10">
        <f>M30+M31+M32+M33+M34</f>
        <v/>
      </c>
      <c r="N29" s="10">
        <f>N30+N31+N32+N33+N34</f>
        <v/>
      </c>
      <c r="O29" s="10">
        <f>O30+O31+O32+O33+O34</f>
        <v/>
      </c>
      <c r="P29" s="11">
        <f>SUM(D29:O29)</f>
        <v/>
      </c>
    </row>
    <row r="30" ht="12" customHeight="1">
      <c r="A30" s="12" t="inlineStr">
        <is>
          <t>Marketing</t>
        </is>
      </c>
      <c r="D30" s="13">
        <f>SUMIFS('i-sl'!$C:$C,'i-sl'!$A:$A,D$1,'i-sl'!$B:$B,"marketing")</f>
        <v/>
      </c>
      <c r="E30" s="13">
        <f>SUMIFS('i-sl'!$C:$C,'i-sl'!$A:$A,E$1,'i-sl'!$B:$B,"marketing")</f>
        <v/>
      </c>
      <c r="F30" s="13">
        <f>SUMIFS('i-sl'!$C:$C,'i-sl'!$A:$A,F$1,'i-sl'!$B:$B,"marketing")</f>
        <v/>
      </c>
      <c r="G30" s="13">
        <f>SUMIFS('i-sl'!$C:$C,'i-sl'!$A:$A,G$1,'i-sl'!$B:$B,"marketing")</f>
        <v/>
      </c>
      <c r="H30" s="13">
        <f>SUMIFS('i-sl'!$C:$C,'i-sl'!$A:$A,H$1,'i-sl'!$B:$B,"marketing")</f>
        <v/>
      </c>
      <c r="I30" s="13">
        <f>SUMIFS('i-sl'!$C:$C,'i-sl'!$A:$A,I$1,'i-sl'!$B:$B,"marketing")</f>
        <v/>
      </c>
      <c r="J30" s="13">
        <f>SUMIFS('i-sl'!$C:$C,'i-sl'!$A:$A,J$1,'i-sl'!$B:$B,"marketing")</f>
        <v/>
      </c>
      <c r="K30" s="13">
        <f>SUMIFS('i-sl'!$C:$C,'i-sl'!$A:$A,K$1,'i-sl'!$B:$B,"marketing")</f>
        <v/>
      </c>
      <c r="L30" s="13">
        <f>SUMIFS('i-sl'!$C:$C,'i-sl'!$A:$A,L$1,'i-sl'!$B:$B,"marketing")</f>
        <v/>
      </c>
      <c r="M30" s="13">
        <f>SUMIFS('i-sl'!$C:$C,'i-sl'!$A:$A,M$1,'i-sl'!$B:$B,"marketing")</f>
        <v/>
      </c>
      <c r="N30" s="13">
        <f>SUMIFS('i-sl'!$C:$C,'i-sl'!$A:$A,N$1,'i-sl'!$B:$B,"marketing")</f>
        <v/>
      </c>
      <c r="O30" s="13">
        <f>SUMIFS('i-sl'!$C:$C,'i-sl'!$A:$A,O$1,'i-sl'!$B:$B,"marketing")</f>
        <v/>
      </c>
      <c r="P30" s="14">
        <f>SUM(D30:O30)</f>
        <v/>
      </c>
    </row>
    <row r="31" ht="12" customHeight="1">
      <c r="A31" s="12" t="inlineStr">
        <is>
          <t>Staff</t>
        </is>
      </c>
      <c r="D31" s="13">
        <f>SUMIFS('i-sl'!$C:$C,'i-sl'!$A:$A,D$1,'i-sl'!$B:$B,"staff")</f>
        <v/>
      </c>
      <c r="E31" s="13">
        <f>SUMIFS('i-sl'!$C:$C,'i-sl'!$A:$A,E$1,'i-sl'!$B:$B,"staff")</f>
        <v/>
      </c>
      <c r="F31" s="13">
        <f>SUMIFS('i-sl'!$C:$C,'i-sl'!$A:$A,F$1,'i-sl'!$B:$B,"staff")</f>
        <v/>
      </c>
      <c r="G31" s="13">
        <f>SUMIFS('i-sl'!$C:$C,'i-sl'!$A:$A,G$1,'i-sl'!$B:$B,"staff")</f>
        <v/>
      </c>
      <c r="H31" s="13">
        <f>SUMIFS('i-sl'!$C:$C,'i-sl'!$A:$A,H$1,'i-sl'!$B:$B,"staff")</f>
        <v/>
      </c>
      <c r="I31" s="13">
        <f>SUMIFS('i-sl'!$C:$C,'i-sl'!$A:$A,I$1,'i-sl'!$B:$B,"staff")</f>
        <v/>
      </c>
      <c r="J31" s="13">
        <f>SUMIFS('i-sl'!$C:$C,'i-sl'!$A:$A,J$1,'i-sl'!$B:$B,"staff")</f>
        <v/>
      </c>
      <c r="K31" s="13">
        <f>SUMIFS('i-sl'!$C:$C,'i-sl'!$A:$A,K$1,'i-sl'!$B:$B,"staff")</f>
        <v/>
      </c>
      <c r="L31" s="13">
        <f>SUMIFS('i-sl'!$C:$C,'i-sl'!$A:$A,L$1,'i-sl'!$B:$B,"staff")</f>
        <v/>
      </c>
      <c r="M31" s="13">
        <f>SUMIFS('i-sl'!$C:$C,'i-sl'!$A:$A,M$1,'i-sl'!$B:$B,"staff")</f>
        <v/>
      </c>
      <c r="N31" s="13">
        <f>SUMIFS('i-sl'!$C:$C,'i-sl'!$A:$A,N$1,'i-sl'!$B:$B,"staff")</f>
        <v/>
      </c>
      <c r="O31" s="13">
        <f>SUMIFS('i-sl'!$C:$C,'i-sl'!$A:$A,O$1,'i-sl'!$B:$B,"staff")</f>
        <v/>
      </c>
      <c r="P31" s="14">
        <f>SUM(D31:O31)</f>
        <v/>
      </c>
    </row>
    <row r="32" ht="12" customHeight="1">
      <c r="A32" s="12" t="inlineStr">
        <is>
          <t>Administration</t>
        </is>
      </c>
      <c r="D32" s="13">
        <f>SUMIFS('i-sl'!$C:$C,'i-sl'!$A:$A,D$1,'i-sl'!$B:$B,"administration")+IFERROR(SUMIFS('i-ltd'!$C:$C,'i-ltd'!$A:$A,D$1,'i-ltd'!$B:$B,"administration")/AVERAGEIFS('fx-rates'!$C:$C,'fx-rates'!$A:$A,D$1,'fx-rates'!$B:$B,"GBP"),0)+IFERROR(SUMIFS('i-inc'!$C:$C,'i-inc'!$A:$A,D$1,'i-inc'!$B:$B,"administration")/AVERAGEIFS('fx-rates'!$C:$C,'fx-rates'!$A:$A,D$1,'fx-rates'!$B:$B,"USD"),0)</f>
        <v/>
      </c>
      <c r="E32" s="13">
        <f>SUMIFS('i-sl'!$C:$C,'i-sl'!$A:$A,E$1,'i-sl'!$B:$B,"administration")+IFERROR(SUMIFS('i-ltd'!$C:$C,'i-ltd'!$A:$A,E$1,'i-ltd'!$B:$B,"administration")/AVERAGEIFS('fx-rates'!$C:$C,'fx-rates'!$A:$A,E$1,'fx-rates'!$B:$B,"GBP"),0)+IFERROR(SUMIFS('i-inc'!$C:$C,'i-inc'!$A:$A,E$1,'i-inc'!$B:$B,"administration")/AVERAGEIFS('fx-rates'!$C:$C,'fx-rates'!$A:$A,E$1,'fx-rates'!$B:$B,"USD"),0)</f>
        <v/>
      </c>
      <c r="F32" s="13">
        <f>SUMIFS('i-sl'!$C:$C,'i-sl'!$A:$A,F$1,'i-sl'!$B:$B,"administration")+IFERROR(SUMIFS('i-ltd'!$C:$C,'i-ltd'!$A:$A,F$1,'i-ltd'!$B:$B,"administration")/AVERAGEIFS('fx-rates'!$C:$C,'fx-rates'!$A:$A,F$1,'fx-rates'!$B:$B,"GBP"),0)+IFERROR(SUMIFS('i-inc'!$C:$C,'i-inc'!$A:$A,F$1,'i-inc'!$B:$B,"administration")/AVERAGEIFS('fx-rates'!$C:$C,'fx-rates'!$A:$A,F$1,'fx-rates'!$B:$B,"USD"),0)</f>
        <v/>
      </c>
      <c r="G32" s="13">
        <f>SUMIFS('i-sl'!$C:$C,'i-sl'!$A:$A,G$1,'i-sl'!$B:$B,"administration")+IFERROR(SUMIFS('i-ltd'!$C:$C,'i-ltd'!$A:$A,G$1,'i-ltd'!$B:$B,"administration")/AVERAGEIFS('fx-rates'!$C:$C,'fx-rates'!$A:$A,G$1,'fx-rates'!$B:$B,"GBP"),0)+IFERROR(SUMIFS('i-inc'!$C:$C,'i-inc'!$A:$A,G$1,'i-inc'!$B:$B,"administration")/AVERAGEIFS('fx-rates'!$C:$C,'fx-rates'!$A:$A,G$1,'fx-rates'!$B:$B,"USD"),0)</f>
        <v/>
      </c>
      <c r="H32" s="13">
        <f>SUMIFS('i-sl'!$C:$C,'i-sl'!$A:$A,H$1,'i-sl'!$B:$B,"administration")+IFERROR(SUMIFS('i-ltd'!$C:$C,'i-ltd'!$A:$A,H$1,'i-ltd'!$B:$B,"administration")/AVERAGEIFS('fx-rates'!$C:$C,'fx-rates'!$A:$A,H$1,'fx-rates'!$B:$B,"GBP"),0)+IFERROR(SUMIFS('i-inc'!$C:$C,'i-inc'!$A:$A,H$1,'i-inc'!$B:$B,"administration")/AVERAGEIFS('fx-rates'!$C:$C,'fx-rates'!$A:$A,H$1,'fx-rates'!$B:$B,"USD"),0)</f>
        <v/>
      </c>
      <c r="I32" s="13">
        <f>SUMIFS('i-sl'!$C:$C,'i-sl'!$A:$A,I$1,'i-sl'!$B:$B,"administration")+IFERROR(SUMIFS('i-ltd'!$C:$C,'i-ltd'!$A:$A,I$1,'i-ltd'!$B:$B,"administration")/AVERAGEIFS('fx-rates'!$C:$C,'fx-rates'!$A:$A,I$1,'fx-rates'!$B:$B,"GBP"),0)+IFERROR(SUMIFS('i-inc'!$C:$C,'i-inc'!$A:$A,I$1,'i-inc'!$B:$B,"administration")/AVERAGEIFS('fx-rates'!$C:$C,'fx-rates'!$A:$A,I$1,'fx-rates'!$B:$B,"USD"),0)</f>
        <v/>
      </c>
      <c r="J32" s="13">
        <f>SUMIFS('i-sl'!$C:$C,'i-sl'!$A:$A,J$1,'i-sl'!$B:$B,"administration")+IFERROR(SUMIFS('i-ltd'!$C:$C,'i-ltd'!$A:$A,J$1,'i-ltd'!$B:$B,"administration")/AVERAGEIFS('fx-rates'!$C:$C,'fx-rates'!$A:$A,J$1,'fx-rates'!$B:$B,"GBP"),0)+IFERROR(SUMIFS('i-inc'!$C:$C,'i-inc'!$A:$A,J$1,'i-inc'!$B:$B,"administration")/AVERAGEIFS('fx-rates'!$C:$C,'fx-rates'!$A:$A,J$1,'fx-rates'!$B:$B,"USD"),0)</f>
        <v/>
      </c>
      <c r="K32" s="13">
        <f>SUMIFS('i-sl'!$C:$C,'i-sl'!$A:$A,K$1,'i-sl'!$B:$B,"administration")+IFERROR(SUMIFS('i-ltd'!$C:$C,'i-ltd'!$A:$A,K$1,'i-ltd'!$B:$B,"administration")/AVERAGEIFS('fx-rates'!$C:$C,'fx-rates'!$A:$A,K$1,'fx-rates'!$B:$B,"GBP"),0)+IFERROR(SUMIFS('i-inc'!$C:$C,'i-inc'!$A:$A,K$1,'i-inc'!$B:$B,"administration")/AVERAGEIFS('fx-rates'!$C:$C,'fx-rates'!$A:$A,K$1,'fx-rates'!$B:$B,"USD"),0)</f>
        <v/>
      </c>
      <c r="L32" s="13">
        <f>SUMIFS('i-sl'!$C:$C,'i-sl'!$A:$A,L$1,'i-sl'!$B:$B,"administration")+IFERROR(SUMIFS('i-ltd'!$C:$C,'i-ltd'!$A:$A,L$1,'i-ltd'!$B:$B,"administration")/AVERAGEIFS('fx-rates'!$C:$C,'fx-rates'!$A:$A,L$1,'fx-rates'!$B:$B,"GBP"),0)+IFERROR(SUMIFS('i-inc'!$C:$C,'i-inc'!$A:$A,L$1,'i-inc'!$B:$B,"administration")/AVERAGEIFS('fx-rates'!$C:$C,'fx-rates'!$A:$A,L$1,'fx-rates'!$B:$B,"USD"),0)</f>
        <v/>
      </c>
      <c r="M32" s="13">
        <f>SUMIFS('i-sl'!$C:$C,'i-sl'!$A:$A,M$1,'i-sl'!$B:$B,"administration")+IFERROR(SUMIFS('i-ltd'!$C:$C,'i-ltd'!$A:$A,M$1,'i-ltd'!$B:$B,"administration")/AVERAGEIFS('fx-rates'!$C:$C,'fx-rates'!$A:$A,M$1,'fx-rates'!$B:$B,"GBP"),0)+IFERROR(SUMIFS('i-inc'!$C:$C,'i-inc'!$A:$A,M$1,'i-inc'!$B:$B,"administration")/AVERAGEIFS('fx-rates'!$C:$C,'fx-rates'!$A:$A,M$1,'fx-rates'!$B:$B,"USD"),0)</f>
        <v/>
      </c>
      <c r="N32" s="13">
        <f>SUMIFS('i-sl'!$C:$C,'i-sl'!$A:$A,N$1,'i-sl'!$B:$B,"administration")+IFERROR(SUMIFS('i-ltd'!$C:$C,'i-ltd'!$A:$A,N$1,'i-ltd'!$B:$B,"administration")/AVERAGEIFS('fx-rates'!$C:$C,'fx-rates'!$A:$A,N$1,'fx-rates'!$B:$B,"GBP"),0)+IFERROR(SUMIFS('i-inc'!$C:$C,'i-inc'!$A:$A,N$1,'i-inc'!$B:$B,"administration")/AVERAGEIFS('fx-rates'!$C:$C,'fx-rates'!$A:$A,N$1,'fx-rates'!$B:$B,"USD"),0)</f>
        <v/>
      </c>
      <c r="O32" s="13">
        <f>SUMIFS('i-sl'!$C:$C,'i-sl'!$A:$A,O$1,'i-sl'!$B:$B,"administration")+IFERROR(SUMIFS('i-ltd'!$C:$C,'i-ltd'!$A:$A,O$1,'i-ltd'!$B:$B,"administration")/AVERAGEIFS('fx-rates'!$C:$C,'fx-rates'!$A:$A,O$1,'fx-rates'!$B:$B,"GBP"),0)+IFERROR(SUMIFS('i-inc'!$C:$C,'i-inc'!$A:$A,O$1,'i-inc'!$B:$B,"administration")/AVERAGEIFS('fx-rates'!$C:$C,'fx-rates'!$A:$A,O$1,'fx-rates'!$B:$B,"USD"),0)</f>
        <v/>
      </c>
      <c r="P32" s="14">
        <f>SUM(D32:O32)</f>
        <v/>
      </c>
    </row>
    <row r="33" ht="12" customHeight="1">
      <c r="A33" s="12" t="inlineStr">
        <is>
          <t>Technology</t>
        </is>
      </c>
      <c r="D33" s="13">
        <f>SUMIFS('i-sl'!$C:$C,'i-sl'!$A:$A,D$1,'i-sl'!$B:$B,"technology")+IFERROR(SUMIFS('i-ltd'!$C:$C,'i-ltd'!$A:$A,D$1,'i-ltd'!$B:$B,"technology")/AVERAGEIFS('fx-rates'!$C:$C,'fx-rates'!$A:$A,D$1,'fx-rates'!$B:$B,"GBP"),0)+IFERROR(SUMIFS('i-inc'!$C:$C,'i-inc'!$A:$A,D$1,'i-inc'!$B:$B,"technology")/AVERAGEIFS('fx-rates'!$C:$C,'fx-rates'!$A:$A,D$1,'fx-rates'!$B:$B,"USD"),0)</f>
        <v/>
      </c>
      <c r="E33" s="13">
        <f>SUMIFS('i-sl'!$C:$C,'i-sl'!$A:$A,E$1,'i-sl'!$B:$B,"technology")+IFERROR(SUMIFS('i-ltd'!$C:$C,'i-ltd'!$A:$A,E$1,'i-ltd'!$B:$B,"technology")/AVERAGEIFS('fx-rates'!$C:$C,'fx-rates'!$A:$A,E$1,'fx-rates'!$B:$B,"GBP"),0)+IFERROR(SUMIFS('i-inc'!$C:$C,'i-inc'!$A:$A,E$1,'i-inc'!$B:$B,"technology")/AVERAGEIFS('fx-rates'!$C:$C,'fx-rates'!$A:$A,E$1,'fx-rates'!$B:$B,"USD"),0)</f>
        <v/>
      </c>
      <c r="F33" s="13">
        <f>SUMIFS('i-sl'!$C:$C,'i-sl'!$A:$A,F$1,'i-sl'!$B:$B,"technology")+IFERROR(SUMIFS('i-ltd'!$C:$C,'i-ltd'!$A:$A,F$1,'i-ltd'!$B:$B,"technology")/AVERAGEIFS('fx-rates'!$C:$C,'fx-rates'!$A:$A,F$1,'fx-rates'!$B:$B,"GBP"),0)+IFERROR(SUMIFS('i-inc'!$C:$C,'i-inc'!$A:$A,F$1,'i-inc'!$B:$B,"technology")/AVERAGEIFS('fx-rates'!$C:$C,'fx-rates'!$A:$A,F$1,'fx-rates'!$B:$B,"USD"),0)</f>
        <v/>
      </c>
      <c r="G33" s="13">
        <f>SUMIFS('i-sl'!$C:$C,'i-sl'!$A:$A,G$1,'i-sl'!$B:$B,"technology")+IFERROR(SUMIFS('i-ltd'!$C:$C,'i-ltd'!$A:$A,G$1,'i-ltd'!$B:$B,"technology")/AVERAGEIFS('fx-rates'!$C:$C,'fx-rates'!$A:$A,G$1,'fx-rates'!$B:$B,"GBP"),0)+IFERROR(SUMIFS('i-inc'!$C:$C,'i-inc'!$A:$A,G$1,'i-inc'!$B:$B,"technology")/AVERAGEIFS('fx-rates'!$C:$C,'fx-rates'!$A:$A,G$1,'fx-rates'!$B:$B,"USD"),0)</f>
        <v/>
      </c>
      <c r="H33" s="13">
        <f>SUMIFS('i-sl'!$C:$C,'i-sl'!$A:$A,H$1,'i-sl'!$B:$B,"technology")+IFERROR(SUMIFS('i-ltd'!$C:$C,'i-ltd'!$A:$A,H$1,'i-ltd'!$B:$B,"technology")/AVERAGEIFS('fx-rates'!$C:$C,'fx-rates'!$A:$A,H$1,'fx-rates'!$B:$B,"GBP"),0)+IFERROR(SUMIFS('i-inc'!$C:$C,'i-inc'!$A:$A,H$1,'i-inc'!$B:$B,"technology")/AVERAGEIFS('fx-rates'!$C:$C,'fx-rates'!$A:$A,H$1,'fx-rates'!$B:$B,"USD"),0)</f>
        <v/>
      </c>
      <c r="I33" s="13">
        <f>SUMIFS('i-sl'!$C:$C,'i-sl'!$A:$A,I$1,'i-sl'!$B:$B,"technology")+IFERROR(SUMIFS('i-ltd'!$C:$C,'i-ltd'!$A:$A,I$1,'i-ltd'!$B:$B,"technology")/AVERAGEIFS('fx-rates'!$C:$C,'fx-rates'!$A:$A,I$1,'fx-rates'!$B:$B,"GBP"),0)+IFERROR(SUMIFS('i-inc'!$C:$C,'i-inc'!$A:$A,I$1,'i-inc'!$B:$B,"technology")/AVERAGEIFS('fx-rates'!$C:$C,'fx-rates'!$A:$A,I$1,'fx-rates'!$B:$B,"USD"),0)</f>
        <v/>
      </c>
      <c r="J33" s="13">
        <f>SUMIFS('i-sl'!$C:$C,'i-sl'!$A:$A,J$1,'i-sl'!$B:$B,"technology")+IFERROR(SUMIFS('i-ltd'!$C:$C,'i-ltd'!$A:$A,J$1,'i-ltd'!$B:$B,"technology")/AVERAGEIFS('fx-rates'!$C:$C,'fx-rates'!$A:$A,J$1,'fx-rates'!$B:$B,"GBP"),0)+IFERROR(SUMIFS('i-inc'!$C:$C,'i-inc'!$A:$A,J$1,'i-inc'!$B:$B,"technology")/AVERAGEIFS('fx-rates'!$C:$C,'fx-rates'!$A:$A,J$1,'fx-rates'!$B:$B,"USD"),0)</f>
        <v/>
      </c>
      <c r="K33" s="13">
        <f>SUMIFS('i-sl'!$C:$C,'i-sl'!$A:$A,K$1,'i-sl'!$B:$B,"technology")+IFERROR(SUMIFS('i-ltd'!$C:$C,'i-ltd'!$A:$A,K$1,'i-ltd'!$B:$B,"technology")/AVERAGEIFS('fx-rates'!$C:$C,'fx-rates'!$A:$A,K$1,'fx-rates'!$B:$B,"GBP"),0)+IFERROR(SUMIFS('i-inc'!$C:$C,'i-inc'!$A:$A,K$1,'i-inc'!$B:$B,"technology")/AVERAGEIFS('fx-rates'!$C:$C,'fx-rates'!$A:$A,K$1,'fx-rates'!$B:$B,"USD"),0)</f>
        <v/>
      </c>
      <c r="L33" s="13">
        <f>SUMIFS('i-sl'!$C:$C,'i-sl'!$A:$A,L$1,'i-sl'!$B:$B,"technology")+IFERROR(SUMIFS('i-ltd'!$C:$C,'i-ltd'!$A:$A,L$1,'i-ltd'!$B:$B,"technology")/AVERAGEIFS('fx-rates'!$C:$C,'fx-rates'!$A:$A,L$1,'fx-rates'!$B:$B,"GBP"),0)+IFERROR(SUMIFS('i-inc'!$C:$C,'i-inc'!$A:$A,L$1,'i-inc'!$B:$B,"technology")/AVERAGEIFS('fx-rates'!$C:$C,'fx-rates'!$A:$A,L$1,'fx-rates'!$B:$B,"USD"),0)</f>
        <v/>
      </c>
      <c r="M33" s="13">
        <f>SUMIFS('i-sl'!$C:$C,'i-sl'!$A:$A,M$1,'i-sl'!$B:$B,"technology")+IFERROR(SUMIFS('i-ltd'!$C:$C,'i-ltd'!$A:$A,M$1,'i-ltd'!$B:$B,"technology")/AVERAGEIFS('fx-rates'!$C:$C,'fx-rates'!$A:$A,M$1,'fx-rates'!$B:$B,"GBP"),0)+IFERROR(SUMIFS('i-inc'!$C:$C,'i-inc'!$A:$A,M$1,'i-inc'!$B:$B,"technology")/AVERAGEIFS('fx-rates'!$C:$C,'fx-rates'!$A:$A,M$1,'fx-rates'!$B:$B,"USD"),0)</f>
        <v/>
      </c>
      <c r="N33" s="13">
        <f>SUMIFS('i-sl'!$C:$C,'i-sl'!$A:$A,N$1,'i-sl'!$B:$B,"technology")+IFERROR(SUMIFS('i-ltd'!$C:$C,'i-ltd'!$A:$A,N$1,'i-ltd'!$B:$B,"technology")/AVERAGEIFS('fx-rates'!$C:$C,'fx-rates'!$A:$A,N$1,'fx-rates'!$B:$B,"GBP"),0)+IFERROR(SUMIFS('i-inc'!$C:$C,'i-inc'!$A:$A,N$1,'i-inc'!$B:$B,"technology")/AVERAGEIFS('fx-rates'!$C:$C,'fx-rates'!$A:$A,N$1,'fx-rates'!$B:$B,"USD"),0)</f>
        <v/>
      </c>
      <c r="O33" s="13">
        <f>SUMIFS('i-sl'!$C:$C,'i-sl'!$A:$A,O$1,'i-sl'!$B:$B,"technology")+IFERROR(SUMIFS('i-ltd'!$C:$C,'i-ltd'!$A:$A,O$1,'i-ltd'!$B:$B,"technology")/AVERAGEIFS('fx-rates'!$C:$C,'fx-rates'!$A:$A,O$1,'fx-rates'!$B:$B,"GBP"),0)+IFERROR(SUMIFS('i-inc'!$C:$C,'i-inc'!$A:$A,O$1,'i-inc'!$B:$B,"technology")/AVERAGEIFS('fx-rates'!$C:$C,'fx-rates'!$A:$A,O$1,'fx-rates'!$B:$B,"USD"),0)</f>
        <v/>
      </c>
      <c r="P33" s="14">
        <f>SUM(D33:O33)</f>
        <v/>
      </c>
    </row>
    <row r="34" ht="12" customHeight="1">
      <c r="A34" s="12" t="inlineStr">
        <is>
          <t>Uncategorized Expenses</t>
        </is>
      </c>
      <c r="D34" s="13">
        <f>SUMIFS('i-sl'!$C:$C,'i-sl'!$A:$A,D$1,'i-sl'!$B:$B,"otros_gastos")+IFERROR(SUMIFS('i-ltd'!$C:$C,'i-ltd'!$A:$A,D$1,'i-ltd'!$B:$B,"otros_gastos")/AVERAGEIFS('fx-rates'!$C:$C,'fx-rates'!$A:$A,D$1,'fx-rates'!$B:$B,"GBP"),0)+IFERROR(SUMIFS('i-inc'!$C:$C,'i-inc'!$A:$A,D$1,'i-inc'!$B:$B,"otros_gastos")/AVERAGEIFS('fx-rates'!$C:$C,'fx-rates'!$A:$A,D$1,'fx-rates'!$B:$B,"USD"),0)</f>
        <v/>
      </c>
      <c r="E34" s="13">
        <f>SUMIFS('i-sl'!$C:$C,'i-sl'!$A:$A,E$1,'i-sl'!$B:$B,"otros_gastos")+IFERROR(SUMIFS('i-ltd'!$C:$C,'i-ltd'!$A:$A,E$1,'i-ltd'!$B:$B,"otros_gastos")/AVERAGEIFS('fx-rates'!$C:$C,'fx-rates'!$A:$A,E$1,'fx-rates'!$B:$B,"GBP"),0)+IFERROR(SUMIFS('i-inc'!$C:$C,'i-inc'!$A:$A,E$1,'i-inc'!$B:$B,"otros_gastos")/AVERAGEIFS('fx-rates'!$C:$C,'fx-rates'!$A:$A,E$1,'fx-rates'!$B:$B,"USD"),0)</f>
        <v/>
      </c>
      <c r="F34" s="13">
        <f>SUMIFS('i-sl'!$C:$C,'i-sl'!$A:$A,F$1,'i-sl'!$B:$B,"otros_gastos")+IFERROR(SUMIFS('i-ltd'!$C:$C,'i-ltd'!$A:$A,F$1,'i-ltd'!$B:$B,"otros_gastos")/AVERAGEIFS('fx-rates'!$C:$C,'fx-rates'!$A:$A,F$1,'fx-rates'!$B:$B,"GBP"),0)+IFERROR(SUMIFS('i-inc'!$C:$C,'i-inc'!$A:$A,F$1,'i-inc'!$B:$B,"otros_gastos")/AVERAGEIFS('fx-rates'!$C:$C,'fx-rates'!$A:$A,F$1,'fx-rates'!$B:$B,"USD"),0)</f>
        <v/>
      </c>
      <c r="G34" s="13">
        <f>SUMIFS('i-sl'!$C:$C,'i-sl'!$A:$A,G$1,'i-sl'!$B:$B,"otros_gastos")+IFERROR(SUMIFS('i-ltd'!$C:$C,'i-ltd'!$A:$A,G$1,'i-ltd'!$B:$B,"otros_gastos")/AVERAGEIFS('fx-rates'!$C:$C,'fx-rates'!$A:$A,G$1,'fx-rates'!$B:$B,"GBP"),0)+IFERROR(SUMIFS('i-inc'!$C:$C,'i-inc'!$A:$A,G$1,'i-inc'!$B:$B,"otros_gastos")/AVERAGEIFS('fx-rates'!$C:$C,'fx-rates'!$A:$A,G$1,'fx-rates'!$B:$B,"USD"),0)</f>
        <v/>
      </c>
      <c r="H34" s="13">
        <f>SUMIFS('i-sl'!$C:$C,'i-sl'!$A:$A,H$1,'i-sl'!$B:$B,"otros_gastos")+IFERROR(SUMIFS('i-ltd'!$C:$C,'i-ltd'!$A:$A,H$1,'i-ltd'!$B:$B,"otros_gastos")/AVERAGEIFS('fx-rates'!$C:$C,'fx-rates'!$A:$A,H$1,'fx-rates'!$B:$B,"GBP"),0)+IFERROR(SUMIFS('i-inc'!$C:$C,'i-inc'!$A:$A,H$1,'i-inc'!$B:$B,"otros_gastos")/AVERAGEIFS('fx-rates'!$C:$C,'fx-rates'!$A:$A,H$1,'fx-rates'!$B:$B,"USD"),0)</f>
        <v/>
      </c>
      <c r="I34" s="13">
        <f>SUMIFS('i-sl'!$C:$C,'i-sl'!$A:$A,I$1,'i-sl'!$B:$B,"otros_gastos")+IFERROR(SUMIFS('i-ltd'!$C:$C,'i-ltd'!$A:$A,I$1,'i-ltd'!$B:$B,"otros_gastos")/AVERAGEIFS('fx-rates'!$C:$C,'fx-rates'!$A:$A,I$1,'fx-rates'!$B:$B,"GBP"),0)+IFERROR(SUMIFS('i-inc'!$C:$C,'i-inc'!$A:$A,I$1,'i-inc'!$B:$B,"otros_gastos")/AVERAGEIFS('fx-rates'!$C:$C,'fx-rates'!$A:$A,I$1,'fx-rates'!$B:$B,"USD"),0)</f>
        <v/>
      </c>
      <c r="J34" s="13">
        <f>SUMIFS('i-sl'!$C:$C,'i-sl'!$A:$A,J$1,'i-sl'!$B:$B,"otros_gastos")+IFERROR(SUMIFS('i-ltd'!$C:$C,'i-ltd'!$A:$A,J$1,'i-ltd'!$B:$B,"otros_gastos")/AVERAGEIFS('fx-rates'!$C:$C,'fx-rates'!$A:$A,J$1,'fx-rates'!$B:$B,"GBP"),0)+IFERROR(SUMIFS('i-inc'!$C:$C,'i-inc'!$A:$A,J$1,'i-inc'!$B:$B,"otros_gastos")/AVERAGEIFS('fx-rates'!$C:$C,'fx-rates'!$A:$A,J$1,'fx-rates'!$B:$B,"USD"),0)</f>
        <v/>
      </c>
      <c r="K34" s="13">
        <f>SUMIFS('i-sl'!$C:$C,'i-sl'!$A:$A,K$1,'i-sl'!$B:$B,"otros_gastos")+IFERROR(SUMIFS('i-ltd'!$C:$C,'i-ltd'!$A:$A,K$1,'i-ltd'!$B:$B,"otros_gastos")/AVERAGEIFS('fx-rates'!$C:$C,'fx-rates'!$A:$A,K$1,'fx-rates'!$B:$B,"GBP"),0)+IFERROR(SUMIFS('i-inc'!$C:$C,'i-inc'!$A:$A,K$1,'i-inc'!$B:$B,"otros_gastos")/AVERAGEIFS('fx-rates'!$C:$C,'fx-rates'!$A:$A,K$1,'fx-rates'!$B:$B,"USD"),0)</f>
        <v/>
      </c>
      <c r="L34" s="13">
        <f>SUMIFS('i-sl'!$C:$C,'i-sl'!$A:$A,L$1,'i-sl'!$B:$B,"otros_gastos")+IFERROR(SUMIFS('i-ltd'!$C:$C,'i-ltd'!$A:$A,L$1,'i-ltd'!$B:$B,"otros_gastos")/AVERAGEIFS('fx-rates'!$C:$C,'fx-rates'!$A:$A,L$1,'fx-rates'!$B:$B,"GBP"),0)+IFERROR(SUMIFS('i-inc'!$C:$C,'i-inc'!$A:$A,L$1,'i-inc'!$B:$B,"otros_gastos")/AVERAGEIFS('fx-rates'!$C:$C,'fx-rates'!$A:$A,L$1,'fx-rates'!$B:$B,"USD"),0)</f>
        <v/>
      </c>
      <c r="M34" s="13">
        <f>SUMIFS('i-sl'!$C:$C,'i-sl'!$A:$A,M$1,'i-sl'!$B:$B,"otros_gastos")+IFERROR(SUMIFS('i-ltd'!$C:$C,'i-ltd'!$A:$A,M$1,'i-ltd'!$B:$B,"otros_gastos")/AVERAGEIFS('fx-rates'!$C:$C,'fx-rates'!$A:$A,M$1,'fx-rates'!$B:$B,"GBP"),0)+IFERROR(SUMIFS('i-inc'!$C:$C,'i-inc'!$A:$A,M$1,'i-inc'!$B:$B,"otros_gastos")/AVERAGEIFS('fx-rates'!$C:$C,'fx-rates'!$A:$A,M$1,'fx-rates'!$B:$B,"USD"),0)</f>
        <v/>
      </c>
      <c r="N34" s="13">
        <f>SUMIFS('i-sl'!$C:$C,'i-sl'!$A:$A,N$1,'i-sl'!$B:$B,"otros_gastos")+IFERROR(SUMIFS('i-ltd'!$C:$C,'i-ltd'!$A:$A,N$1,'i-ltd'!$B:$B,"otros_gastos")/AVERAGEIFS('fx-rates'!$C:$C,'fx-rates'!$A:$A,N$1,'fx-rates'!$B:$B,"GBP"),0)+IFERROR(SUMIFS('i-inc'!$C:$C,'i-inc'!$A:$A,N$1,'i-inc'!$B:$B,"otros_gastos")/AVERAGEIFS('fx-rates'!$C:$C,'fx-rates'!$A:$A,N$1,'fx-rates'!$B:$B,"USD"),0)</f>
        <v/>
      </c>
      <c r="O34" s="13">
        <f>SUMIFS('i-sl'!$C:$C,'i-sl'!$A:$A,O$1,'i-sl'!$B:$B,"otros_gastos")+IFERROR(SUMIFS('i-ltd'!$C:$C,'i-ltd'!$A:$A,O$1,'i-ltd'!$B:$B,"otros_gastos")/AVERAGEIFS('fx-rates'!$C:$C,'fx-rates'!$A:$A,O$1,'fx-rates'!$B:$B,"GBP"),0)+IFERROR(SUMIFS('i-inc'!$C:$C,'i-inc'!$A:$A,O$1,'i-inc'!$B:$B,"otros_gastos")/AVERAGEIFS('fx-rates'!$C:$C,'fx-rates'!$A:$A,O$1,'fx-rates'!$B:$B,"USD"),0)</f>
        <v/>
      </c>
      <c r="P34" s="14">
        <f>SUM(D34:O34)</f>
        <v/>
      </c>
    </row>
    <row r="35" ht="12" customHeight="1">
      <c r="A35" s="17" t="inlineStr">
        <is>
          <t>Currency Adjustment</t>
        </is>
      </c>
      <c r="D35" s="13">
        <f>SUMIFS('i-sl'!$C:$C,'i-sl'!$A:$A,D$1,'i-sl'!$B:$B,"diferencias_divisas")+IFERROR(SUMIFS('i-ltd'!$C:$C,'i-ltd'!$A:$A,D$1,'i-ltd'!$B:$B,"diferencias_divisas")/AVERAGEIFS('fx-rates'!$C:$C,'fx-rates'!$A:$A,D$1,'fx-rates'!$B:$B,"GBP"),0)+IFERROR(SUMIFS('i-inc'!$C:$C,'i-inc'!$A:$A,D$1,'i-inc'!$B:$B,"diferencias_divisas")/AVERAGEIFS('fx-rates'!$C:$C,'fx-rates'!$A:$A,D$1,'fx-rates'!$B:$B,"USD"),0)</f>
        <v/>
      </c>
      <c r="E35" s="13">
        <f>SUMIFS('i-sl'!$C:$C,'i-sl'!$A:$A,E$1,'i-sl'!$B:$B,"diferencias_divisas")+IFERROR(SUMIFS('i-ltd'!$C:$C,'i-ltd'!$A:$A,E$1,'i-ltd'!$B:$B,"diferencias_divisas")/AVERAGEIFS('fx-rates'!$C:$C,'fx-rates'!$A:$A,E$1,'fx-rates'!$B:$B,"GBP"),0)+IFERROR(SUMIFS('i-inc'!$C:$C,'i-inc'!$A:$A,E$1,'i-inc'!$B:$B,"diferencias_divisas")/AVERAGEIFS('fx-rates'!$C:$C,'fx-rates'!$A:$A,E$1,'fx-rates'!$B:$B,"USD"),0)</f>
        <v/>
      </c>
      <c r="F35" s="13">
        <f>SUMIFS('i-sl'!$C:$C,'i-sl'!$A:$A,F$1,'i-sl'!$B:$B,"diferencias_divisas")+IFERROR(SUMIFS('i-ltd'!$C:$C,'i-ltd'!$A:$A,F$1,'i-ltd'!$B:$B,"diferencias_divisas")/AVERAGEIFS('fx-rates'!$C:$C,'fx-rates'!$A:$A,F$1,'fx-rates'!$B:$B,"GBP"),0)+IFERROR(SUMIFS('i-inc'!$C:$C,'i-inc'!$A:$A,F$1,'i-inc'!$B:$B,"diferencias_divisas")/AVERAGEIFS('fx-rates'!$C:$C,'fx-rates'!$A:$A,F$1,'fx-rates'!$B:$B,"USD"),0)</f>
        <v/>
      </c>
      <c r="G35" s="13">
        <f>SUMIFS('i-sl'!$C:$C,'i-sl'!$A:$A,G$1,'i-sl'!$B:$B,"diferencias_divisas")+IFERROR(SUMIFS('i-ltd'!$C:$C,'i-ltd'!$A:$A,G$1,'i-ltd'!$B:$B,"diferencias_divisas")/AVERAGEIFS('fx-rates'!$C:$C,'fx-rates'!$A:$A,G$1,'fx-rates'!$B:$B,"GBP"),0)+IFERROR(SUMIFS('i-inc'!$C:$C,'i-inc'!$A:$A,G$1,'i-inc'!$B:$B,"diferencias_divisas")/AVERAGEIFS('fx-rates'!$C:$C,'fx-rates'!$A:$A,G$1,'fx-rates'!$B:$B,"USD"),0)</f>
        <v/>
      </c>
      <c r="H35" s="13">
        <f>SUMIFS('i-sl'!$C:$C,'i-sl'!$A:$A,H$1,'i-sl'!$B:$B,"diferencias_divisas")+IFERROR(SUMIFS('i-ltd'!$C:$C,'i-ltd'!$A:$A,H$1,'i-ltd'!$B:$B,"diferencias_divisas")/AVERAGEIFS('fx-rates'!$C:$C,'fx-rates'!$A:$A,H$1,'fx-rates'!$B:$B,"GBP"),0)+IFERROR(SUMIFS('i-inc'!$C:$C,'i-inc'!$A:$A,H$1,'i-inc'!$B:$B,"diferencias_divisas")/AVERAGEIFS('fx-rates'!$C:$C,'fx-rates'!$A:$A,H$1,'fx-rates'!$B:$B,"USD"),0)</f>
        <v/>
      </c>
      <c r="I35" s="13">
        <f>SUMIFS('i-sl'!$C:$C,'i-sl'!$A:$A,I$1,'i-sl'!$B:$B,"diferencias_divisas")+IFERROR(SUMIFS('i-ltd'!$C:$C,'i-ltd'!$A:$A,I$1,'i-ltd'!$B:$B,"diferencias_divisas")/AVERAGEIFS('fx-rates'!$C:$C,'fx-rates'!$A:$A,I$1,'fx-rates'!$B:$B,"GBP"),0)+IFERROR(SUMIFS('i-inc'!$C:$C,'i-inc'!$A:$A,I$1,'i-inc'!$B:$B,"diferencias_divisas")/AVERAGEIFS('fx-rates'!$C:$C,'fx-rates'!$A:$A,I$1,'fx-rates'!$B:$B,"USD"),0)</f>
        <v/>
      </c>
      <c r="J35" s="13">
        <f>SUMIFS('i-sl'!$C:$C,'i-sl'!$A:$A,J$1,'i-sl'!$B:$B,"diferencias_divisas")+IFERROR(SUMIFS('i-ltd'!$C:$C,'i-ltd'!$A:$A,J$1,'i-ltd'!$B:$B,"diferencias_divisas")/AVERAGEIFS('fx-rates'!$C:$C,'fx-rates'!$A:$A,J$1,'fx-rates'!$B:$B,"GBP"),0)+IFERROR(SUMIFS('i-inc'!$C:$C,'i-inc'!$A:$A,J$1,'i-inc'!$B:$B,"diferencias_divisas")/AVERAGEIFS('fx-rates'!$C:$C,'fx-rates'!$A:$A,J$1,'fx-rates'!$B:$B,"USD"),0)</f>
        <v/>
      </c>
      <c r="K35" s="13">
        <f>SUMIFS('i-sl'!$C:$C,'i-sl'!$A:$A,K$1,'i-sl'!$B:$B,"diferencias_divisas")+IFERROR(SUMIFS('i-ltd'!$C:$C,'i-ltd'!$A:$A,K$1,'i-ltd'!$B:$B,"diferencias_divisas")/AVERAGEIFS('fx-rates'!$C:$C,'fx-rates'!$A:$A,K$1,'fx-rates'!$B:$B,"GBP"),0)+IFERROR(SUMIFS('i-inc'!$C:$C,'i-inc'!$A:$A,K$1,'i-inc'!$B:$B,"diferencias_divisas")/AVERAGEIFS('fx-rates'!$C:$C,'fx-rates'!$A:$A,K$1,'fx-rates'!$B:$B,"USD"),0)</f>
        <v/>
      </c>
      <c r="L35" s="13">
        <f>SUMIFS('i-sl'!$C:$C,'i-sl'!$A:$A,L$1,'i-sl'!$B:$B,"diferencias_divisas")+IFERROR(SUMIFS('i-ltd'!$C:$C,'i-ltd'!$A:$A,L$1,'i-ltd'!$B:$B,"diferencias_divisas")/AVERAGEIFS('fx-rates'!$C:$C,'fx-rates'!$A:$A,L$1,'fx-rates'!$B:$B,"GBP"),0)+IFERROR(SUMIFS('i-inc'!$C:$C,'i-inc'!$A:$A,L$1,'i-inc'!$B:$B,"diferencias_divisas")/AVERAGEIFS('fx-rates'!$C:$C,'fx-rates'!$A:$A,L$1,'fx-rates'!$B:$B,"USD"),0)</f>
        <v/>
      </c>
      <c r="M35" s="13">
        <f>SUMIFS('i-sl'!$C:$C,'i-sl'!$A:$A,M$1,'i-sl'!$B:$B,"diferencias_divisas")+IFERROR(SUMIFS('i-ltd'!$C:$C,'i-ltd'!$A:$A,M$1,'i-ltd'!$B:$B,"diferencias_divisas")/AVERAGEIFS('fx-rates'!$C:$C,'fx-rates'!$A:$A,M$1,'fx-rates'!$B:$B,"GBP"),0)+IFERROR(SUMIFS('i-inc'!$C:$C,'i-inc'!$A:$A,M$1,'i-inc'!$B:$B,"diferencias_divisas")/AVERAGEIFS('fx-rates'!$C:$C,'fx-rates'!$A:$A,M$1,'fx-rates'!$B:$B,"USD"),0)</f>
        <v/>
      </c>
      <c r="N35" s="13">
        <f>SUMIFS('i-sl'!$C:$C,'i-sl'!$A:$A,N$1,'i-sl'!$B:$B,"diferencias_divisas")+IFERROR(SUMIFS('i-ltd'!$C:$C,'i-ltd'!$A:$A,N$1,'i-ltd'!$B:$B,"diferencias_divisas")/AVERAGEIFS('fx-rates'!$C:$C,'fx-rates'!$A:$A,N$1,'fx-rates'!$B:$B,"GBP"),0)+IFERROR(SUMIFS('i-inc'!$C:$C,'i-inc'!$A:$A,N$1,'i-inc'!$B:$B,"diferencias_divisas")/AVERAGEIFS('fx-rates'!$C:$C,'fx-rates'!$A:$A,N$1,'fx-rates'!$B:$B,"USD"),0)</f>
        <v/>
      </c>
      <c r="O35" s="13">
        <f>SUMIFS('i-sl'!$C:$C,'i-sl'!$A:$A,O$1,'i-sl'!$B:$B,"diferencias_divisas")+IFERROR(SUMIFS('i-ltd'!$C:$C,'i-ltd'!$A:$A,O$1,'i-ltd'!$B:$B,"diferencias_divisas")/AVERAGEIFS('fx-rates'!$C:$C,'fx-rates'!$A:$A,O$1,'fx-rates'!$B:$B,"GBP"),0)+IFERROR(SUMIFS('i-inc'!$C:$C,'i-inc'!$A:$A,O$1,'i-inc'!$B:$B,"diferencias_divisas")/AVERAGEIFS('fx-rates'!$C:$C,'fx-rates'!$A:$A,O$1,'fx-rates'!$B:$B,"USD"),0)</f>
        <v/>
      </c>
      <c r="P35" s="14">
        <f>SUM(D35:O35)</f>
        <v/>
      </c>
    </row>
    <row r="36" ht="12" customHeight="1">
      <c r="A36" s="18" t="inlineStr">
        <is>
          <t>PROFIT</t>
        </is>
      </c>
      <c r="B36" s="19" t="n"/>
      <c r="C36" s="19" t="n"/>
      <c r="D36" s="20">
        <f>D4-D20-D29-D35</f>
        <v/>
      </c>
      <c r="E36" s="20">
        <f>E4-E20-E29-E35</f>
        <v/>
      </c>
      <c r="F36" s="20">
        <f>F4-F20-F29-F35</f>
        <v/>
      </c>
      <c r="G36" s="20">
        <f>G4-G20-G29-G35</f>
        <v/>
      </c>
      <c r="H36" s="20">
        <f>H4-H20-H29-H35</f>
        <v/>
      </c>
      <c r="I36" s="20">
        <f>I4-I20-I29-I35</f>
        <v/>
      </c>
      <c r="J36" s="20">
        <f>J4-J20-J29-J35</f>
        <v/>
      </c>
      <c r="K36" s="20">
        <f>K4-K20-K29-K35</f>
        <v/>
      </c>
      <c r="L36" s="20">
        <f>L4-L20-L29-L35</f>
        <v/>
      </c>
      <c r="M36" s="20">
        <f>M4-M20-M29-M35</f>
        <v/>
      </c>
      <c r="N36" s="20">
        <f>N4-N20-N29-N35</f>
        <v/>
      </c>
      <c r="O36" s="20">
        <f>O4-O20-O29-O35</f>
        <v/>
      </c>
      <c r="P36" s="7">
        <f>SUM(D36:O36)</f>
        <v/>
      </c>
    </row>
    <row r="37" ht="12" customHeight="1">
      <c r="A37" s="21" t="inlineStr">
        <is>
          <t>% profit / product sales</t>
        </is>
      </c>
      <c r="B37" s="19" t="n"/>
      <c r="C37" s="19" t="n"/>
      <c r="D37" s="22">
        <f>IFERROR(D36/D5,0)</f>
        <v/>
      </c>
      <c r="E37" s="22">
        <f>IFERROR(E36/E5,0)</f>
        <v/>
      </c>
      <c r="F37" s="22">
        <f>IFERROR(F36/F5,0)</f>
        <v/>
      </c>
      <c r="G37" s="22">
        <f>IFERROR(G36/G5,0)</f>
        <v/>
      </c>
      <c r="H37" s="22">
        <f>IFERROR(H36/H5,0)</f>
        <v/>
      </c>
      <c r="I37" s="22">
        <f>IFERROR(I36/I5,0)</f>
        <v/>
      </c>
      <c r="J37" s="22">
        <f>IFERROR(J36/J5,0)</f>
        <v/>
      </c>
      <c r="K37" s="22">
        <f>IFERROR(K36/K5,0)</f>
        <v/>
      </c>
      <c r="L37" s="22">
        <f>IFERROR(L36/L5,0)</f>
        <v/>
      </c>
      <c r="M37" s="22">
        <f>IFERROR(M36/M5,0)</f>
        <v/>
      </c>
      <c r="N37" s="22">
        <f>IFERROR(N36/N5,0)</f>
        <v/>
      </c>
      <c r="O37" s="22">
        <f>IFERROR(O36/O5,0)</f>
        <v/>
      </c>
      <c r="P37" s="23">
        <f>IFERROR(P36/P5,0)</f>
        <v/>
      </c>
    </row>
  </sheetData>
  <mergeCells count="2"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12" customHeight="1">
      <c r="A1" s="24" t="inlineStr">
        <is>
          <t>yyyymm</t>
        </is>
      </c>
      <c r="B1" s="24" t="inlineStr">
        <is>
          <t>line_key</t>
        </is>
      </c>
      <c r="C1" s="24" t="inlineStr">
        <is>
          <t>amount_eur</t>
        </is>
      </c>
    </row>
    <row r="2" ht="12" customHeight="1">
      <c r="A2" t="inlineStr">
        <is>
          <t>202601</t>
        </is>
      </c>
      <c r="B2" t="inlineStr">
        <is>
          <t>administration</t>
        </is>
      </c>
      <c r="C2" s="25" t="n">
        <v>2673</v>
      </c>
    </row>
    <row r="3" ht="12" customHeight="1">
      <c r="A3" t="inlineStr">
        <is>
          <t>202601</t>
        </is>
      </c>
      <c r="B3" t="inlineStr">
        <is>
          <t>diferencias_divisas</t>
        </is>
      </c>
      <c r="C3" s="25" t="n">
        <v>-132.9</v>
      </c>
    </row>
    <row r="4" ht="12" customHeight="1">
      <c r="A4" t="inlineStr">
        <is>
          <t>202601</t>
        </is>
      </c>
      <c r="B4" t="inlineStr">
        <is>
          <t>logistics</t>
        </is>
      </c>
      <c r="C4" s="25" t="n">
        <v>17203.81</v>
      </c>
    </row>
    <row r="5" ht="12" customHeight="1">
      <c r="A5" t="inlineStr">
        <is>
          <t>202601</t>
        </is>
      </c>
      <c r="B5" t="inlineStr">
        <is>
          <t>manufacturing</t>
        </is>
      </c>
      <c r="C5" s="25" t="n">
        <v>56636.72</v>
      </c>
    </row>
    <row r="6" ht="12" customHeight="1">
      <c r="A6" t="inlineStr">
        <is>
          <t>202601</t>
        </is>
      </c>
      <c r="B6" t="inlineStr">
        <is>
          <t>marketing</t>
        </is>
      </c>
      <c r="C6" s="25" t="n">
        <v>54648.52</v>
      </c>
    </row>
    <row r="7" ht="12" customHeight="1">
      <c r="A7" t="inlineStr">
        <is>
          <t>202601</t>
        </is>
      </c>
      <c r="B7" t="inlineStr">
        <is>
          <t>marketplaces</t>
        </is>
      </c>
      <c r="C7" s="25" t="n">
        <v>1419.7</v>
      </c>
    </row>
    <row r="8" ht="12" customHeight="1">
      <c r="A8" t="inlineStr">
        <is>
          <t>202601</t>
        </is>
      </c>
      <c r="B8" t="inlineStr">
        <is>
          <t>otros_gastos</t>
        </is>
      </c>
      <c r="C8" s="25" t="n">
        <v>411.87</v>
      </c>
    </row>
    <row r="9" ht="12" customHeight="1">
      <c r="A9" t="inlineStr">
        <is>
          <t>202601</t>
        </is>
      </c>
      <c r="B9" t="inlineStr">
        <is>
          <t>otros_ingresos</t>
        </is>
      </c>
      <c r="C9" s="25" t="n">
        <v>3586.77</v>
      </c>
    </row>
    <row r="10" ht="12" customHeight="1">
      <c r="A10" t="inlineStr">
        <is>
          <t>202601</t>
        </is>
      </c>
      <c r="B10" t="inlineStr">
        <is>
          <t>payment_fees</t>
        </is>
      </c>
      <c r="C10" s="25" t="n">
        <v>4006.6</v>
      </c>
    </row>
    <row r="11" ht="12" customHeight="1">
      <c r="A11" t="inlineStr">
        <is>
          <t>202601</t>
        </is>
      </c>
      <c r="B11" t="inlineStr">
        <is>
          <t>rappels</t>
        </is>
      </c>
      <c r="C11" s="25" t="n">
        <v>-1118.95</v>
      </c>
    </row>
    <row r="12" ht="12" customHeight="1">
      <c r="A12" t="inlineStr">
        <is>
          <t>202601</t>
        </is>
      </c>
      <c r="B12" t="inlineStr">
        <is>
          <t>royalties</t>
        </is>
      </c>
      <c r="C12" s="25" t="n">
        <v>13737</v>
      </c>
    </row>
    <row r="13" ht="12" customHeight="1">
      <c r="A13" t="inlineStr">
        <is>
          <t>202601</t>
        </is>
      </c>
      <c r="B13" t="inlineStr">
        <is>
          <t>services_ext</t>
        </is>
      </c>
      <c r="C13" s="25" t="n">
        <v>1191.18</v>
      </c>
    </row>
    <row r="14" ht="12" customHeight="1">
      <c r="A14" t="inlineStr">
        <is>
          <t>202601</t>
        </is>
      </c>
      <c r="B14" t="inlineStr">
        <is>
          <t>shopify</t>
        </is>
      </c>
      <c r="C14" s="25" t="n">
        <v>133035.43</v>
      </c>
    </row>
    <row r="15" ht="12" customHeight="1">
      <c r="A15" t="inlineStr">
        <is>
          <t>202601</t>
        </is>
      </c>
      <c r="B15" t="inlineStr">
        <is>
          <t>shopify_at</t>
        </is>
      </c>
      <c r="C15" s="25" t="n">
        <v>5482.24</v>
      </c>
    </row>
    <row r="16" ht="12" customHeight="1">
      <c r="A16" t="inlineStr">
        <is>
          <t>202601</t>
        </is>
      </c>
      <c r="B16" t="inlineStr">
        <is>
          <t>shopify_be</t>
        </is>
      </c>
      <c r="C16" s="25" t="n">
        <v>422.71</v>
      </c>
    </row>
    <row r="17" ht="12" customHeight="1">
      <c r="A17" t="inlineStr">
        <is>
          <t>202601</t>
        </is>
      </c>
      <c r="B17" t="inlineStr">
        <is>
          <t>shopify_cz</t>
        </is>
      </c>
      <c r="C17" s="25" t="n">
        <v>66.81999999999999</v>
      </c>
    </row>
    <row r="18" ht="12" customHeight="1">
      <c r="A18" t="inlineStr">
        <is>
          <t>202601</t>
        </is>
      </c>
      <c r="B18" t="inlineStr">
        <is>
          <t>shopify_de</t>
        </is>
      </c>
      <c r="C18" s="25" t="n">
        <v>20271.04</v>
      </c>
    </row>
    <row r="19" ht="12" customHeight="1">
      <c r="A19" t="inlineStr">
        <is>
          <t>202601</t>
        </is>
      </c>
      <c r="B19" t="inlineStr">
        <is>
          <t>shopify_es</t>
        </is>
      </c>
      <c r="C19" s="25" t="n">
        <v>61194.43</v>
      </c>
    </row>
    <row r="20" ht="12" customHeight="1">
      <c r="A20" t="inlineStr">
        <is>
          <t>202601</t>
        </is>
      </c>
      <c r="B20" t="inlineStr">
        <is>
          <t>shopify_fr</t>
        </is>
      </c>
      <c r="C20" s="25" t="n">
        <v>25590.34</v>
      </c>
    </row>
    <row r="21" ht="12" customHeight="1">
      <c r="A21" t="inlineStr">
        <is>
          <t>202601</t>
        </is>
      </c>
      <c r="B21" t="inlineStr">
        <is>
          <t>shopify_it</t>
        </is>
      </c>
      <c r="C21" s="25" t="n">
        <v>18538.59</v>
      </c>
    </row>
    <row r="22" ht="12" customHeight="1">
      <c r="A22" t="inlineStr">
        <is>
          <t>202601</t>
        </is>
      </c>
      <c r="B22" t="inlineStr">
        <is>
          <t>shopify_lu</t>
        </is>
      </c>
      <c r="C22" s="25" t="n">
        <v>361.91</v>
      </c>
    </row>
    <row r="23" ht="12" customHeight="1">
      <c r="A23" t="inlineStr">
        <is>
          <t>202601</t>
        </is>
      </c>
      <c r="B23" t="inlineStr">
        <is>
          <t>shopify_nl</t>
        </is>
      </c>
      <c r="C23" s="25" t="n">
        <v>115.58</v>
      </c>
    </row>
    <row r="24" ht="12" customHeight="1">
      <c r="A24" t="inlineStr">
        <is>
          <t>202601</t>
        </is>
      </c>
      <c r="B24" t="inlineStr">
        <is>
          <t>shopify_pt</t>
        </is>
      </c>
      <c r="C24" s="25" t="n">
        <v>729.3099999999999</v>
      </c>
    </row>
    <row r="25" ht="12" customHeight="1">
      <c r="A25" t="inlineStr">
        <is>
          <t>202601</t>
        </is>
      </c>
      <c r="B25" t="inlineStr">
        <is>
          <t>shopify_se</t>
        </is>
      </c>
      <c r="C25" s="25" t="n">
        <v>262.46</v>
      </c>
    </row>
    <row r="26" ht="12" customHeight="1">
      <c r="A26" t="inlineStr">
        <is>
          <t>202601</t>
        </is>
      </c>
      <c r="B26" t="inlineStr">
        <is>
          <t>staff</t>
        </is>
      </c>
      <c r="C26" s="25" t="n">
        <v>14731.84</v>
      </c>
    </row>
    <row r="27" ht="12" customHeight="1">
      <c r="A27" t="inlineStr">
        <is>
          <t>202601</t>
        </is>
      </c>
      <c r="B27" t="inlineStr">
        <is>
          <t>supplies</t>
        </is>
      </c>
      <c r="C27" s="25" t="n">
        <v>-2176.46</v>
      </c>
    </row>
    <row r="28" ht="12" customHeight="1">
      <c r="A28" t="inlineStr">
        <is>
          <t>202601</t>
        </is>
      </c>
      <c r="B28" t="inlineStr">
        <is>
          <t>technology</t>
        </is>
      </c>
      <c r="C28" s="25" t="n">
        <v>4422.09</v>
      </c>
    </row>
    <row r="29" ht="12" customHeight="1">
      <c r="A29" t="inlineStr">
        <is>
          <t>202602</t>
        </is>
      </c>
      <c r="B29" t="inlineStr">
        <is>
          <t>administration</t>
        </is>
      </c>
      <c r="C29" s="25" t="n">
        <v>2812.02</v>
      </c>
    </row>
    <row r="30" ht="12" customHeight="1">
      <c r="A30" t="inlineStr">
        <is>
          <t>202602</t>
        </is>
      </c>
      <c r="B30" t="inlineStr">
        <is>
          <t>diferencias_divisas</t>
        </is>
      </c>
      <c r="C30" s="25" t="n">
        <v>-277.52</v>
      </c>
    </row>
    <row r="31" ht="12" customHeight="1">
      <c r="A31" t="inlineStr">
        <is>
          <t>202602</t>
        </is>
      </c>
      <c r="B31" t="inlineStr">
        <is>
          <t>logistics</t>
        </is>
      </c>
      <c r="C31" s="25" t="n">
        <v>17886.73</v>
      </c>
    </row>
    <row r="32" ht="12" customHeight="1">
      <c r="A32" t="inlineStr">
        <is>
          <t>202602</t>
        </is>
      </c>
      <c r="B32" t="inlineStr">
        <is>
          <t>manufacturing</t>
        </is>
      </c>
      <c r="C32" s="25" t="n">
        <v>63482.91</v>
      </c>
    </row>
    <row r="33" ht="12" customHeight="1">
      <c r="A33" t="inlineStr">
        <is>
          <t>202602</t>
        </is>
      </c>
      <c r="B33" t="inlineStr">
        <is>
          <t>marketing</t>
        </is>
      </c>
      <c r="C33" s="25" t="n">
        <v>47626.1</v>
      </c>
    </row>
    <row r="34" ht="12" customHeight="1">
      <c r="A34" t="inlineStr">
        <is>
          <t>202602</t>
        </is>
      </c>
      <c r="B34" t="inlineStr">
        <is>
          <t>marketplaces</t>
        </is>
      </c>
      <c r="C34" s="25" t="n">
        <v>2875.02</v>
      </c>
    </row>
    <row r="35" ht="12" customHeight="1">
      <c r="A35" t="inlineStr">
        <is>
          <t>202602</t>
        </is>
      </c>
      <c r="B35" t="inlineStr">
        <is>
          <t>otros_gastos</t>
        </is>
      </c>
      <c r="C35" s="25" t="n">
        <v>554.46</v>
      </c>
    </row>
    <row r="36" ht="12" customHeight="1">
      <c r="A36" t="inlineStr">
        <is>
          <t>202602</t>
        </is>
      </c>
      <c r="B36" t="inlineStr">
        <is>
          <t>payment_fees</t>
        </is>
      </c>
      <c r="C36" s="25" t="n">
        <v>3834.74</v>
      </c>
    </row>
    <row r="37" ht="12" customHeight="1">
      <c r="A37" t="inlineStr">
        <is>
          <t>202602</t>
        </is>
      </c>
      <c r="B37" t="inlineStr">
        <is>
          <t>royalties</t>
        </is>
      </c>
      <c r="C37" s="25" t="n">
        <v>16662</v>
      </c>
    </row>
    <row r="38" ht="12" customHeight="1">
      <c r="A38" t="inlineStr">
        <is>
          <t>202602</t>
        </is>
      </c>
      <c r="B38" t="inlineStr">
        <is>
          <t>services_ext</t>
        </is>
      </c>
      <c r="C38" s="25" t="n">
        <v>1191.18</v>
      </c>
    </row>
    <row r="39" ht="12" customHeight="1">
      <c r="A39" t="inlineStr">
        <is>
          <t>202602</t>
        </is>
      </c>
      <c r="B39" t="inlineStr">
        <is>
          <t>shopify</t>
        </is>
      </c>
      <c r="C39" s="25" t="n">
        <v>148756.85</v>
      </c>
    </row>
    <row r="40" ht="12" customHeight="1">
      <c r="A40" t="inlineStr">
        <is>
          <t>202602</t>
        </is>
      </c>
      <c r="B40" t="inlineStr">
        <is>
          <t>shopify_at</t>
        </is>
      </c>
      <c r="C40" s="25" t="n">
        <v>6077.94</v>
      </c>
    </row>
    <row r="41" ht="12" customHeight="1">
      <c r="A41" t="inlineStr">
        <is>
          <t>202602</t>
        </is>
      </c>
      <c r="B41" t="inlineStr">
        <is>
          <t>shopify_be</t>
        </is>
      </c>
      <c r="C41" s="25" t="n">
        <v>998.6799999999999</v>
      </c>
    </row>
    <row r="42" ht="12" customHeight="1">
      <c r="A42" t="inlineStr">
        <is>
          <t>202602</t>
        </is>
      </c>
      <c r="B42" t="inlineStr">
        <is>
          <t>shopify_de</t>
        </is>
      </c>
      <c r="C42" s="25" t="n">
        <v>19196.42</v>
      </c>
    </row>
    <row r="43" ht="12" customHeight="1">
      <c r="A43" t="inlineStr">
        <is>
          <t>202602</t>
        </is>
      </c>
      <c r="B43" t="inlineStr">
        <is>
          <t>shopify_dk</t>
        </is>
      </c>
      <c r="C43" s="25" t="n">
        <v>132.99</v>
      </c>
    </row>
    <row r="44" ht="12" customHeight="1">
      <c r="A44" t="inlineStr">
        <is>
          <t>202602</t>
        </is>
      </c>
      <c r="B44" t="inlineStr">
        <is>
          <t>shopify_es</t>
        </is>
      </c>
      <c r="C44" s="25" t="n">
        <v>73214.47</v>
      </c>
    </row>
    <row r="45" ht="12" customHeight="1">
      <c r="A45" t="inlineStr">
        <is>
          <t>202602</t>
        </is>
      </c>
      <c r="B45" t="inlineStr">
        <is>
          <t>shopify_fr</t>
        </is>
      </c>
      <c r="C45" s="25" t="n">
        <v>27502.63</v>
      </c>
    </row>
    <row r="46" ht="12" customHeight="1">
      <c r="A46" t="inlineStr">
        <is>
          <t>202602</t>
        </is>
      </c>
      <c r="B46" t="inlineStr">
        <is>
          <t>shopify_ie</t>
        </is>
      </c>
      <c r="C46" s="25" t="n">
        <v>81.22</v>
      </c>
    </row>
    <row r="47" ht="12" customHeight="1">
      <c r="A47" t="inlineStr">
        <is>
          <t>202602</t>
        </is>
      </c>
      <c r="B47" t="inlineStr">
        <is>
          <t>shopify_it</t>
        </is>
      </c>
      <c r="C47" s="25" t="n">
        <v>20044.86</v>
      </c>
    </row>
    <row r="48" ht="12" customHeight="1">
      <c r="A48" t="inlineStr">
        <is>
          <t>202602</t>
        </is>
      </c>
      <c r="B48" t="inlineStr">
        <is>
          <t>shopify_lu</t>
        </is>
      </c>
      <c r="C48" s="25" t="n">
        <v>50.27</v>
      </c>
    </row>
    <row r="49" ht="12" customHeight="1">
      <c r="A49" t="inlineStr">
        <is>
          <t>202602</t>
        </is>
      </c>
      <c r="B49" t="inlineStr">
        <is>
          <t>shopify_nl</t>
        </is>
      </c>
      <c r="C49" s="25" t="n">
        <v>175.87</v>
      </c>
    </row>
    <row r="50" ht="12" customHeight="1">
      <c r="A50" t="inlineStr">
        <is>
          <t>202602</t>
        </is>
      </c>
      <c r="B50" t="inlineStr">
        <is>
          <t>shopify_pt</t>
        </is>
      </c>
      <c r="C50" s="25" t="n">
        <v>1281.5</v>
      </c>
    </row>
    <row r="51" ht="12" customHeight="1">
      <c r="A51" t="inlineStr">
        <is>
          <t>202602</t>
        </is>
      </c>
      <c r="B51" t="inlineStr">
        <is>
          <t>staff</t>
        </is>
      </c>
      <c r="C51" s="25" t="n">
        <v>14915.68</v>
      </c>
    </row>
    <row r="52" ht="12" customHeight="1">
      <c r="A52" t="inlineStr">
        <is>
          <t>202602</t>
        </is>
      </c>
      <c r="B52" t="inlineStr">
        <is>
          <t>supplies</t>
        </is>
      </c>
      <c r="C52" s="25" t="n">
        <v>-522.54</v>
      </c>
    </row>
    <row r="53" ht="12" customHeight="1">
      <c r="A53" t="inlineStr">
        <is>
          <t>202602</t>
        </is>
      </c>
      <c r="B53" t="inlineStr">
        <is>
          <t>technology</t>
        </is>
      </c>
      <c r="C53" s="25" t="n">
        <v>4058.56</v>
      </c>
    </row>
    <row r="54" ht="12" customHeight="1">
      <c r="A54" t="inlineStr">
        <is>
          <t>202603</t>
        </is>
      </c>
      <c r="B54" t="inlineStr">
        <is>
          <t>administration</t>
        </is>
      </c>
      <c r="C54" s="25" t="n">
        <v>2854.46</v>
      </c>
    </row>
    <row r="55" ht="12" customHeight="1">
      <c r="A55" t="inlineStr">
        <is>
          <t>202603</t>
        </is>
      </c>
      <c r="B55" t="inlineStr">
        <is>
          <t>logistics</t>
        </is>
      </c>
      <c r="C55" s="25" t="n">
        <v>16640.32</v>
      </c>
    </row>
    <row r="56" ht="12" customHeight="1">
      <c r="A56" t="inlineStr">
        <is>
          <t>202603</t>
        </is>
      </c>
      <c r="B56" t="inlineStr">
        <is>
          <t>manufacturing</t>
        </is>
      </c>
      <c r="C56" s="25" t="n">
        <v>42712.31</v>
      </c>
    </row>
    <row r="57" ht="12" customHeight="1">
      <c r="A57" t="inlineStr">
        <is>
          <t>202603</t>
        </is>
      </c>
      <c r="B57" t="inlineStr">
        <is>
          <t>marketing</t>
        </is>
      </c>
      <c r="C57" s="25" t="n">
        <v>55581.48</v>
      </c>
    </row>
    <row r="58" ht="12" customHeight="1">
      <c r="A58" t="inlineStr">
        <is>
          <t>202603</t>
        </is>
      </c>
      <c r="B58" t="inlineStr">
        <is>
          <t>marketplaces</t>
        </is>
      </c>
      <c r="C58" s="25" t="n">
        <v>16887.89</v>
      </c>
    </row>
    <row r="59" ht="12" customHeight="1">
      <c r="A59" t="inlineStr">
        <is>
          <t>202603</t>
        </is>
      </c>
      <c r="B59" t="inlineStr">
        <is>
          <t>payment_fees</t>
        </is>
      </c>
      <c r="C59" s="25" t="n">
        <v>4342.56</v>
      </c>
    </row>
    <row r="60" ht="12" customHeight="1">
      <c r="A60" t="inlineStr">
        <is>
          <t>202603</t>
        </is>
      </c>
      <c r="B60" t="inlineStr">
        <is>
          <t>royalties</t>
        </is>
      </c>
      <c r="C60" s="25" t="n">
        <v>14544</v>
      </c>
    </row>
    <row r="61" ht="12" customHeight="1">
      <c r="A61" t="inlineStr">
        <is>
          <t>202603</t>
        </is>
      </c>
      <c r="B61" t="inlineStr">
        <is>
          <t>services_ext</t>
        </is>
      </c>
      <c r="C61" s="25" t="n">
        <v>595.59</v>
      </c>
    </row>
    <row r="62" ht="12" customHeight="1">
      <c r="A62" t="inlineStr">
        <is>
          <t>202603</t>
        </is>
      </c>
      <c r="B62" t="inlineStr">
        <is>
          <t>shopify</t>
        </is>
      </c>
      <c r="C62" s="25" t="n">
        <v>153156.89</v>
      </c>
    </row>
    <row r="63" ht="12" customHeight="1">
      <c r="A63" t="inlineStr">
        <is>
          <t>202603</t>
        </is>
      </c>
      <c r="B63" t="inlineStr">
        <is>
          <t>shopify_at</t>
        </is>
      </c>
      <c r="C63" s="25" t="n">
        <v>5428.11</v>
      </c>
    </row>
    <row r="64" ht="12" customHeight="1">
      <c r="A64" t="inlineStr">
        <is>
          <t>202603</t>
        </is>
      </c>
      <c r="B64" t="inlineStr">
        <is>
          <t>shopify_be</t>
        </is>
      </c>
      <c r="C64" s="25" t="n">
        <v>26.36</v>
      </c>
    </row>
    <row r="65" ht="12" customHeight="1">
      <c r="A65" t="inlineStr">
        <is>
          <t>202603</t>
        </is>
      </c>
      <c r="B65" t="inlineStr">
        <is>
          <t>shopify_de</t>
        </is>
      </c>
      <c r="C65" s="25" t="n">
        <v>24871.75</v>
      </c>
    </row>
    <row r="66" ht="12" customHeight="1">
      <c r="A66" t="inlineStr">
        <is>
          <t>202603</t>
        </is>
      </c>
      <c r="B66" t="inlineStr">
        <is>
          <t>shopify_es</t>
        </is>
      </c>
      <c r="C66" s="25" t="n">
        <v>70845.74000000001</v>
      </c>
    </row>
    <row r="67" ht="12" customHeight="1">
      <c r="A67" t="inlineStr">
        <is>
          <t>202603</t>
        </is>
      </c>
      <c r="B67" t="inlineStr">
        <is>
          <t>shopify_fr</t>
        </is>
      </c>
      <c r="C67" s="25" t="n">
        <v>31270.44</v>
      </c>
    </row>
    <row r="68" ht="12" customHeight="1">
      <c r="A68" t="inlineStr">
        <is>
          <t>202603</t>
        </is>
      </c>
      <c r="B68" t="inlineStr">
        <is>
          <t>shopify_ie</t>
        </is>
      </c>
      <c r="C68" s="25" t="n">
        <v>95.84999999999999</v>
      </c>
    </row>
    <row r="69" ht="12" customHeight="1">
      <c r="A69" t="inlineStr">
        <is>
          <t>202603</t>
        </is>
      </c>
      <c r="B69" t="inlineStr">
        <is>
          <t>shopify_it</t>
        </is>
      </c>
      <c r="C69" s="25" t="n">
        <v>20258.56</v>
      </c>
    </row>
    <row r="70" ht="12" customHeight="1">
      <c r="A70" t="inlineStr">
        <is>
          <t>202603</t>
        </is>
      </c>
      <c r="B70" t="inlineStr">
        <is>
          <t>shopify_lu</t>
        </is>
      </c>
      <c r="C70" s="25" t="n">
        <v>227.22</v>
      </c>
    </row>
    <row r="71" ht="12" customHeight="1">
      <c r="A71" t="inlineStr">
        <is>
          <t>202603</t>
        </is>
      </c>
      <c r="B71" t="inlineStr">
        <is>
          <t>shopify_nl</t>
        </is>
      </c>
      <c r="C71" s="25" t="n">
        <v>132.86</v>
      </c>
    </row>
    <row r="72" ht="12" customHeight="1">
      <c r="A72" t="inlineStr">
        <is>
          <t>202603</t>
        </is>
      </c>
      <c r="B72" t="inlineStr">
        <is>
          <t>staff</t>
        </is>
      </c>
      <c r="C72" s="25" t="n">
        <v>15349.42</v>
      </c>
    </row>
    <row r="73" ht="12" customHeight="1">
      <c r="A73" t="inlineStr">
        <is>
          <t>202603</t>
        </is>
      </c>
      <c r="B73" t="inlineStr">
        <is>
          <t>supplies</t>
        </is>
      </c>
      <c r="C73" s="25" t="n">
        <v>-585.21</v>
      </c>
    </row>
    <row r="74" ht="12" customHeight="1">
      <c r="A74" t="inlineStr">
        <is>
          <t>202603</t>
        </is>
      </c>
      <c r="B74" t="inlineStr">
        <is>
          <t>technology</t>
        </is>
      </c>
      <c r="C74" s="25" t="n">
        <v>5323.32</v>
      </c>
    </row>
    <row r="75" ht="12" customHeight="1">
      <c r="A75" t="inlineStr">
        <is>
          <t>202604</t>
        </is>
      </c>
      <c r="B75" t="inlineStr">
        <is>
          <t>administration</t>
        </is>
      </c>
      <c r="C75" s="25" t="n">
        <v>1178.08</v>
      </c>
    </row>
    <row r="76" ht="12" customHeight="1">
      <c r="A76" t="inlineStr">
        <is>
          <t>202604</t>
        </is>
      </c>
      <c r="B76" t="inlineStr">
        <is>
          <t>diferencias_divisas</t>
        </is>
      </c>
      <c r="C76" s="25" t="n">
        <v>140.18</v>
      </c>
    </row>
    <row r="77" ht="12" customHeight="1">
      <c r="A77" t="inlineStr">
        <is>
          <t>202604</t>
        </is>
      </c>
      <c r="B77" t="inlineStr">
        <is>
          <t>logistics</t>
        </is>
      </c>
      <c r="C77" s="25" t="n">
        <v>16518.07</v>
      </c>
    </row>
    <row r="78" ht="12" customHeight="1">
      <c r="A78" t="inlineStr">
        <is>
          <t>202604</t>
        </is>
      </c>
      <c r="B78" t="inlineStr">
        <is>
          <t>manufacturing</t>
        </is>
      </c>
      <c r="C78" s="25" t="n">
        <v>54733.64</v>
      </c>
    </row>
    <row r="79" ht="12" customHeight="1">
      <c r="A79" t="inlineStr">
        <is>
          <t>202604</t>
        </is>
      </c>
      <c r="B79" t="inlineStr">
        <is>
          <t>marketing</t>
        </is>
      </c>
      <c r="C79" s="25" t="n">
        <v>49203.02</v>
      </c>
    </row>
    <row r="80" ht="12" customHeight="1">
      <c r="A80" t="inlineStr">
        <is>
          <t>202604</t>
        </is>
      </c>
      <c r="B80" t="inlineStr">
        <is>
          <t>marketplaces</t>
        </is>
      </c>
      <c r="C80" s="25" t="n">
        <v>1683.63</v>
      </c>
    </row>
    <row r="81" ht="12" customHeight="1">
      <c r="A81" t="inlineStr">
        <is>
          <t>202604</t>
        </is>
      </c>
      <c r="B81" t="inlineStr">
        <is>
          <t>otros_gastos</t>
        </is>
      </c>
      <c r="C81" s="25" t="n">
        <v>935.45</v>
      </c>
    </row>
    <row r="82" ht="12" customHeight="1">
      <c r="A82" t="inlineStr">
        <is>
          <t>202604</t>
        </is>
      </c>
      <c r="B82" t="inlineStr">
        <is>
          <t>otros_ingresos</t>
        </is>
      </c>
      <c r="C82" s="25" t="n">
        <v>67.09999999999999</v>
      </c>
    </row>
    <row r="83" ht="12" customHeight="1">
      <c r="A83" t="inlineStr">
        <is>
          <t>202604</t>
        </is>
      </c>
      <c r="B83" t="inlineStr">
        <is>
          <t>payment_fees</t>
        </is>
      </c>
      <c r="C83" s="25" t="n">
        <v>3797.02</v>
      </c>
    </row>
    <row r="84" ht="12" customHeight="1">
      <c r="A84" t="inlineStr">
        <is>
          <t>202604</t>
        </is>
      </c>
      <c r="B84" t="inlineStr">
        <is>
          <t>royalties</t>
        </is>
      </c>
      <c r="C84" s="25" t="n">
        <v>13605</v>
      </c>
    </row>
    <row r="85" ht="12" customHeight="1">
      <c r="A85" t="inlineStr">
        <is>
          <t>202604</t>
        </is>
      </c>
      <c r="B85" t="inlineStr">
        <is>
          <t>shopify</t>
        </is>
      </c>
      <c r="C85" s="25" t="n">
        <v>143535.6</v>
      </c>
    </row>
    <row r="86" ht="12" customHeight="1">
      <c r="A86" t="inlineStr">
        <is>
          <t>202604</t>
        </is>
      </c>
      <c r="B86" t="inlineStr">
        <is>
          <t>shopify_at</t>
        </is>
      </c>
      <c r="C86" s="25" t="n">
        <v>4107.27</v>
      </c>
    </row>
    <row r="87" ht="12" customHeight="1">
      <c r="A87" t="inlineStr">
        <is>
          <t>202604</t>
        </is>
      </c>
      <c r="B87" t="inlineStr">
        <is>
          <t>shopify_be</t>
        </is>
      </c>
      <c r="C87" s="25" t="n">
        <v>159.19</v>
      </c>
    </row>
    <row r="88" ht="12" customHeight="1">
      <c r="A88" t="inlineStr">
        <is>
          <t>202604</t>
        </is>
      </c>
      <c r="B88" t="inlineStr">
        <is>
          <t>shopify_de</t>
        </is>
      </c>
      <c r="C88" s="25" t="n">
        <v>19358.29</v>
      </c>
    </row>
    <row r="89" ht="12" customHeight="1">
      <c r="A89" t="inlineStr">
        <is>
          <t>202604</t>
        </is>
      </c>
      <c r="B89" t="inlineStr">
        <is>
          <t>shopify_dk</t>
        </is>
      </c>
      <c r="C89" s="25" t="n">
        <v>39.92</v>
      </c>
    </row>
    <row r="90" ht="12" customHeight="1">
      <c r="A90" t="inlineStr">
        <is>
          <t>202604</t>
        </is>
      </c>
      <c r="B90" t="inlineStr">
        <is>
          <t>shopify_es</t>
        </is>
      </c>
      <c r="C90" s="25" t="n">
        <v>73553.91</v>
      </c>
    </row>
    <row r="91" ht="12" customHeight="1">
      <c r="A91" t="inlineStr">
        <is>
          <t>202604</t>
        </is>
      </c>
      <c r="B91" t="inlineStr">
        <is>
          <t>shopify_fr</t>
        </is>
      </c>
      <c r="C91" s="25" t="n">
        <v>27181.78</v>
      </c>
    </row>
    <row r="92" ht="12" customHeight="1">
      <c r="A92" t="inlineStr">
        <is>
          <t>202604</t>
        </is>
      </c>
      <c r="B92" t="inlineStr">
        <is>
          <t>shopify_ie</t>
        </is>
      </c>
      <c r="C92" s="25" t="n">
        <v>192.52</v>
      </c>
    </row>
    <row r="93" ht="12" customHeight="1">
      <c r="A93" t="inlineStr">
        <is>
          <t>202604</t>
        </is>
      </c>
      <c r="B93" t="inlineStr">
        <is>
          <t>shopify_it</t>
        </is>
      </c>
      <c r="C93" s="25" t="n">
        <v>18468.95</v>
      </c>
    </row>
    <row r="94" ht="12" customHeight="1">
      <c r="A94" t="inlineStr">
        <is>
          <t>202604</t>
        </is>
      </c>
      <c r="B94" t="inlineStr">
        <is>
          <t>shopify_lu</t>
        </is>
      </c>
      <c r="C94" s="25" t="n">
        <v>404.7</v>
      </c>
    </row>
    <row r="95" ht="12" customHeight="1">
      <c r="A95" t="inlineStr">
        <is>
          <t>202604</t>
        </is>
      </c>
      <c r="B95" t="inlineStr">
        <is>
          <t>shopify_pt</t>
        </is>
      </c>
      <c r="C95" s="25" t="n">
        <v>69.06999999999999</v>
      </c>
    </row>
    <row r="96" ht="12" customHeight="1">
      <c r="A96" t="inlineStr">
        <is>
          <t>202604</t>
        </is>
      </c>
      <c r="B96" t="inlineStr">
        <is>
          <t>staff</t>
        </is>
      </c>
      <c r="C96" s="25" t="n">
        <v>15515.1</v>
      </c>
    </row>
    <row r="97" ht="12" customHeight="1">
      <c r="A97" t="inlineStr">
        <is>
          <t>202604</t>
        </is>
      </c>
      <c r="B97" t="inlineStr">
        <is>
          <t>supplies</t>
        </is>
      </c>
      <c r="C97" s="25" t="n">
        <v>-540.8099999999999</v>
      </c>
    </row>
    <row r="98" ht="12" customHeight="1">
      <c r="A98" t="inlineStr">
        <is>
          <t>202604</t>
        </is>
      </c>
      <c r="B98" t="inlineStr">
        <is>
          <t>technology</t>
        </is>
      </c>
      <c r="C98" s="25" t="n">
        <v>5388.18</v>
      </c>
    </row>
    <row r="99" ht="12" customHeight="1">
      <c r="A99" t="inlineStr">
        <is>
          <t>202605</t>
        </is>
      </c>
      <c r="B99" t="inlineStr">
        <is>
          <t>administration</t>
        </is>
      </c>
      <c r="C99" s="25" t="n">
        <v>1083.38</v>
      </c>
    </row>
    <row r="100" ht="12" customHeight="1">
      <c r="A100" t="inlineStr">
        <is>
          <t>202605</t>
        </is>
      </c>
      <c r="B100" t="inlineStr">
        <is>
          <t>logistics</t>
        </is>
      </c>
      <c r="C100" s="25" t="n">
        <v>16680.21</v>
      </c>
    </row>
    <row r="101" ht="12" customHeight="1">
      <c r="A101" t="inlineStr">
        <is>
          <t>202605</t>
        </is>
      </c>
      <c r="B101" t="inlineStr">
        <is>
          <t>manufacturing</t>
        </is>
      </c>
      <c r="C101" s="25" t="n">
        <v>50365.6</v>
      </c>
    </row>
    <row r="102" ht="12" customHeight="1">
      <c r="A102" t="inlineStr">
        <is>
          <t>202605</t>
        </is>
      </c>
      <c r="B102" t="inlineStr">
        <is>
          <t>marketing</t>
        </is>
      </c>
      <c r="C102" s="25" t="n">
        <v>48654.25</v>
      </c>
    </row>
    <row r="103" ht="12" customHeight="1">
      <c r="A103" t="inlineStr">
        <is>
          <t>202605</t>
        </is>
      </c>
      <c r="B103" t="inlineStr">
        <is>
          <t>marketplaces</t>
        </is>
      </c>
      <c r="C103" s="25" t="n">
        <v>-42.49</v>
      </c>
    </row>
    <row r="104" ht="12" customHeight="1">
      <c r="A104" t="inlineStr">
        <is>
          <t>202605</t>
        </is>
      </c>
      <c r="B104" t="inlineStr">
        <is>
          <t>payment_fees</t>
        </is>
      </c>
      <c r="C104" s="25" t="n">
        <v>3753.11</v>
      </c>
    </row>
    <row r="105" ht="12" customHeight="1">
      <c r="A105" t="inlineStr">
        <is>
          <t>202605</t>
        </is>
      </c>
      <c r="B105" t="inlineStr">
        <is>
          <t>royalties</t>
        </is>
      </c>
      <c r="C105" s="25" t="n">
        <v>13698</v>
      </c>
    </row>
    <row r="106" ht="12" customHeight="1">
      <c r="A106" t="inlineStr">
        <is>
          <t>202605</t>
        </is>
      </c>
      <c r="B106" t="inlineStr">
        <is>
          <t>shopify</t>
        </is>
      </c>
      <c r="C106" s="25" t="n">
        <v>138924.57</v>
      </c>
    </row>
    <row r="107" ht="12" customHeight="1">
      <c r="A107" t="inlineStr">
        <is>
          <t>202605</t>
        </is>
      </c>
      <c r="B107" t="inlineStr">
        <is>
          <t>shopify_at</t>
        </is>
      </c>
      <c r="C107" s="25" t="n">
        <v>5463.67</v>
      </c>
    </row>
    <row r="108" ht="12" customHeight="1">
      <c r="A108" t="inlineStr">
        <is>
          <t>202605</t>
        </is>
      </c>
      <c r="B108" t="inlineStr">
        <is>
          <t>shopify_be</t>
        </is>
      </c>
      <c r="C108" s="25" t="n">
        <v>170.59</v>
      </c>
    </row>
    <row r="109" ht="12" customHeight="1">
      <c r="A109" t="inlineStr">
        <is>
          <t>202605</t>
        </is>
      </c>
      <c r="B109" t="inlineStr">
        <is>
          <t>shopify_de</t>
        </is>
      </c>
      <c r="C109" s="25" t="n">
        <v>16788.44</v>
      </c>
    </row>
    <row r="110" ht="12" customHeight="1">
      <c r="A110" t="inlineStr">
        <is>
          <t>202605</t>
        </is>
      </c>
      <c r="B110" t="inlineStr">
        <is>
          <t>shopify_dk</t>
        </is>
      </c>
      <c r="C110" s="25" t="n">
        <v>86.3</v>
      </c>
    </row>
    <row r="111" ht="12" customHeight="1">
      <c r="A111" t="inlineStr">
        <is>
          <t>202605</t>
        </is>
      </c>
      <c r="B111" t="inlineStr">
        <is>
          <t>shopify_es</t>
        </is>
      </c>
      <c r="C111" s="25" t="n">
        <v>71605.42999999999</v>
      </c>
    </row>
    <row r="112" ht="12" customHeight="1">
      <c r="A112" t="inlineStr">
        <is>
          <t>202605</t>
        </is>
      </c>
      <c r="B112" t="inlineStr">
        <is>
          <t>shopify_fr</t>
        </is>
      </c>
      <c r="C112" s="25" t="n">
        <v>26689.09</v>
      </c>
    </row>
    <row r="113" ht="12" customHeight="1">
      <c r="A113" t="inlineStr">
        <is>
          <t>202605</t>
        </is>
      </c>
      <c r="B113" t="inlineStr">
        <is>
          <t>shopify_ie</t>
        </is>
      </c>
      <c r="C113" s="25" t="n">
        <v>124.32</v>
      </c>
    </row>
    <row r="114" ht="12" customHeight="1">
      <c r="A114" t="inlineStr">
        <is>
          <t>202605</t>
        </is>
      </c>
      <c r="B114" t="inlineStr">
        <is>
          <t>shopify_it</t>
        </is>
      </c>
      <c r="C114" s="25" t="n">
        <v>17210.15</v>
      </c>
    </row>
    <row r="115" ht="12" customHeight="1">
      <c r="A115" t="inlineStr">
        <is>
          <t>202605</t>
        </is>
      </c>
      <c r="B115" t="inlineStr">
        <is>
          <t>shopify_nl</t>
        </is>
      </c>
      <c r="C115" s="25" t="n">
        <v>345</v>
      </c>
    </row>
    <row r="116" ht="12" customHeight="1">
      <c r="A116" t="inlineStr">
        <is>
          <t>202605</t>
        </is>
      </c>
      <c r="B116" t="inlineStr">
        <is>
          <t>shopify_pt</t>
        </is>
      </c>
      <c r="C116" s="25" t="n">
        <v>77.26000000000001</v>
      </c>
    </row>
    <row r="117" ht="12" customHeight="1">
      <c r="A117" t="inlineStr">
        <is>
          <t>202605</t>
        </is>
      </c>
      <c r="B117" t="inlineStr">
        <is>
          <t>shopify_se</t>
        </is>
      </c>
      <c r="C117" s="25" t="n">
        <v>364.32</v>
      </c>
    </row>
    <row r="118" ht="12" customHeight="1">
      <c r="A118" t="inlineStr">
        <is>
          <t>202605</t>
        </is>
      </c>
      <c r="B118" t="inlineStr">
        <is>
          <t>staff</t>
        </is>
      </c>
      <c r="C118" s="25" t="n">
        <v>15515.1</v>
      </c>
    </row>
    <row r="119" ht="12" customHeight="1">
      <c r="A119" t="inlineStr">
        <is>
          <t>202605</t>
        </is>
      </c>
      <c r="B119" t="inlineStr">
        <is>
          <t>technology</t>
        </is>
      </c>
      <c r="C119" s="25" t="n">
        <v>5671.14</v>
      </c>
    </row>
    <row r="120" ht="12" customHeight="1">
      <c r="A120" t="inlineStr">
        <is>
          <t>202606</t>
        </is>
      </c>
      <c r="B120" t="inlineStr">
        <is>
          <t>administration</t>
        </is>
      </c>
      <c r="C120" s="25" t="n">
        <v>1460.25</v>
      </c>
    </row>
    <row r="121" ht="12" customHeight="1">
      <c r="A121" t="inlineStr">
        <is>
          <t>202606</t>
        </is>
      </c>
      <c r="B121" t="inlineStr">
        <is>
          <t>diferencias_divisas</t>
        </is>
      </c>
      <c r="C121" s="25" t="n">
        <v>261.71</v>
      </c>
    </row>
    <row r="122" ht="12" customHeight="1">
      <c r="A122" t="inlineStr">
        <is>
          <t>202606</t>
        </is>
      </c>
      <c r="B122" t="inlineStr">
        <is>
          <t>logistics</t>
        </is>
      </c>
      <c r="C122" s="25" t="n">
        <v>14343.89</v>
      </c>
    </row>
    <row r="123" ht="12" customHeight="1">
      <c r="A123" t="inlineStr">
        <is>
          <t>202606</t>
        </is>
      </c>
      <c r="B123" t="inlineStr">
        <is>
          <t>manufacturing</t>
        </is>
      </c>
      <c r="C123" s="25" t="n">
        <v>43073.99</v>
      </c>
    </row>
    <row r="124" ht="12" customHeight="1">
      <c r="A124" t="inlineStr">
        <is>
          <t>202606</t>
        </is>
      </c>
      <c r="B124" t="inlineStr">
        <is>
          <t>marketing</t>
        </is>
      </c>
      <c r="C124" s="25" t="n">
        <v>46014.43</v>
      </c>
    </row>
    <row r="125" ht="12" customHeight="1">
      <c r="A125" t="inlineStr">
        <is>
          <t>202606</t>
        </is>
      </c>
      <c r="B125" t="inlineStr">
        <is>
          <t>marketplaces</t>
        </is>
      </c>
      <c r="C125" s="25" t="n">
        <v>8690.639999999999</v>
      </c>
    </row>
    <row r="126" ht="12" customHeight="1">
      <c r="A126" t="inlineStr">
        <is>
          <t>202606</t>
        </is>
      </c>
      <c r="B126" t="inlineStr">
        <is>
          <t>otros_gastos</t>
        </is>
      </c>
      <c r="C126" s="25" t="n">
        <v>240.24</v>
      </c>
    </row>
    <row r="127" ht="12" customHeight="1">
      <c r="A127" t="inlineStr">
        <is>
          <t>202606</t>
        </is>
      </c>
      <c r="B127" t="inlineStr">
        <is>
          <t>otros_ingresos</t>
        </is>
      </c>
      <c r="C127" s="25" t="n">
        <v>0.01</v>
      </c>
    </row>
    <row r="128" ht="12" customHeight="1">
      <c r="A128" t="inlineStr">
        <is>
          <t>202606</t>
        </is>
      </c>
      <c r="B128" t="inlineStr">
        <is>
          <t>payment_fees</t>
        </is>
      </c>
      <c r="C128" s="25" t="n">
        <v>3253.12</v>
      </c>
    </row>
    <row r="129" ht="12" customHeight="1">
      <c r="A129" t="inlineStr">
        <is>
          <t>202606</t>
        </is>
      </c>
      <c r="B129" t="inlineStr">
        <is>
          <t>royalties</t>
        </is>
      </c>
      <c r="C129" s="25" t="n">
        <v>11562</v>
      </c>
    </row>
    <row r="130" ht="12" customHeight="1">
      <c r="A130" t="inlineStr">
        <is>
          <t>202606</t>
        </is>
      </c>
      <c r="B130" t="inlineStr">
        <is>
          <t>shopify</t>
        </is>
      </c>
      <c r="C130" s="25" t="n">
        <v>123462.53</v>
      </c>
    </row>
    <row r="131" ht="12" customHeight="1">
      <c r="A131" t="inlineStr">
        <is>
          <t>202606</t>
        </is>
      </c>
      <c r="B131" t="inlineStr">
        <is>
          <t>shopify_at</t>
        </is>
      </c>
      <c r="C131" s="25" t="n">
        <v>3590.9</v>
      </c>
    </row>
    <row r="132" ht="12" customHeight="1">
      <c r="A132" t="inlineStr">
        <is>
          <t>202606</t>
        </is>
      </c>
      <c r="B132" t="inlineStr">
        <is>
          <t>shopify_be</t>
        </is>
      </c>
      <c r="C132" s="25" t="n">
        <v>262.56</v>
      </c>
    </row>
    <row r="133" ht="12" customHeight="1">
      <c r="A133" t="inlineStr">
        <is>
          <t>202606</t>
        </is>
      </c>
      <c r="B133" t="inlineStr">
        <is>
          <t>shopify_cz</t>
        </is>
      </c>
      <c r="C133" s="25" t="n">
        <v>21.52</v>
      </c>
    </row>
    <row r="134" ht="12" customHeight="1">
      <c r="A134" t="inlineStr">
        <is>
          <t>202606</t>
        </is>
      </c>
      <c r="B134" t="inlineStr">
        <is>
          <t>shopify_de</t>
        </is>
      </c>
      <c r="C134" s="25" t="n">
        <v>15261.22</v>
      </c>
    </row>
    <row r="135" ht="12" customHeight="1">
      <c r="A135" t="inlineStr">
        <is>
          <t>202606</t>
        </is>
      </c>
      <c r="B135" t="inlineStr">
        <is>
          <t>shopify_es</t>
        </is>
      </c>
      <c r="C135" s="25" t="n">
        <v>66012.48</v>
      </c>
    </row>
    <row r="136" ht="12" customHeight="1">
      <c r="A136" t="inlineStr">
        <is>
          <t>202606</t>
        </is>
      </c>
      <c r="B136" t="inlineStr">
        <is>
          <t>shopify_fr</t>
        </is>
      </c>
      <c r="C136" s="25" t="n">
        <v>24986.31</v>
      </c>
    </row>
    <row r="137" ht="12" customHeight="1">
      <c r="A137" t="inlineStr">
        <is>
          <t>202606</t>
        </is>
      </c>
      <c r="B137" t="inlineStr">
        <is>
          <t>shopify_ie</t>
        </is>
      </c>
      <c r="C137" s="25" t="n">
        <v>56.74</v>
      </c>
    </row>
    <row r="138" ht="12" customHeight="1">
      <c r="A138" t="inlineStr">
        <is>
          <t>202606</t>
        </is>
      </c>
      <c r="B138" t="inlineStr">
        <is>
          <t>shopify_it</t>
        </is>
      </c>
      <c r="C138" s="25" t="n">
        <v>12418.57</v>
      </c>
    </row>
    <row r="139" ht="12" customHeight="1">
      <c r="A139" t="inlineStr">
        <is>
          <t>202606</t>
        </is>
      </c>
      <c r="B139" t="inlineStr">
        <is>
          <t>shopify_nl</t>
        </is>
      </c>
      <c r="C139" s="25" t="n">
        <v>286.94</v>
      </c>
    </row>
    <row r="140" ht="12" customHeight="1">
      <c r="A140" t="inlineStr">
        <is>
          <t>202606</t>
        </is>
      </c>
      <c r="B140" t="inlineStr">
        <is>
          <t>shopify_pt</t>
        </is>
      </c>
      <c r="C140" s="25" t="n">
        <v>48.92</v>
      </c>
    </row>
    <row r="141" ht="12" customHeight="1">
      <c r="A141" t="inlineStr">
        <is>
          <t>202606</t>
        </is>
      </c>
      <c r="B141" t="inlineStr">
        <is>
          <t>shopify_se</t>
        </is>
      </c>
      <c r="C141" s="25" t="n">
        <v>516.37</v>
      </c>
    </row>
    <row r="142" ht="12" customHeight="1">
      <c r="A142" t="inlineStr">
        <is>
          <t>202606</t>
        </is>
      </c>
      <c r="B142" t="inlineStr">
        <is>
          <t>staff</t>
        </is>
      </c>
      <c r="C142" s="25" t="n">
        <v>15421.77</v>
      </c>
    </row>
    <row r="143" ht="12" customHeight="1">
      <c r="A143" t="inlineStr">
        <is>
          <t>202606</t>
        </is>
      </c>
      <c r="B143" t="inlineStr">
        <is>
          <t>supplies</t>
        </is>
      </c>
      <c r="C143" s="25" t="n">
        <v>-801.46</v>
      </c>
    </row>
    <row r="144" ht="12" customHeight="1">
      <c r="A144" t="inlineStr">
        <is>
          <t>202606</t>
        </is>
      </c>
      <c r="B144" t="inlineStr">
        <is>
          <t>technology</t>
        </is>
      </c>
      <c r="C144" s="25" t="n">
        <v>5677.85</v>
      </c>
    </row>
    <row r="145" ht="12" customHeight="1">
      <c r="A145" t="inlineStr">
        <is>
          <t>202607</t>
        </is>
      </c>
      <c r="B145" t="inlineStr">
        <is>
          <t>administration</t>
        </is>
      </c>
      <c r="C145" s="25" t="n">
        <v>2733.93</v>
      </c>
    </row>
    <row r="146" ht="12" customHeight="1">
      <c r="A146" t="inlineStr">
        <is>
          <t>202607</t>
        </is>
      </c>
      <c r="B146" t="inlineStr">
        <is>
          <t>logistics</t>
        </is>
      </c>
      <c r="C146" s="25" t="n">
        <v>17318.74</v>
      </c>
    </row>
    <row r="147" ht="12" customHeight="1">
      <c r="A147" t="inlineStr">
        <is>
          <t>202607</t>
        </is>
      </c>
      <c r="B147" t="inlineStr">
        <is>
          <t>manufacturing</t>
        </is>
      </c>
      <c r="C147" s="25" t="n">
        <v>55102.78</v>
      </c>
    </row>
    <row r="148" ht="12" customHeight="1">
      <c r="A148" t="inlineStr">
        <is>
          <t>202607</t>
        </is>
      </c>
      <c r="B148" t="inlineStr">
        <is>
          <t>marketing</t>
        </is>
      </c>
      <c r="C148" s="25" t="n">
        <v>59827.31</v>
      </c>
    </row>
    <row r="149" ht="12" customHeight="1">
      <c r="A149" t="inlineStr">
        <is>
          <t>202607</t>
        </is>
      </c>
      <c r="B149" t="inlineStr">
        <is>
          <t>marketplaces</t>
        </is>
      </c>
      <c r="C149" s="25" t="n">
        <v>1314.69</v>
      </c>
    </row>
    <row r="150" ht="12" customHeight="1">
      <c r="A150" t="inlineStr">
        <is>
          <t>202607</t>
        </is>
      </c>
      <c r="B150" t="inlineStr">
        <is>
          <t>payment_fees</t>
        </is>
      </c>
      <c r="C150" s="25" t="n">
        <v>4329.19</v>
      </c>
    </row>
    <row r="151" ht="12" customHeight="1">
      <c r="A151" t="inlineStr">
        <is>
          <t>202607</t>
        </is>
      </c>
      <c r="B151" t="inlineStr">
        <is>
          <t>royalties</t>
        </is>
      </c>
      <c r="C151" s="25" t="n">
        <v>14826</v>
      </c>
    </row>
    <row r="152" ht="12" customHeight="1">
      <c r="A152" t="inlineStr">
        <is>
          <t>202607</t>
        </is>
      </c>
      <c r="B152" t="inlineStr">
        <is>
          <t>shopify</t>
        </is>
      </c>
      <c r="C152" s="25" t="n">
        <v>165237.94</v>
      </c>
    </row>
    <row r="153" ht="12" customHeight="1">
      <c r="A153" t="inlineStr">
        <is>
          <t>202607</t>
        </is>
      </c>
      <c r="B153" t="inlineStr">
        <is>
          <t>shopify_at</t>
        </is>
      </c>
      <c r="C153" s="25" t="n">
        <v>4858.31</v>
      </c>
    </row>
    <row r="154" ht="12" customHeight="1">
      <c r="A154" t="inlineStr">
        <is>
          <t>202607</t>
        </is>
      </c>
      <c r="B154" t="inlineStr">
        <is>
          <t>shopify_be</t>
        </is>
      </c>
      <c r="C154" s="25" t="n">
        <v>4442.82</v>
      </c>
    </row>
    <row r="155" ht="12" customHeight="1">
      <c r="A155" t="inlineStr">
        <is>
          <t>202607</t>
        </is>
      </c>
      <c r="B155" t="inlineStr">
        <is>
          <t>shopify_cz</t>
        </is>
      </c>
      <c r="C155" s="25" t="n">
        <v>975.79</v>
      </c>
    </row>
    <row r="156" ht="12" customHeight="1">
      <c r="A156" t="inlineStr">
        <is>
          <t>202607</t>
        </is>
      </c>
      <c r="B156" t="inlineStr">
        <is>
          <t>shopify_de</t>
        </is>
      </c>
      <c r="C156" s="25" t="n">
        <v>17581.98</v>
      </c>
    </row>
    <row r="157" ht="12" customHeight="1">
      <c r="A157" t="inlineStr">
        <is>
          <t>202607</t>
        </is>
      </c>
      <c r="B157" t="inlineStr">
        <is>
          <t>shopify_dk</t>
        </is>
      </c>
      <c r="C157" s="25" t="n">
        <v>1697.61</v>
      </c>
    </row>
    <row r="158" ht="12" customHeight="1">
      <c r="A158" t="inlineStr">
        <is>
          <t>202607</t>
        </is>
      </c>
      <c r="B158" t="inlineStr">
        <is>
          <t>shopify_es</t>
        </is>
      </c>
      <c r="C158" s="25" t="n">
        <v>75419.2</v>
      </c>
    </row>
    <row r="159" ht="12" customHeight="1">
      <c r="A159" t="inlineStr">
        <is>
          <t>202607</t>
        </is>
      </c>
      <c r="B159" t="inlineStr">
        <is>
          <t>shopify_fr</t>
        </is>
      </c>
      <c r="C159" s="25" t="n">
        <v>30091.81</v>
      </c>
    </row>
    <row r="160" ht="12" customHeight="1">
      <c r="A160" t="inlineStr">
        <is>
          <t>202607</t>
        </is>
      </c>
      <c r="B160" t="inlineStr">
        <is>
          <t>shopify_ie</t>
        </is>
      </c>
      <c r="C160" s="25" t="n">
        <v>142.11</v>
      </c>
    </row>
    <row r="161" ht="12" customHeight="1">
      <c r="A161" t="inlineStr">
        <is>
          <t>202607</t>
        </is>
      </c>
      <c r="B161" t="inlineStr">
        <is>
          <t>shopify_it</t>
        </is>
      </c>
      <c r="C161" s="25" t="n">
        <v>17113.21</v>
      </c>
    </row>
    <row r="162" ht="12" customHeight="1">
      <c r="A162" t="inlineStr">
        <is>
          <t>202607</t>
        </is>
      </c>
      <c r="B162" t="inlineStr">
        <is>
          <t>shopify_lu</t>
        </is>
      </c>
      <c r="C162" s="25" t="n">
        <v>59.79</v>
      </c>
    </row>
    <row r="163" ht="12" customHeight="1">
      <c r="A163" t="inlineStr">
        <is>
          <t>202607</t>
        </is>
      </c>
      <c r="B163" t="inlineStr">
        <is>
          <t>shopify_nl</t>
        </is>
      </c>
      <c r="C163" s="25" t="n">
        <v>3070.58</v>
      </c>
    </row>
    <row r="164" ht="12" customHeight="1">
      <c r="A164" t="inlineStr">
        <is>
          <t>202607</t>
        </is>
      </c>
      <c r="B164" t="inlineStr">
        <is>
          <t>shopify_pl</t>
        </is>
      </c>
      <c r="C164" s="25" t="n">
        <v>4336.45</v>
      </c>
    </row>
    <row r="165" ht="12" customHeight="1">
      <c r="A165" t="inlineStr">
        <is>
          <t>202607</t>
        </is>
      </c>
      <c r="B165" t="inlineStr">
        <is>
          <t>shopify_pt</t>
        </is>
      </c>
      <c r="C165" s="25" t="n">
        <v>3046.3</v>
      </c>
    </row>
    <row r="166" ht="12" customHeight="1">
      <c r="A166" t="inlineStr">
        <is>
          <t>202607</t>
        </is>
      </c>
      <c r="B166" t="inlineStr">
        <is>
          <t>shopify_se</t>
        </is>
      </c>
      <c r="C166" s="25" t="n">
        <v>2401.98</v>
      </c>
    </row>
    <row r="167" ht="12" customHeight="1">
      <c r="A167" t="inlineStr">
        <is>
          <t>202607</t>
        </is>
      </c>
      <c r="B167" t="inlineStr">
        <is>
          <t>staff</t>
        </is>
      </c>
      <c r="C167" s="25" t="n">
        <v>15515.1</v>
      </c>
    </row>
    <row r="168" ht="12" customHeight="1">
      <c r="A168" t="inlineStr">
        <is>
          <t>202607</t>
        </is>
      </c>
      <c r="B168" t="inlineStr">
        <is>
          <t>technology</t>
        </is>
      </c>
      <c r="C168" s="25" t="n">
        <v>5820.83</v>
      </c>
    </row>
    <row r="169" ht="12" customHeight="1">
      <c r="A169" t="inlineStr">
        <is>
          <t>202608</t>
        </is>
      </c>
      <c r="B169" t="inlineStr">
        <is>
          <t>administration</t>
        </is>
      </c>
      <c r="C169" s="25" t="n">
        <v>3591.17</v>
      </c>
    </row>
    <row r="170" ht="12" customHeight="1">
      <c r="A170" t="inlineStr">
        <is>
          <t>202608</t>
        </is>
      </c>
      <c r="B170" t="inlineStr">
        <is>
          <t>logistics</t>
        </is>
      </c>
      <c r="C170" s="25" t="n">
        <v>5945.7</v>
      </c>
    </row>
    <row r="171" ht="12" customHeight="1">
      <c r="A171" t="inlineStr">
        <is>
          <t>202608</t>
        </is>
      </c>
      <c r="B171" t="inlineStr">
        <is>
          <t>manufacturing</t>
        </is>
      </c>
      <c r="C171" s="25" t="n">
        <v>53033.35</v>
      </c>
    </row>
    <row r="172" ht="12" customHeight="1">
      <c r="A172" t="inlineStr">
        <is>
          <t>202608</t>
        </is>
      </c>
      <c r="B172" t="inlineStr">
        <is>
          <t>marketing</t>
        </is>
      </c>
      <c r="C172" s="25" t="n">
        <v>70686.05</v>
      </c>
    </row>
    <row r="173" ht="12" customHeight="1">
      <c r="A173" t="inlineStr">
        <is>
          <t>202608</t>
        </is>
      </c>
      <c r="B173" t="inlineStr">
        <is>
          <t>payment_fees</t>
        </is>
      </c>
      <c r="C173" s="25" t="n">
        <v>5420.92</v>
      </c>
    </row>
    <row r="174" ht="12" customHeight="1">
      <c r="A174" t="inlineStr">
        <is>
          <t>202608</t>
        </is>
      </c>
      <c r="B174" t="inlineStr">
        <is>
          <t>royalties</t>
        </is>
      </c>
      <c r="C174" s="25" t="n">
        <v>17256</v>
      </c>
    </row>
    <row r="175" ht="12" customHeight="1">
      <c r="A175" t="inlineStr">
        <is>
          <t>202608</t>
        </is>
      </c>
      <c r="B175" t="inlineStr">
        <is>
          <t>shopify</t>
        </is>
      </c>
      <c r="C175" s="25" t="n">
        <v>177948.1</v>
      </c>
    </row>
    <row r="176" ht="12" customHeight="1">
      <c r="A176" t="inlineStr">
        <is>
          <t>202608</t>
        </is>
      </c>
      <c r="B176" t="inlineStr">
        <is>
          <t>shopify_at</t>
        </is>
      </c>
      <c r="C176" s="25" t="n">
        <v>5384.02</v>
      </c>
    </row>
    <row r="177" ht="12" customHeight="1">
      <c r="A177" t="inlineStr">
        <is>
          <t>202608</t>
        </is>
      </c>
      <c r="B177" t="inlineStr">
        <is>
          <t>shopify_be</t>
        </is>
      </c>
      <c r="C177" s="25" t="n">
        <v>5783.04</v>
      </c>
    </row>
    <row r="178" ht="12" customHeight="1">
      <c r="A178" t="inlineStr">
        <is>
          <t>202608</t>
        </is>
      </c>
      <c r="B178" t="inlineStr">
        <is>
          <t>shopify_cz</t>
        </is>
      </c>
      <c r="C178" s="25" t="n">
        <v>2748.7</v>
      </c>
    </row>
    <row r="179" ht="12" customHeight="1">
      <c r="A179" t="inlineStr">
        <is>
          <t>202608</t>
        </is>
      </c>
      <c r="B179" t="inlineStr">
        <is>
          <t>shopify_de</t>
        </is>
      </c>
      <c r="C179" s="25" t="n">
        <v>24151.32</v>
      </c>
    </row>
    <row r="180" ht="12" customHeight="1">
      <c r="A180" t="inlineStr">
        <is>
          <t>202608</t>
        </is>
      </c>
      <c r="B180" t="inlineStr">
        <is>
          <t>shopify_dk</t>
        </is>
      </c>
      <c r="C180" s="25" t="n">
        <v>3637.97</v>
      </c>
    </row>
    <row r="181" ht="12" customHeight="1">
      <c r="A181" t="inlineStr">
        <is>
          <t>202608</t>
        </is>
      </c>
      <c r="B181" t="inlineStr">
        <is>
          <t>shopify_es</t>
        </is>
      </c>
      <c r="C181" s="25" t="n">
        <v>65408.07</v>
      </c>
    </row>
    <row r="182" ht="12" customHeight="1">
      <c r="A182" t="inlineStr">
        <is>
          <t>202608</t>
        </is>
      </c>
      <c r="B182" t="inlineStr">
        <is>
          <t>shopify_fr</t>
        </is>
      </c>
      <c r="C182" s="25" t="n">
        <v>31071.53</v>
      </c>
    </row>
    <row r="183" ht="12" customHeight="1">
      <c r="A183" t="inlineStr">
        <is>
          <t>202608</t>
        </is>
      </c>
      <c r="B183" t="inlineStr">
        <is>
          <t>shopify_ie</t>
        </is>
      </c>
      <c r="C183" s="25" t="n">
        <v>122.02</v>
      </c>
    </row>
    <row r="184" ht="12" customHeight="1">
      <c r="A184" t="inlineStr">
        <is>
          <t>202608</t>
        </is>
      </c>
      <c r="B184" t="inlineStr">
        <is>
          <t>shopify_it</t>
        </is>
      </c>
      <c r="C184" s="25" t="n">
        <v>16806.38</v>
      </c>
    </row>
    <row r="185" ht="12" customHeight="1">
      <c r="A185" t="inlineStr">
        <is>
          <t>202608</t>
        </is>
      </c>
      <c r="B185" t="inlineStr">
        <is>
          <t>shopify_lu</t>
        </is>
      </c>
      <c r="C185" s="25" t="n">
        <v>111.84</v>
      </c>
    </row>
    <row r="186" ht="12" customHeight="1">
      <c r="A186" t="inlineStr">
        <is>
          <t>202608</t>
        </is>
      </c>
      <c r="B186" t="inlineStr">
        <is>
          <t>shopify_nl</t>
        </is>
      </c>
      <c r="C186" s="25" t="n">
        <v>6489.92</v>
      </c>
    </row>
    <row r="187" ht="12" customHeight="1">
      <c r="A187" t="inlineStr">
        <is>
          <t>202608</t>
        </is>
      </c>
      <c r="B187" t="inlineStr">
        <is>
          <t>shopify_pl</t>
        </is>
      </c>
      <c r="C187" s="25" t="n">
        <v>7739.27</v>
      </c>
    </row>
    <row r="188" ht="12" customHeight="1">
      <c r="A188" t="inlineStr">
        <is>
          <t>202608</t>
        </is>
      </c>
      <c r="B188" t="inlineStr">
        <is>
          <t>shopify_pt</t>
        </is>
      </c>
      <c r="C188" s="25" t="n">
        <v>4126.93</v>
      </c>
    </row>
    <row r="189" ht="12" customHeight="1">
      <c r="A189" t="inlineStr">
        <is>
          <t>202608</t>
        </is>
      </c>
      <c r="B189" t="inlineStr">
        <is>
          <t>shopify_se</t>
        </is>
      </c>
      <c r="C189" s="25" t="n">
        <v>4367.09</v>
      </c>
    </row>
    <row r="190" ht="12" customHeight="1">
      <c r="A190" t="inlineStr">
        <is>
          <t>202608</t>
        </is>
      </c>
      <c r="B190" t="inlineStr">
        <is>
          <t>staff</t>
        </is>
      </c>
      <c r="C190" s="25" t="n">
        <v>15515.1</v>
      </c>
    </row>
    <row r="191" ht="12" customHeight="1">
      <c r="A191" t="inlineStr">
        <is>
          <t>202608</t>
        </is>
      </c>
      <c r="B191" t="inlineStr">
        <is>
          <t>technology</t>
        </is>
      </c>
      <c r="C191" s="25" t="n">
        <v>5855.58</v>
      </c>
    </row>
    <row r="192" ht="12" customHeight="1">
      <c r="A192" t="inlineStr">
        <is>
          <t>202609</t>
        </is>
      </c>
      <c r="B192" t="inlineStr">
        <is>
          <t>administration</t>
        </is>
      </c>
      <c r="C192" s="25" t="n">
        <v>110</v>
      </c>
    </row>
    <row r="193" ht="12" customHeight="1">
      <c r="A193" t="inlineStr">
        <is>
          <t>202609</t>
        </is>
      </c>
      <c r="B193" t="inlineStr">
        <is>
          <t>payment_fees</t>
        </is>
      </c>
      <c r="C193" s="25" t="n">
        <v>645.91</v>
      </c>
    </row>
    <row r="194" ht="12" customHeight="1">
      <c r="A194" t="inlineStr">
        <is>
          <t>202609</t>
        </is>
      </c>
      <c r="B194" t="inlineStr">
        <is>
          <t>shopify</t>
        </is>
      </c>
      <c r="C194" s="25" t="n">
        <v>20130.13</v>
      </c>
    </row>
    <row r="195" ht="12" customHeight="1">
      <c r="A195" t="inlineStr">
        <is>
          <t>202609</t>
        </is>
      </c>
      <c r="B195" t="inlineStr">
        <is>
          <t>shopify_at</t>
        </is>
      </c>
      <c r="C195" s="25" t="n">
        <v>305.59</v>
      </c>
    </row>
    <row r="196" ht="12" customHeight="1">
      <c r="A196" t="inlineStr">
        <is>
          <t>202609</t>
        </is>
      </c>
      <c r="B196" t="inlineStr">
        <is>
          <t>shopify_be</t>
        </is>
      </c>
      <c r="C196" s="25" t="n">
        <v>379.38</v>
      </c>
    </row>
    <row r="197" ht="12" customHeight="1">
      <c r="A197" t="inlineStr">
        <is>
          <t>202609</t>
        </is>
      </c>
      <c r="B197" t="inlineStr">
        <is>
          <t>shopify_cz</t>
        </is>
      </c>
      <c r="C197" s="25" t="n">
        <v>248.15</v>
      </c>
    </row>
    <row r="198" ht="12" customHeight="1">
      <c r="A198" t="inlineStr">
        <is>
          <t>202609</t>
        </is>
      </c>
      <c r="B198" t="inlineStr">
        <is>
          <t>shopify_de</t>
        </is>
      </c>
      <c r="C198" s="25" t="n">
        <v>1796.77</v>
      </c>
    </row>
    <row r="199" ht="12" customHeight="1">
      <c r="A199" t="inlineStr">
        <is>
          <t>202609</t>
        </is>
      </c>
      <c r="B199" t="inlineStr">
        <is>
          <t>shopify_dk</t>
        </is>
      </c>
      <c r="C199" s="25" t="n">
        <v>369.04</v>
      </c>
    </row>
    <row r="200" ht="12" customHeight="1">
      <c r="A200" t="inlineStr">
        <is>
          <t>202609</t>
        </is>
      </c>
      <c r="B200" t="inlineStr">
        <is>
          <t>shopify_es</t>
        </is>
      </c>
      <c r="C200" s="25" t="n">
        <v>7567.43</v>
      </c>
    </row>
    <row r="201" ht="12" customHeight="1">
      <c r="A201" t="inlineStr">
        <is>
          <t>202609</t>
        </is>
      </c>
      <c r="B201" t="inlineStr">
        <is>
          <t>shopify_fr</t>
        </is>
      </c>
      <c r="C201" s="25" t="n">
        <v>4375.88</v>
      </c>
    </row>
    <row r="202" ht="12" customHeight="1">
      <c r="A202" t="inlineStr">
        <is>
          <t>202609</t>
        </is>
      </c>
      <c r="B202" t="inlineStr">
        <is>
          <t>shopify_it</t>
        </is>
      </c>
      <c r="C202" s="25" t="n">
        <v>1985.8</v>
      </c>
    </row>
    <row r="203" ht="12" customHeight="1">
      <c r="A203" t="inlineStr">
        <is>
          <t>202609</t>
        </is>
      </c>
      <c r="B203" t="inlineStr">
        <is>
          <t>shopify_lu</t>
        </is>
      </c>
      <c r="C203" s="25" t="n">
        <v>71.34999999999999</v>
      </c>
    </row>
    <row r="204" ht="12" customHeight="1">
      <c r="A204" t="inlineStr">
        <is>
          <t>202609</t>
        </is>
      </c>
      <c r="B204" t="inlineStr">
        <is>
          <t>shopify_nl</t>
        </is>
      </c>
      <c r="C204" s="25" t="n">
        <v>1084.32</v>
      </c>
    </row>
    <row r="205" ht="12" customHeight="1">
      <c r="A205" t="inlineStr">
        <is>
          <t>202609</t>
        </is>
      </c>
      <c r="B205" t="inlineStr">
        <is>
          <t>shopify_pl</t>
        </is>
      </c>
      <c r="C205" s="25" t="n">
        <v>705.03</v>
      </c>
    </row>
    <row r="206" ht="12" customHeight="1">
      <c r="A206" t="inlineStr">
        <is>
          <t>202609</t>
        </is>
      </c>
      <c r="B206" t="inlineStr">
        <is>
          <t>shopify_pt</t>
        </is>
      </c>
      <c r="C206" s="25" t="n">
        <v>492</v>
      </c>
    </row>
    <row r="207" ht="12" customHeight="1">
      <c r="A207" t="inlineStr">
        <is>
          <t>202609</t>
        </is>
      </c>
      <c r="B207" t="inlineStr">
        <is>
          <t>shopify_se</t>
        </is>
      </c>
      <c r="C207" s="25" t="n">
        <v>749.39</v>
      </c>
    </row>
    <row r="208" ht="12" customHeight="1">
      <c r="A208" t="inlineStr">
        <is>
          <t>202609</t>
        </is>
      </c>
      <c r="B208" t="inlineStr">
        <is>
          <t>technology</t>
        </is>
      </c>
      <c r="C208" s="25" t="n">
        <v>106.35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12" customHeight="1">
      <c r="A1" s="24" t="inlineStr">
        <is>
          <t>yyyymm</t>
        </is>
      </c>
      <c r="B1" s="24" t="inlineStr">
        <is>
          <t>line_key</t>
        </is>
      </c>
      <c r="C1" s="24" t="inlineStr">
        <is>
          <t>amount_gbp</t>
        </is>
      </c>
    </row>
    <row r="2" ht="12" customHeight="1">
      <c r="A2" t="inlineStr">
        <is>
          <t>202601</t>
        </is>
      </c>
      <c r="B2" t="inlineStr">
        <is>
          <t>administration</t>
        </is>
      </c>
      <c r="C2" s="25" t="n">
        <v>130.17</v>
      </c>
    </row>
    <row r="3" ht="12" customHeight="1">
      <c r="A3" t="inlineStr">
        <is>
          <t>202601</t>
        </is>
      </c>
      <c r="B3" t="inlineStr">
        <is>
          <t>logistics</t>
        </is>
      </c>
      <c r="C3" s="25" t="n">
        <v>1255.05</v>
      </c>
    </row>
    <row r="4" ht="12" customHeight="1">
      <c r="A4" t="inlineStr">
        <is>
          <t>202601</t>
        </is>
      </c>
      <c r="B4" t="inlineStr">
        <is>
          <t>manufacturing</t>
        </is>
      </c>
      <c r="C4" s="25" t="n">
        <v>7985.13</v>
      </c>
    </row>
    <row r="5" ht="12" customHeight="1">
      <c r="A5" t="inlineStr">
        <is>
          <t>202601</t>
        </is>
      </c>
      <c r="B5" t="inlineStr">
        <is>
          <t>payment_fees</t>
        </is>
      </c>
      <c r="C5" s="25" t="n">
        <v>394.29</v>
      </c>
    </row>
    <row r="6" ht="12" customHeight="1">
      <c r="A6" t="inlineStr">
        <is>
          <t>202601</t>
        </is>
      </c>
      <c r="B6" t="inlineStr">
        <is>
          <t>product_sales</t>
        </is>
      </c>
      <c r="C6" s="25" t="n">
        <v>15702.66</v>
      </c>
    </row>
    <row r="7" ht="12" customHeight="1">
      <c r="A7" t="inlineStr">
        <is>
          <t>202601</t>
        </is>
      </c>
      <c r="B7" t="inlineStr">
        <is>
          <t>shopify_gb</t>
        </is>
      </c>
      <c r="C7" s="25" t="n">
        <v>15702.66</v>
      </c>
    </row>
    <row r="8" ht="12" customHeight="1">
      <c r="A8" t="inlineStr">
        <is>
          <t>202602</t>
        </is>
      </c>
      <c r="B8" t="inlineStr">
        <is>
          <t>administration</t>
        </is>
      </c>
      <c r="C8" s="25" t="n">
        <v>185.17</v>
      </c>
    </row>
    <row r="9" ht="12" customHeight="1">
      <c r="A9" t="inlineStr">
        <is>
          <t>202602</t>
        </is>
      </c>
      <c r="B9" t="inlineStr">
        <is>
          <t>logistics</t>
        </is>
      </c>
      <c r="C9" s="25" t="n">
        <v>1670.3</v>
      </c>
    </row>
    <row r="10" ht="12" customHeight="1">
      <c r="A10" t="inlineStr">
        <is>
          <t>202602</t>
        </is>
      </c>
      <c r="B10" t="inlineStr">
        <is>
          <t>manufacturing</t>
        </is>
      </c>
      <c r="C10" s="25" t="n">
        <v>8101.87</v>
      </c>
    </row>
    <row r="11" ht="12" customHeight="1">
      <c r="A11" t="inlineStr">
        <is>
          <t>202602</t>
        </is>
      </c>
      <c r="B11" t="inlineStr">
        <is>
          <t>payment_fees</t>
        </is>
      </c>
      <c r="C11" s="25" t="n">
        <v>488.84</v>
      </c>
    </row>
    <row r="12" ht="12" customHeight="1">
      <c r="A12" t="inlineStr">
        <is>
          <t>202602</t>
        </is>
      </c>
      <c r="B12" t="inlineStr">
        <is>
          <t>product_sales</t>
        </is>
      </c>
      <c r="C12" s="25" t="n">
        <v>19429.25</v>
      </c>
    </row>
    <row r="13" ht="12" customHeight="1">
      <c r="A13" t="inlineStr">
        <is>
          <t>202602</t>
        </is>
      </c>
      <c r="B13" t="inlineStr">
        <is>
          <t>shopify_gb</t>
        </is>
      </c>
      <c r="C13" s="25" t="n">
        <v>19429.25</v>
      </c>
    </row>
    <row r="14" ht="12" customHeight="1">
      <c r="A14" t="inlineStr">
        <is>
          <t>202603</t>
        </is>
      </c>
      <c r="B14" t="inlineStr">
        <is>
          <t>administration</t>
        </is>
      </c>
      <c r="C14" s="25" t="n">
        <v>185.17</v>
      </c>
    </row>
    <row r="15" ht="12" customHeight="1">
      <c r="A15" t="inlineStr">
        <is>
          <t>202603</t>
        </is>
      </c>
      <c r="B15" t="inlineStr">
        <is>
          <t>logistics</t>
        </is>
      </c>
      <c r="C15" s="25" t="n">
        <v>2407.35</v>
      </c>
    </row>
    <row r="16" ht="12" customHeight="1">
      <c r="A16" t="inlineStr">
        <is>
          <t>202603</t>
        </is>
      </c>
      <c r="B16" t="inlineStr">
        <is>
          <t>manufacturing</t>
        </is>
      </c>
      <c r="C16" s="25" t="n">
        <v>10276.8</v>
      </c>
    </row>
    <row r="17" ht="12" customHeight="1">
      <c r="A17" t="inlineStr">
        <is>
          <t>202603</t>
        </is>
      </c>
      <c r="B17" t="inlineStr">
        <is>
          <t>otros_gastos</t>
        </is>
      </c>
      <c r="C17" s="25" t="n">
        <v>14.87</v>
      </c>
    </row>
    <row r="18" ht="12" customHeight="1">
      <c r="A18" t="inlineStr">
        <is>
          <t>202603</t>
        </is>
      </c>
      <c r="B18" t="inlineStr">
        <is>
          <t>payment_fees</t>
        </is>
      </c>
      <c r="C18" s="25" t="n">
        <v>564.5</v>
      </c>
    </row>
    <row r="19" ht="12" customHeight="1">
      <c r="A19" t="inlineStr">
        <is>
          <t>202603</t>
        </is>
      </c>
      <c r="B19" t="inlineStr">
        <is>
          <t>product_sales</t>
        </is>
      </c>
      <c r="C19" s="25" t="n">
        <v>22362.26</v>
      </c>
    </row>
    <row r="20" ht="12" customHeight="1">
      <c r="A20" t="inlineStr">
        <is>
          <t>202603</t>
        </is>
      </c>
      <c r="B20" t="inlineStr">
        <is>
          <t>shopify_gb</t>
        </is>
      </c>
      <c r="C20" s="25" t="n">
        <v>22362.26</v>
      </c>
    </row>
    <row r="21" ht="12" customHeight="1">
      <c r="A21" t="inlineStr">
        <is>
          <t>202603</t>
        </is>
      </c>
      <c r="B21" t="inlineStr">
        <is>
          <t>technology</t>
        </is>
      </c>
      <c r="C21" s="25" t="n">
        <v>141.32</v>
      </c>
    </row>
    <row r="22" ht="12" customHeight="1">
      <c r="A22" t="inlineStr">
        <is>
          <t>202604</t>
        </is>
      </c>
      <c r="B22" t="inlineStr">
        <is>
          <t>administration</t>
        </is>
      </c>
      <c r="C22" s="25" t="n">
        <v>185.17</v>
      </c>
    </row>
    <row r="23" ht="12" customHeight="1">
      <c r="A23" t="inlineStr">
        <is>
          <t>202604</t>
        </is>
      </c>
      <c r="B23" t="inlineStr">
        <is>
          <t>logistics</t>
        </is>
      </c>
      <c r="C23" s="25" t="n">
        <v>1911.85</v>
      </c>
    </row>
    <row r="24" ht="12" customHeight="1">
      <c r="A24" t="inlineStr">
        <is>
          <t>202604</t>
        </is>
      </c>
      <c r="B24" t="inlineStr">
        <is>
          <t>manufacturing</t>
        </is>
      </c>
      <c r="C24" s="25" t="n">
        <v>9462.610000000001</v>
      </c>
    </row>
    <row r="25" ht="12" customHeight="1">
      <c r="A25" t="inlineStr">
        <is>
          <t>202604</t>
        </is>
      </c>
      <c r="B25" t="inlineStr">
        <is>
          <t>payment_fees</t>
        </is>
      </c>
      <c r="C25" s="25" t="n">
        <v>492.78</v>
      </c>
    </row>
    <row r="26" ht="12" customHeight="1">
      <c r="A26" t="inlineStr">
        <is>
          <t>202604</t>
        </is>
      </c>
      <c r="B26" t="inlineStr">
        <is>
          <t>product_sales</t>
        </is>
      </c>
      <c r="C26" s="25" t="n">
        <v>18321.91</v>
      </c>
    </row>
    <row r="27" ht="12" customHeight="1">
      <c r="A27" t="inlineStr">
        <is>
          <t>202604</t>
        </is>
      </c>
      <c r="B27" t="inlineStr">
        <is>
          <t>shopify_gb</t>
        </is>
      </c>
      <c r="C27" s="25" t="n">
        <v>18321.91</v>
      </c>
    </row>
    <row r="28" ht="12" customHeight="1">
      <c r="A28" t="inlineStr">
        <is>
          <t>202604</t>
        </is>
      </c>
      <c r="B28" t="inlineStr">
        <is>
          <t>technology</t>
        </is>
      </c>
      <c r="C28" s="25" t="n">
        <v>70.48999999999999</v>
      </c>
    </row>
    <row r="29" ht="12" customHeight="1">
      <c r="A29" t="inlineStr">
        <is>
          <t>202605</t>
        </is>
      </c>
      <c r="B29" t="inlineStr">
        <is>
          <t>administration</t>
        </is>
      </c>
      <c r="C29" s="25" t="n">
        <v>185.17</v>
      </c>
    </row>
    <row r="30" ht="12" customHeight="1">
      <c r="A30" t="inlineStr">
        <is>
          <t>202605</t>
        </is>
      </c>
      <c r="B30" t="inlineStr">
        <is>
          <t>logistics</t>
        </is>
      </c>
      <c r="C30" s="25" t="n">
        <v>1842.92</v>
      </c>
    </row>
    <row r="31" ht="12" customHeight="1">
      <c r="A31" t="inlineStr">
        <is>
          <t>202605</t>
        </is>
      </c>
      <c r="B31" t="inlineStr">
        <is>
          <t>manufacturing</t>
        </is>
      </c>
      <c r="C31" s="25" t="n">
        <v>9150.040000000001</v>
      </c>
    </row>
    <row r="32" ht="12" customHeight="1">
      <c r="A32" t="inlineStr">
        <is>
          <t>202605</t>
        </is>
      </c>
      <c r="B32" t="inlineStr">
        <is>
          <t>payment_fees</t>
        </is>
      </c>
      <c r="C32" s="25" t="n">
        <v>501.87</v>
      </c>
    </row>
    <row r="33" ht="12" customHeight="1">
      <c r="A33" t="inlineStr">
        <is>
          <t>202605</t>
        </is>
      </c>
      <c r="B33" t="inlineStr">
        <is>
          <t>product_sales</t>
        </is>
      </c>
      <c r="C33" s="25" t="n">
        <v>19784.52</v>
      </c>
    </row>
    <row r="34" ht="12" customHeight="1">
      <c r="A34" t="inlineStr">
        <is>
          <t>202605</t>
        </is>
      </c>
      <c r="B34" t="inlineStr">
        <is>
          <t>shopify_gb</t>
        </is>
      </c>
      <c r="C34" s="25" t="n">
        <v>19784.52</v>
      </c>
    </row>
    <row r="35" ht="12" customHeight="1">
      <c r="A35" t="inlineStr">
        <is>
          <t>202605</t>
        </is>
      </c>
      <c r="B35" t="inlineStr">
        <is>
          <t>technology</t>
        </is>
      </c>
      <c r="C35" s="25" t="n">
        <v>70.56999999999999</v>
      </c>
    </row>
    <row r="36" ht="12" customHeight="1">
      <c r="A36" t="inlineStr">
        <is>
          <t>202606</t>
        </is>
      </c>
      <c r="B36" t="inlineStr">
        <is>
          <t>administration</t>
        </is>
      </c>
      <c r="C36" s="25" t="n">
        <v>185.17</v>
      </c>
    </row>
    <row r="37" ht="12" customHeight="1">
      <c r="A37" t="inlineStr">
        <is>
          <t>202606</t>
        </is>
      </c>
      <c r="B37" t="inlineStr">
        <is>
          <t>logistics</t>
        </is>
      </c>
      <c r="C37" s="25" t="n">
        <v>52</v>
      </c>
    </row>
    <row r="38" ht="12" customHeight="1">
      <c r="A38" t="inlineStr">
        <is>
          <t>202606</t>
        </is>
      </c>
      <c r="B38" t="inlineStr">
        <is>
          <t>manufacturing</t>
        </is>
      </c>
      <c r="C38" s="25" t="n">
        <v>4282.62</v>
      </c>
    </row>
    <row r="39" ht="12" customHeight="1">
      <c r="A39" t="inlineStr">
        <is>
          <t>202606</t>
        </is>
      </c>
      <c r="B39" t="inlineStr">
        <is>
          <t>payment_fees</t>
        </is>
      </c>
      <c r="C39" s="25" t="n">
        <v>501.86</v>
      </c>
    </row>
    <row r="40" ht="12" customHeight="1">
      <c r="A40" t="inlineStr">
        <is>
          <t>202606</t>
        </is>
      </c>
      <c r="B40" t="inlineStr">
        <is>
          <t>product_sales</t>
        </is>
      </c>
      <c r="C40" s="25" t="n">
        <v>20286.92</v>
      </c>
    </row>
    <row r="41" ht="12" customHeight="1">
      <c r="A41" t="inlineStr">
        <is>
          <t>202606</t>
        </is>
      </c>
      <c r="B41" t="inlineStr">
        <is>
          <t>shopify_gb</t>
        </is>
      </c>
      <c r="C41" s="25" t="n">
        <v>20286.92</v>
      </c>
    </row>
    <row r="42" ht="12" customHeight="1">
      <c r="A42" t="inlineStr">
        <is>
          <t>202606</t>
        </is>
      </c>
      <c r="B42" t="inlineStr">
        <is>
          <t>technology</t>
        </is>
      </c>
      <c r="C42" s="25" t="n">
        <v>70.12</v>
      </c>
    </row>
    <row r="43" ht="12" customHeight="1">
      <c r="A43" t="inlineStr">
        <is>
          <t>202607</t>
        </is>
      </c>
      <c r="B43" t="inlineStr">
        <is>
          <t>administration</t>
        </is>
      </c>
      <c r="C43" s="25" t="n">
        <v>185.17</v>
      </c>
    </row>
    <row r="44" ht="12" customHeight="1">
      <c r="A44" t="inlineStr">
        <is>
          <t>202607</t>
        </is>
      </c>
      <c r="B44" t="inlineStr">
        <is>
          <t>manufacturing</t>
        </is>
      </c>
      <c r="C44" s="25" t="n">
        <v>2934.99</v>
      </c>
    </row>
    <row r="45" ht="12" customHeight="1">
      <c r="A45" t="inlineStr">
        <is>
          <t>202607</t>
        </is>
      </c>
      <c r="B45" t="inlineStr">
        <is>
          <t>payment_fees</t>
        </is>
      </c>
      <c r="C45" s="25" t="n">
        <v>465.69</v>
      </c>
    </row>
    <row r="46" ht="12" customHeight="1">
      <c r="A46" t="inlineStr">
        <is>
          <t>202607</t>
        </is>
      </c>
      <c r="B46" t="inlineStr">
        <is>
          <t>product_sales</t>
        </is>
      </c>
      <c r="C46" s="25" t="n">
        <v>19044.11</v>
      </c>
    </row>
    <row r="47" ht="12" customHeight="1">
      <c r="A47" t="inlineStr">
        <is>
          <t>202607</t>
        </is>
      </c>
      <c r="B47" t="inlineStr">
        <is>
          <t>shopify_gb</t>
        </is>
      </c>
      <c r="C47" s="25" t="n">
        <v>19044.11</v>
      </c>
    </row>
    <row r="48" ht="12" customHeight="1">
      <c r="A48" t="inlineStr">
        <is>
          <t>202607</t>
        </is>
      </c>
      <c r="B48" t="inlineStr">
        <is>
          <t>technology</t>
        </is>
      </c>
      <c r="C48" s="25" t="n">
        <v>69.63</v>
      </c>
    </row>
    <row r="49" ht="12" customHeight="1">
      <c r="A49" t="inlineStr">
        <is>
          <t>202608</t>
        </is>
      </c>
      <c r="B49" t="inlineStr">
        <is>
          <t>administration</t>
        </is>
      </c>
      <c r="C49" s="25" t="n">
        <v>185.17</v>
      </c>
    </row>
    <row r="50" ht="12" customHeight="1">
      <c r="A50" t="inlineStr">
        <is>
          <t>202608</t>
        </is>
      </c>
      <c r="B50" t="inlineStr">
        <is>
          <t>manufacturing</t>
        </is>
      </c>
      <c r="C50" s="25" t="n">
        <v>1934.46</v>
      </c>
    </row>
    <row r="51" ht="12" customHeight="1">
      <c r="A51" t="inlineStr">
        <is>
          <t>202608</t>
        </is>
      </c>
      <c r="B51" t="inlineStr">
        <is>
          <t>payment_fees</t>
        </is>
      </c>
      <c r="C51" s="25" t="n">
        <v>493.74</v>
      </c>
    </row>
    <row r="52" ht="12" customHeight="1">
      <c r="A52" t="inlineStr">
        <is>
          <t>202608</t>
        </is>
      </c>
      <c r="B52" t="inlineStr">
        <is>
          <t>product_sales</t>
        </is>
      </c>
      <c r="C52" s="25" t="n">
        <v>19560</v>
      </c>
    </row>
    <row r="53" ht="12" customHeight="1">
      <c r="A53" t="inlineStr">
        <is>
          <t>202608</t>
        </is>
      </c>
      <c r="B53" t="inlineStr">
        <is>
          <t>shopify_gb</t>
        </is>
      </c>
      <c r="C53" s="25" t="n">
        <v>19560</v>
      </c>
    </row>
    <row r="54" ht="12" customHeight="1">
      <c r="A54" t="inlineStr">
        <is>
          <t>202609</t>
        </is>
      </c>
      <c r="B54" t="inlineStr">
        <is>
          <t>administration</t>
        </is>
      </c>
      <c r="C54" s="25" t="n">
        <v>185.17</v>
      </c>
    </row>
    <row r="55" ht="12" customHeight="1">
      <c r="A55" t="inlineStr">
        <is>
          <t>202609</t>
        </is>
      </c>
      <c r="B55" t="inlineStr">
        <is>
          <t>manufacturing</t>
        </is>
      </c>
      <c r="C55" s="25" t="n">
        <v>281.03</v>
      </c>
    </row>
    <row r="56" ht="12" customHeight="1">
      <c r="A56" t="inlineStr">
        <is>
          <t>202609</t>
        </is>
      </c>
      <c r="B56" t="inlineStr">
        <is>
          <t>payment_fees</t>
        </is>
      </c>
      <c r="C56" s="25" t="n">
        <v>59.74</v>
      </c>
    </row>
    <row r="57" ht="12" customHeight="1">
      <c r="A57" t="inlineStr">
        <is>
          <t>202609</t>
        </is>
      </c>
      <c r="B57" t="inlineStr">
        <is>
          <t>product_sales</t>
        </is>
      </c>
      <c r="C57" s="25" t="n">
        <v>2558.94</v>
      </c>
    </row>
    <row r="58" ht="12" customHeight="1">
      <c r="A58" t="inlineStr">
        <is>
          <t>202609</t>
        </is>
      </c>
      <c r="B58" t="inlineStr">
        <is>
          <t>shopify_gb</t>
        </is>
      </c>
      <c r="C58" s="25" t="n">
        <v>2558.94</v>
      </c>
    </row>
    <row r="59" ht="12" customHeight="1">
      <c r="A59" t="inlineStr">
        <is>
          <t>202610</t>
        </is>
      </c>
      <c r="B59" t="inlineStr">
        <is>
          <t>administration</t>
        </is>
      </c>
      <c r="C59" s="25" t="n">
        <v>185.17</v>
      </c>
    </row>
    <row r="60" ht="12" customHeight="1">
      <c r="A60" t="inlineStr">
        <is>
          <t>202610</t>
        </is>
      </c>
      <c r="B60" t="inlineStr">
        <is>
          <t>manufacturing</t>
        </is>
      </c>
      <c r="C60" s="25" t="n">
        <v>0</v>
      </c>
    </row>
    <row r="61" ht="12" customHeight="1">
      <c r="A61" t="inlineStr">
        <is>
          <t>202611</t>
        </is>
      </c>
      <c r="B61" t="inlineStr">
        <is>
          <t>administration</t>
        </is>
      </c>
      <c r="C61" s="25" t="n">
        <v>185.17</v>
      </c>
    </row>
    <row r="62" ht="12" customHeight="1">
      <c r="A62" t="inlineStr">
        <is>
          <t>202611</t>
        </is>
      </c>
      <c r="B62" t="inlineStr">
        <is>
          <t>manufacturing</t>
        </is>
      </c>
      <c r="C62" s="25" t="n">
        <v>0</v>
      </c>
    </row>
    <row r="63" ht="12" customHeight="1">
      <c r="A63" t="inlineStr">
        <is>
          <t>202612</t>
        </is>
      </c>
      <c r="B63" t="inlineStr">
        <is>
          <t>administration</t>
        </is>
      </c>
      <c r="C63" s="25" t="n">
        <v>185.17</v>
      </c>
    </row>
    <row r="64" ht="12" customHeight="1">
      <c r="A64" t="inlineStr">
        <is>
          <t>202612</t>
        </is>
      </c>
      <c r="B64" t="inlineStr">
        <is>
          <t>manufacturing</t>
        </is>
      </c>
      <c r="C64" s="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12" customHeight="1">
      <c r="A1" s="24" t="inlineStr">
        <is>
          <t>yyyymm</t>
        </is>
      </c>
      <c r="B1" s="24" t="inlineStr">
        <is>
          <t>line_key</t>
        </is>
      </c>
      <c r="C1" s="24" t="inlineStr">
        <is>
          <t>amount_usd</t>
        </is>
      </c>
    </row>
    <row r="2" ht="12" customHeight="1">
      <c r="A2" t="inlineStr">
        <is>
          <t>202601</t>
        </is>
      </c>
      <c r="B2" t="inlineStr">
        <is>
          <t>administration</t>
        </is>
      </c>
      <c r="C2" s="25" t="n">
        <v>1332.48</v>
      </c>
    </row>
    <row r="3" ht="12" customHeight="1">
      <c r="A3" t="inlineStr">
        <is>
          <t>202601</t>
        </is>
      </c>
      <c r="B3" t="inlineStr">
        <is>
          <t>logistics</t>
        </is>
      </c>
      <c r="C3" s="25" t="n">
        <v>2888.86</v>
      </c>
    </row>
    <row r="4" ht="12" customHeight="1">
      <c r="A4" t="inlineStr">
        <is>
          <t>202601</t>
        </is>
      </c>
      <c r="B4" t="inlineStr">
        <is>
          <t>manufacturing</t>
        </is>
      </c>
      <c r="C4" s="25" t="n">
        <v>4789.72</v>
      </c>
    </row>
    <row r="5" ht="12" customHeight="1">
      <c r="A5" t="inlineStr">
        <is>
          <t>202601</t>
        </is>
      </c>
      <c r="B5" t="inlineStr">
        <is>
          <t>payment_fees</t>
        </is>
      </c>
      <c r="C5" s="25" t="n">
        <v>293.05</v>
      </c>
    </row>
    <row r="6" ht="12" customHeight="1">
      <c r="A6" t="inlineStr">
        <is>
          <t>202601</t>
        </is>
      </c>
      <c r="B6" t="inlineStr">
        <is>
          <t>product_sales</t>
        </is>
      </c>
      <c r="C6" s="25" t="n">
        <v>10261.58</v>
      </c>
    </row>
    <row r="7" ht="12" customHeight="1">
      <c r="A7" t="inlineStr">
        <is>
          <t>202601</t>
        </is>
      </c>
      <c r="B7" t="inlineStr">
        <is>
          <t>shopify_us</t>
        </is>
      </c>
      <c r="C7" s="25" t="n">
        <v>10261.58</v>
      </c>
    </row>
    <row r="8" ht="12" customHeight="1">
      <c r="A8" t="inlineStr">
        <is>
          <t>202602</t>
        </is>
      </c>
      <c r="B8" t="inlineStr">
        <is>
          <t>administration</t>
        </is>
      </c>
      <c r="C8" s="25" t="n">
        <v>1316.39</v>
      </c>
    </row>
    <row r="9" ht="12" customHeight="1">
      <c r="A9" t="inlineStr">
        <is>
          <t>202602</t>
        </is>
      </c>
      <c r="B9" t="inlineStr">
        <is>
          <t>logistics</t>
        </is>
      </c>
      <c r="C9" s="25" t="n">
        <v>4445.62</v>
      </c>
    </row>
    <row r="10" ht="12" customHeight="1">
      <c r="A10" t="inlineStr">
        <is>
          <t>202602</t>
        </is>
      </c>
      <c r="B10" t="inlineStr">
        <is>
          <t>manufacturing</t>
        </is>
      </c>
      <c r="C10" s="25" t="n">
        <v>5220.72</v>
      </c>
    </row>
    <row r="11" ht="12" customHeight="1">
      <c r="A11" t="inlineStr">
        <is>
          <t>202602</t>
        </is>
      </c>
      <c r="B11" t="inlineStr">
        <is>
          <t>payment_fees</t>
        </is>
      </c>
      <c r="C11" s="25" t="n">
        <v>470.09</v>
      </c>
    </row>
    <row r="12" ht="12" customHeight="1">
      <c r="A12" t="inlineStr">
        <is>
          <t>202602</t>
        </is>
      </c>
      <c r="B12" t="inlineStr">
        <is>
          <t>product_sales</t>
        </is>
      </c>
      <c r="C12" s="25" t="n">
        <v>15549.06</v>
      </c>
    </row>
    <row r="13" ht="12" customHeight="1">
      <c r="A13" t="inlineStr">
        <is>
          <t>202602</t>
        </is>
      </c>
      <c r="B13" t="inlineStr">
        <is>
          <t>shopify_us</t>
        </is>
      </c>
      <c r="C13" s="25" t="n">
        <v>15549.06</v>
      </c>
    </row>
    <row r="14" ht="12" customHeight="1">
      <c r="A14" t="inlineStr">
        <is>
          <t>202603</t>
        </is>
      </c>
      <c r="B14" t="inlineStr">
        <is>
          <t>administration</t>
        </is>
      </c>
      <c r="C14" s="25" t="n">
        <v>1474.77</v>
      </c>
    </row>
    <row r="15" ht="12" customHeight="1">
      <c r="A15" t="inlineStr">
        <is>
          <t>202603</t>
        </is>
      </c>
      <c r="B15" t="inlineStr">
        <is>
          <t>logistics</t>
        </is>
      </c>
      <c r="C15" s="25" t="n">
        <v>4826.94</v>
      </c>
    </row>
    <row r="16" ht="12" customHeight="1">
      <c r="A16" t="inlineStr">
        <is>
          <t>202603</t>
        </is>
      </c>
      <c r="B16" t="inlineStr">
        <is>
          <t>manufacturing</t>
        </is>
      </c>
      <c r="C16" s="25" t="n">
        <v>6286.98</v>
      </c>
    </row>
    <row r="17" ht="12" customHeight="1">
      <c r="A17" t="inlineStr">
        <is>
          <t>202603</t>
        </is>
      </c>
      <c r="B17" t="inlineStr">
        <is>
          <t>payment_fees</t>
        </is>
      </c>
      <c r="C17" s="25" t="n">
        <v>520.41</v>
      </c>
    </row>
    <row r="18" ht="12" customHeight="1">
      <c r="A18" t="inlineStr">
        <is>
          <t>202603</t>
        </is>
      </c>
      <c r="B18" t="inlineStr">
        <is>
          <t>product_sales</t>
        </is>
      </c>
      <c r="C18" s="25" t="n">
        <v>16536.75</v>
      </c>
    </row>
    <row r="19" ht="12" customHeight="1">
      <c r="A19" t="inlineStr">
        <is>
          <t>202603</t>
        </is>
      </c>
      <c r="B19" t="inlineStr">
        <is>
          <t>shopify_us</t>
        </is>
      </c>
      <c r="C19" s="25" t="n">
        <v>16536.75</v>
      </c>
    </row>
    <row r="20" ht="12" customHeight="1">
      <c r="A20" t="inlineStr">
        <is>
          <t>202604</t>
        </is>
      </c>
      <c r="B20" t="inlineStr">
        <is>
          <t>administration</t>
        </is>
      </c>
      <c r="C20" s="25" t="n">
        <v>1402.69</v>
      </c>
    </row>
    <row r="21" ht="12" customHeight="1">
      <c r="A21" t="inlineStr">
        <is>
          <t>202604</t>
        </is>
      </c>
      <c r="B21" t="inlineStr">
        <is>
          <t>logistics</t>
        </is>
      </c>
      <c r="C21" s="25" t="n">
        <v>2945.34</v>
      </c>
    </row>
    <row r="22" ht="12" customHeight="1">
      <c r="A22" t="inlineStr">
        <is>
          <t>202604</t>
        </is>
      </c>
      <c r="B22" t="inlineStr">
        <is>
          <t>manufacturing</t>
        </is>
      </c>
      <c r="C22" s="25" t="n">
        <v>4815.93</v>
      </c>
    </row>
    <row r="23" ht="12" customHeight="1">
      <c r="A23" t="inlineStr">
        <is>
          <t>202604</t>
        </is>
      </c>
      <c r="B23" t="inlineStr">
        <is>
          <t>payment_fees</t>
        </is>
      </c>
      <c r="C23" s="25" t="n">
        <v>466.64</v>
      </c>
    </row>
    <row r="24" ht="12" customHeight="1">
      <c r="A24" t="inlineStr">
        <is>
          <t>202604</t>
        </is>
      </c>
      <c r="B24" t="inlineStr">
        <is>
          <t>product_sales</t>
        </is>
      </c>
      <c r="C24" s="25" t="n">
        <v>15937.61</v>
      </c>
    </row>
    <row r="25" ht="12" customHeight="1">
      <c r="A25" t="inlineStr">
        <is>
          <t>202604</t>
        </is>
      </c>
      <c r="B25" t="inlineStr">
        <is>
          <t>shopify_us</t>
        </is>
      </c>
      <c r="C25" s="25" t="n">
        <v>15937.61</v>
      </c>
    </row>
    <row r="26" ht="12" customHeight="1">
      <c r="A26" t="inlineStr">
        <is>
          <t>202605</t>
        </is>
      </c>
      <c r="B26" t="inlineStr">
        <is>
          <t>administration</t>
        </is>
      </c>
      <c r="C26" s="25" t="n">
        <v>1302.88</v>
      </c>
    </row>
    <row r="27" ht="12" customHeight="1">
      <c r="A27" t="inlineStr">
        <is>
          <t>202605</t>
        </is>
      </c>
      <c r="B27" t="inlineStr">
        <is>
          <t>logistics</t>
        </is>
      </c>
      <c r="C27" s="25" t="n">
        <v>2254.01</v>
      </c>
    </row>
    <row r="28" ht="12" customHeight="1">
      <c r="A28" t="inlineStr">
        <is>
          <t>202605</t>
        </is>
      </c>
      <c r="B28" t="inlineStr">
        <is>
          <t>manufacturing</t>
        </is>
      </c>
      <c r="C28" s="25" t="n">
        <v>2661.73</v>
      </c>
    </row>
    <row r="29" ht="12" customHeight="1">
      <c r="A29" t="inlineStr">
        <is>
          <t>202605</t>
        </is>
      </c>
      <c r="B29" t="inlineStr">
        <is>
          <t>payment_fees</t>
        </is>
      </c>
      <c r="C29" s="25" t="n">
        <v>362.95</v>
      </c>
    </row>
    <row r="30" ht="12" customHeight="1">
      <c r="A30" t="inlineStr">
        <is>
          <t>202605</t>
        </is>
      </c>
      <c r="B30" t="inlineStr">
        <is>
          <t>product_sales</t>
        </is>
      </c>
      <c r="C30" s="25" t="n">
        <v>13016.46</v>
      </c>
    </row>
    <row r="31" ht="12" customHeight="1">
      <c r="A31" t="inlineStr">
        <is>
          <t>202605</t>
        </is>
      </c>
      <c r="B31" t="inlineStr">
        <is>
          <t>shopify_us</t>
        </is>
      </c>
      <c r="C31" s="25" t="n">
        <v>13016.46</v>
      </c>
    </row>
    <row r="32" ht="12" customHeight="1">
      <c r="A32" t="inlineStr">
        <is>
          <t>202606</t>
        </is>
      </c>
      <c r="B32" t="inlineStr">
        <is>
          <t>administration</t>
        </is>
      </c>
      <c r="C32" s="25" t="n">
        <v>1281.29</v>
      </c>
    </row>
    <row r="33" ht="12" customHeight="1">
      <c r="A33" t="inlineStr">
        <is>
          <t>202606</t>
        </is>
      </c>
      <c r="B33" t="inlineStr">
        <is>
          <t>logistics</t>
        </is>
      </c>
      <c r="C33" s="25" t="n">
        <v>2614.92</v>
      </c>
    </row>
    <row r="34" ht="12" customHeight="1">
      <c r="A34" t="inlineStr">
        <is>
          <t>202606</t>
        </is>
      </c>
      <c r="B34" t="inlineStr">
        <is>
          <t>manufacturing</t>
        </is>
      </c>
      <c r="C34" s="25" t="n">
        <v>5277.94</v>
      </c>
    </row>
    <row r="35" ht="12" customHeight="1">
      <c r="A35" t="inlineStr">
        <is>
          <t>202606</t>
        </is>
      </c>
      <c r="B35" t="inlineStr">
        <is>
          <t>payment_fees</t>
        </is>
      </c>
      <c r="C35" s="25" t="n">
        <v>474.77</v>
      </c>
    </row>
    <row r="36" ht="12" customHeight="1">
      <c r="A36" t="inlineStr">
        <is>
          <t>202606</t>
        </is>
      </c>
      <c r="B36" t="inlineStr">
        <is>
          <t>product_sales</t>
        </is>
      </c>
      <c r="C36" s="25" t="n">
        <v>17088.84</v>
      </c>
    </row>
    <row r="37" ht="12" customHeight="1">
      <c r="A37" t="inlineStr">
        <is>
          <t>202606</t>
        </is>
      </c>
      <c r="B37" t="inlineStr">
        <is>
          <t>shopify_us</t>
        </is>
      </c>
      <c r="C37" s="25" t="n">
        <v>17088.84</v>
      </c>
    </row>
    <row r="38" ht="12" customHeight="1">
      <c r="A38" t="inlineStr">
        <is>
          <t>202607</t>
        </is>
      </c>
      <c r="B38" t="inlineStr">
        <is>
          <t>administration</t>
        </is>
      </c>
      <c r="C38" s="25" t="n">
        <v>1150</v>
      </c>
    </row>
    <row r="39" ht="12" customHeight="1">
      <c r="A39" t="inlineStr">
        <is>
          <t>202607</t>
        </is>
      </c>
      <c r="B39" t="inlineStr">
        <is>
          <t>logistics</t>
        </is>
      </c>
      <c r="C39" s="25" t="n">
        <v>2236.13</v>
      </c>
    </row>
    <row r="40" ht="12" customHeight="1">
      <c r="A40" t="inlineStr">
        <is>
          <t>202607</t>
        </is>
      </c>
      <c r="B40" t="inlineStr">
        <is>
          <t>manufacturing</t>
        </is>
      </c>
      <c r="C40" s="25" t="n">
        <v>3194.56</v>
      </c>
    </row>
    <row r="41" ht="12" customHeight="1">
      <c r="A41" t="inlineStr">
        <is>
          <t>202607</t>
        </is>
      </c>
      <c r="B41" t="inlineStr">
        <is>
          <t>payment_fees</t>
        </is>
      </c>
      <c r="C41" s="25" t="n">
        <v>354.62</v>
      </c>
    </row>
    <row r="42" ht="12" customHeight="1">
      <c r="A42" t="inlineStr">
        <is>
          <t>202607</t>
        </is>
      </c>
      <c r="B42" t="inlineStr">
        <is>
          <t>product_sales</t>
        </is>
      </c>
      <c r="C42" s="25" t="n">
        <v>11552.85</v>
      </c>
    </row>
    <row r="43" ht="12" customHeight="1">
      <c r="A43" t="inlineStr">
        <is>
          <t>202607</t>
        </is>
      </c>
      <c r="B43" t="inlineStr">
        <is>
          <t>shopify_us</t>
        </is>
      </c>
      <c r="C43" s="25" t="n">
        <v>11552.85</v>
      </c>
    </row>
    <row r="44" ht="12" customHeight="1">
      <c r="A44" t="inlineStr">
        <is>
          <t>202608</t>
        </is>
      </c>
      <c r="B44" t="inlineStr">
        <is>
          <t>administration</t>
        </is>
      </c>
      <c r="C44" s="25" t="n">
        <v>1150</v>
      </c>
    </row>
    <row r="45" ht="12" customHeight="1">
      <c r="A45" t="inlineStr">
        <is>
          <t>202608</t>
        </is>
      </c>
      <c r="B45" t="inlineStr">
        <is>
          <t>manufacturing</t>
        </is>
      </c>
      <c r="C45" s="25" t="n">
        <v>215.42</v>
      </c>
    </row>
    <row r="46" ht="12" customHeight="1">
      <c r="A46" t="inlineStr">
        <is>
          <t>202608</t>
        </is>
      </c>
      <c r="B46" t="inlineStr">
        <is>
          <t>payment_fees</t>
        </is>
      </c>
      <c r="C46" s="25" t="n">
        <v>238.45</v>
      </c>
    </row>
    <row r="47" ht="12" customHeight="1">
      <c r="A47" t="inlineStr">
        <is>
          <t>202608</t>
        </is>
      </c>
      <c r="B47" t="inlineStr">
        <is>
          <t>product_sales</t>
        </is>
      </c>
      <c r="C47" s="25" t="n">
        <v>8039.34</v>
      </c>
    </row>
    <row r="48" ht="12" customHeight="1">
      <c r="A48" t="inlineStr">
        <is>
          <t>202608</t>
        </is>
      </c>
      <c r="B48" t="inlineStr">
        <is>
          <t>shopify_us</t>
        </is>
      </c>
      <c r="C48" s="25" t="n">
        <v>8039.34</v>
      </c>
    </row>
    <row r="49" ht="12" customHeight="1">
      <c r="A49" t="inlineStr">
        <is>
          <t>202609</t>
        </is>
      </c>
      <c r="B49" t="inlineStr">
        <is>
          <t>administration</t>
        </is>
      </c>
      <c r="C49" s="25" t="n">
        <v>1150</v>
      </c>
    </row>
    <row r="50" ht="12" customHeight="1">
      <c r="A50" t="inlineStr">
        <is>
          <t>202609</t>
        </is>
      </c>
      <c r="B50" t="inlineStr">
        <is>
          <t>manufacturing</t>
        </is>
      </c>
      <c r="C50" s="25" t="n">
        <v>15.19</v>
      </c>
    </row>
    <row r="51" ht="12" customHeight="1">
      <c r="A51" t="inlineStr">
        <is>
          <t>202609</t>
        </is>
      </c>
      <c r="B51" t="inlineStr">
        <is>
          <t>payment_fees</t>
        </is>
      </c>
      <c r="C51" s="25" t="n">
        <v>37.48</v>
      </c>
    </row>
    <row r="52" ht="12" customHeight="1">
      <c r="A52" t="inlineStr">
        <is>
          <t>202609</t>
        </is>
      </c>
      <c r="B52" t="inlineStr">
        <is>
          <t>product_sales</t>
        </is>
      </c>
      <c r="C52" s="25" t="n">
        <v>1202.61</v>
      </c>
    </row>
    <row r="53" ht="12" customHeight="1">
      <c r="A53" t="inlineStr">
        <is>
          <t>202609</t>
        </is>
      </c>
      <c r="B53" t="inlineStr">
        <is>
          <t>shopify_us</t>
        </is>
      </c>
      <c r="C53" s="25" t="n">
        <v>1202.61</v>
      </c>
    </row>
    <row r="54" ht="12" customHeight="1">
      <c r="A54" t="inlineStr">
        <is>
          <t>202610</t>
        </is>
      </c>
      <c r="B54" t="inlineStr">
        <is>
          <t>manufacturing</t>
        </is>
      </c>
      <c r="C54" s="25" t="n">
        <v>0</v>
      </c>
    </row>
    <row r="55" ht="12" customHeight="1">
      <c r="A55" t="inlineStr">
        <is>
          <t>202611</t>
        </is>
      </c>
      <c r="B55" t="inlineStr">
        <is>
          <t>manufacturing</t>
        </is>
      </c>
      <c r="C55" s="25" t="n">
        <v>0</v>
      </c>
    </row>
    <row r="56" ht="12" customHeight="1">
      <c r="A56" t="inlineStr">
        <is>
          <t>202612</t>
        </is>
      </c>
      <c r="B56" t="inlineStr">
        <is>
          <t>manufacturing</t>
        </is>
      </c>
      <c r="C56" s="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</cols>
  <sheetData>
    <row r="1" ht="12" customHeight="1">
      <c r="A1" s="24" t="inlineStr">
        <is>
          <t>yyyymm</t>
        </is>
      </c>
      <c r="B1" s="24" t="inlineStr">
        <is>
          <t>currency</t>
        </is>
      </c>
      <c r="C1" s="24" t="inlineStr">
        <is>
          <t>reference_rate</t>
        </is>
      </c>
    </row>
    <row r="2" ht="12" customHeight="1">
      <c r="A2" t="inlineStr">
        <is>
          <t>202601</t>
        </is>
      </c>
      <c r="B2" t="inlineStr">
        <is>
          <t>GBP</t>
        </is>
      </c>
      <c r="C2" s="26" t="n">
        <v>0.8662</v>
      </c>
    </row>
    <row r="3" ht="12" customHeight="1">
      <c r="A3" t="inlineStr">
        <is>
          <t>202601</t>
        </is>
      </c>
      <c r="B3" t="inlineStr">
        <is>
          <t>USD</t>
        </is>
      </c>
      <c r="C3" s="26" t="n">
        <v>1.1919</v>
      </c>
    </row>
    <row r="4" ht="12" customHeight="1">
      <c r="A4" t="inlineStr">
        <is>
          <t>202602</t>
        </is>
      </c>
      <c r="B4" t="inlineStr">
        <is>
          <t>GBP</t>
        </is>
      </c>
      <c r="C4" s="26" t="n">
        <v>0.8763</v>
      </c>
    </row>
    <row r="5" ht="12" customHeight="1">
      <c r="A5" t="inlineStr">
        <is>
          <t>202602</t>
        </is>
      </c>
      <c r="B5" t="inlineStr">
        <is>
          <t>USD</t>
        </is>
      </c>
      <c r="C5" s="26" t="n">
        <v>1.1805</v>
      </c>
    </row>
    <row r="6" ht="12" customHeight="1">
      <c r="A6" t="inlineStr">
        <is>
          <t>202603</t>
        </is>
      </c>
      <c r="B6" t="inlineStr">
        <is>
          <t>GBP</t>
        </is>
      </c>
      <c r="C6" s="26" t="n">
        <v>0.86833</v>
      </c>
    </row>
    <row r="7" ht="12" customHeight="1">
      <c r="A7" t="inlineStr">
        <is>
          <t>202603</t>
        </is>
      </c>
      <c r="B7" t="inlineStr">
        <is>
          <t>USD</t>
        </is>
      </c>
      <c r="C7" s="26" t="n">
        <v>1.1498</v>
      </c>
    </row>
    <row r="8" ht="12" customHeight="1">
      <c r="A8" t="inlineStr">
        <is>
          <t>202604</t>
        </is>
      </c>
      <c r="B8" t="inlineStr">
        <is>
          <t>GBP</t>
        </is>
      </c>
      <c r="C8" s="26" t="n">
        <v>0.86625</v>
      </c>
    </row>
    <row r="9" ht="12" customHeight="1">
      <c r="A9" t="inlineStr">
        <is>
          <t>202604</t>
        </is>
      </c>
      <c r="B9" t="inlineStr">
        <is>
          <t>USD</t>
        </is>
      </c>
      <c r="C9" s="26" t="n">
        <v>1.1702</v>
      </c>
    </row>
    <row r="10" ht="12" customHeight="1">
      <c r="A10" t="inlineStr">
        <is>
          <t>202605</t>
        </is>
      </c>
      <c r="B10" t="inlineStr">
        <is>
          <t>GBP</t>
        </is>
      </c>
      <c r="C10" s="26" t="n">
        <v>0.8672299999999999</v>
      </c>
    </row>
    <row r="11" ht="12" customHeight="1">
      <c r="A11" t="inlineStr">
        <is>
          <t>202605</t>
        </is>
      </c>
      <c r="B11" t="inlineStr">
        <is>
          <t>USD</t>
        </is>
      </c>
      <c r="C11" s="26" t="n">
        <v>1.1644</v>
      </c>
    </row>
    <row r="12" ht="12" customHeight="1">
      <c r="A12" t="inlineStr">
        <is>
          <t>202606</t>
        </is>
      </c>
      <c r="B12" t="inlineStr">
        <is>
          <t>GBP</t>
        </is>
      </c>
      <c r="C12" s="26" t="n">
        <v>0.86178</v>
      </c>
    </row>
    <row r="13" ht="12" customHeight="1">
      <c r="A13" t="inlineStr">
        <is>
          <t>202606</t>
        </is>
      </c>
      <c r="B13" t="inlineStr">
        <is>
          <t>USD</t>
        </is>
      </c>
      <c r="C13" s="26" t="n">
        <v>1.1394</v>
      </c>
    </row>
    <row r="14" ht="12" customHeight="1">
      <c r="A14" t="inlineStr">
        <is>
          <t>202607</t>
        </is>
      </c>
      <c r="B14" t="inlineStr">
        <is>
          <t>GBP</t>
        </is>
      </c>
      <c r="C14" s="26" t="n">
        <v>0.85573</v>
      </c>
    </row>
    <row r="15" ht="12" customHeight="1">
      <c r="A15" t="inlineStr">
        <is>
          <t>202607</t>
        </is>
      </c>
      <c r="B15" t="inlineStr">
        <is>
          <t>USD</t>
        </is>
      </c>
      <c r="C15" s="26" t="n">
        <v>1.1485</v>
      </c>
    </row>
    <row r="16" ht="12" customHeight="1">
      <c r="A16" t="inlineStr">
        <is>
          <t>202608</t>
        </is>
      </c>
      <c r="B16" t="inlineStr">
        <is>
          <t>GBP</t>
        </is>
      </c>
      <c r="C16" s="26" t="n">
        <v>0.85648</v>
      </c>
    </row>
    <row r="17" ht="12" customHeight="1">
      <c r="A17" t="inlineStr">
        <is>
          <t>202608</t>
        </is>
      </c>
      <c r="B17" t="inlineStr">
        <is>
          <t>USD</t>
        </is>
      </c>
      <c r="C17" s="26" t="n">
        <v>1.1596</v>
      </c>
    </row>
    <row r="18" ht="12" customHeight="1">
      <c r="A18" t="inlineStr">
        <is>
          <t>202609</t>
        </is>
      </c>
      <c r="B18" t="inlineStr">
        <is>
          <t>GBP</t>
        </is>
      </c>
      <c r="C18" s="26" t="n">
        <v>0.86055</v>
      </c>
    </row>
    <row r="19" ht="12" customHeight="1">
      <c r="A19" t="inlineStr">
        <is>
          <t>202609</t>
        </is>
      </c>
      <c r="B19" t="inlineStr">
        <is>
          <t>USD</t>
        </is>
      </c>
      <c r="C19" s="26" t="n">
        <v>1.1615</v>
      </c>
    </row>
    <row r="20" ht="12" customHeight="1">
      <c r="A20" t="inlineStr">
        <is>
          <t>202610</t>
        </is>
      </c>
      <c r="B20" t="inlineStr">
        <is>
          <t>GBP</t>
        </is>
      </c>
      <c r="C20" s="26" t="n">
        <v>0.86055</v>
      </c>
    </row>
    <row r="21" ht="12" customHeight="1">
      <c r="A21" t="inlineStr">
        <is>
          <t>202610</t>
        </is>
      </c>
      <c r="B21" t="inlineStr">
        <is>
          <t>USD</t>
        </is>
      </c>
      <c r="C21" s="26" t="n">
        <v>1.1615</v>
      </c>
    </row>
    <row r="22" ht="12" customHeight="1">
      <c r="A22" t="inlineStr">
        <is>
          <t>202611</t>
        </is>
      </c>
      <c r="B22" t="inlineStr">
        <is>
          <t>GBP</t>
        </is>
      </c>
      <c r="C22" s="26" t="n">
        <v>0.86055</v>
      </c>
    </row>
    <row r="23" ht="12" customHeight="1">
      <c r="A23" t="inlineStr">
        <is>
          <t>202611</t>
        </is>
      </c>
      <c r="B23" t="inlineStr">
        <is>
          <t>USD</t>
        </is>
      </c>
      <c r="C23" s="26" t="n">
        <v>1.1615</v>
      </c>
    </row>
    <row r="24" ht="12" customHeight="1">
      <c r="A24" t="inlineStr">
        <is>
          <t>202612</t>
        </is>
      </c>
      <c r="B24" t="inlineStr">
        <is>
          <t>GBP</t>
        </is>
      </c>
      <c r="C24" s="26" t="n">
        <v>0.86055</v>
      </c>
    </row>
    <row r="25" ht="12" customHeight="1">
      <c r="A25" t="inlineStr">
        <is>
          <t>202612</t>
        </is>
      </c>
      <c r="B25" t="inlineStr">
        <is>
          <t>USD</t>
        </is>
      </c>
      <c r="C25" s="26" t="n">
        <v>1.1615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F3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idden="1"/>
    <row r="2" ht="12" customHeight="1">
      <c r="A2" s="1" t="inlineStr">
        <is>
          <t>P&amp;G CONSOLIDADO TRIMESTRAL 2026 (EUR)</t>
        </is>
      </c>
      <c r="B2" s="2" t="inlineStr">
        <is>
          <t>Q1</t>
        </is>
      </c>
      <c r="C2" s="2" t="inlineStr">
        <is>
          <t>Q2</t>
        </is>
      </c>
      <c r="D2" s="2" t="inlineStr">
        <is>
          <t>Q3</t>
        </is>
      </c>
      <c r="E2" s="2" t="inlineStr">
        <is>
          <t>Q4</t>
        </is>
      </c>
      <c r="F2" s="2" t="inlineStr">
        <is>
          <t>Total</t>
        </is>
      </c>
    </row>
    <row r="3" ht="12" customHeight="1">
      <c r="A3" s="3">
        <f>'P&amp;G-CONSOLIDADO'!A3</f>
        <v/>
      </c>
    </row>
    <row r="4" ht="12" customHeight="1">
      <c r="A4" s="4" t="inlineStr">
        <is>
          <t>TURNOVER</t>
        </is>
      </c>
      <c r="B4" s="6">
        <f>SUM('P&amp;G-CONSOLIDADO'!D4:F4)</f>
        <v/>
      </c>
      <c r="C4" s="6">
        <f>SUM('P&amp;G-CONSOLIDADO'!G4:I4)</f>
        <v/>
      </c>
      <c r="D4" s="6">
        <f>SUM('P&amp;G-CONSOLIDADO'!J4:L4)</f>
        <v/>
      </c>
      <c r="E4" s="6">
        <f>SUM('P&amp;G-CONSOLIDADO'!M4:O4)</f>
        <v/>
      </c>
      <c r="F4" s="7">
        <f>'P&amp;G-CONSOLIDADO'!P4</f>
        <v/>
      </c>
    </row>
    <row r="5" ht="12" customHeight="1">
      <c r="A5" s="8" t="inlineStr">
        <is>
          <t>Product sales</t>
        </is>
      </c>
      <c r="B5" s="10">
        <f>SUM('P&amp;G-CONSOLIDADO'!D5:F5)</f>
        <v/>
      </c>
      <c r="C5" s="10">
        <f>SUM('P&amp;G-CONSOLIDADO'!G5:I5)</f>
        <v/>
      </c>
      <c r="D5" s="10">
        <f>SUM('P&amp;G-CONSOLIDADO'!J5:L5)</f>
        <v/>
      </c>
      <c r="E5" s="10">
        <f>SUM('P&amp;G-CONSOLIDADO'!M5:O5)</f>
        <v/>
      </c>
      <c r="F5" s="11">
        <f>'P&amp;G-CONSOLIDADO'!P5</f>
        <v/>
      </c>
    </row>
    <row r="6" ht="12" customHeight="1">
      <c r="A6" s="12" t="inlineStr">
        <is>
          <t>Shopify</t>
        </is>
      </c>
      <c r="B6" s="13">
        <f>SUM('P&amp;G-CONSOLIDADO'!D6:F6)</f>
        <v/>
      </c>
      <c r="C6" s="13">
        <f>SUM('P&amp;G-CONSOLIDADO'!G6:I6)</f>
        <v/>
      </c>
      <c r="D6" s="13">
        <f>SUM('P&amp;G-CONSOLIDADO'!J6:L6)</f>
        <v/>
      </c>
      <c r="E6" s="13">
        <f>SUM('P&amp;G-CONSOLIDADO'!M6:O6)</f>
        <v/>
      </c>
      <c r="F6" s="14">
        <f>'P&amp;G-CONSOLIDADO'!P6</f>
        <v/>
      </c>
    </row>
    <row r="7" ht="12" customHeight="1">
      <c r="A7" s="27" t="inlineStr">
        <is>
          <t>SL</t>
        </is>
      </c>
      <c r="B7" s="13">
        <f>SUM('P&amp;G-CONSOLIDADO'!D7:F7)</f>
        <v/>
      </c>
      <c r="C7" s="13">
        <f>SUM('P&amp;G-CONSOLIDADO'!G7:I7)</f>
        <v/>
      </c>
      <c r="D7" s="13">
        <f>SUM('P&amp;G-CONSOLIDADO'!J7:L7)</f>
        <v/>
      </c>
      <c r="E7" s="13">
        <f>SUM('P&amp;G-CONSOLIDADO'!M7:O7)</f>
        <v/>
      </c>
      <c r="F7" s="14">
        <f>'P&amp;G-CONSOLIDADO'!P7</f>
        <v/>
      </c>
    </row>
    <row r="8" ht="12" customHeight="1">
      <c r="A8" s="28" t="inlineStr">
        <is>
          <t>avg/day</t>
        </is>
      </c>
      <c r="B8" s="13">
        <f>SUM('P&amp;G-CONSOLIDADO'!D8:F8)</f>
        <v/>
      </c>
      <c r="C8" s="13">
        <f>SUM('P&amp;G-CONSOLIDADO'!G8:I8)</f>
        <v/>
      </c>
      <c r="D8" s="13">
        <f>SUM('P&amp;G-CONSOLIDADO'!J8:L8)</f>
        <v/>
      </c>
      <c r="E8" s="13">
        <f>SUM('P&amp;G-CONSOLIDADO'!M8:O8)</f>
        <v/>
      </c>
      <c r="F8" s="14">
        <f>'P&amp;G-CONSOLIDADO'!P8</f>
        <v/>
      </c>
    </row>
    <row r="9" ht="12" customHeight="1">
      <c r="A9" s="27" t="inlineStr">
        <is>
          <t>LTD</t>
        </is>
      </c>
      <c r="B9" s="13">
        <f>SUM('P&amp;G-CONSOLIDADO'!D9:F9)</f>
        <v/>
      </c>
      <c r="C9" s="13">
        <f>SUM('P&amp;G-CONSOLIDADO'!G9:I9)</f>
        <v/>
      </c>
      <c r="D9" s="13">
        <f>SUM('P&amp;G-CONSOLIDADO'!J9:L9)</f>
        <v/>
      </c>
      <c r="E9" s="13">
        <f>SUM('P&amp;G-CONSOLIDADO'!M9:O9)</f>
        <v/>
      </c>
      <c r="F9" s="14">
        <f>'P&amp;G-CONSOLIDADO'!P9</f>
        <v/>
      </c>
    </row>
    <row r="10" ht="12" customHeight="1">
      <c r="A10" s="28" t="inlineStr">
        <is>
          <t>avg/day</t>
        </is>
      </c>
      <c r="B10" s="13">
        <f>SUM('P&amp;G-CONSOLIDADO'!D10:F10)</f>
        <v/>
      </c>
      <c r="C10" s="13">
        <f>SUM('P&amp;G-CONSOLIDADO'!G10:I10)</f>
        <v/>
      </c>
      <c r="D10" s="13">
        <f>SUM('P&amp;G-CONSOLIDADO'!J10:L10)</f>
        <v/>
      </c>
      <c r="E10" s="13">
        <f>SUM('P&amp;G-CONSOLIDADO'!M10:O10)</f>
        <v/>
      </c>
      <c r="F10" s="14">
        <f>'P&amp;G-CONSOLIDADO'!P10</f>
        <v/>
      </c>
    </row>
    <row r="11" ht="12" customHeight="1">
      <c r="A11" s="27" t="inlineStr">
        <is>
          <t>INC</t>
        </is>
      </c>
      <c r="B11" s="13">
        <f>SUM('P&amp;G-CONSOLIDADO'!D11:F11)</f>
        <v/>
      </c>
      <c r="C11" s="13">
        <f>SUM('P&amp;G-CONSOLIDADO'!G11:I11)</f>
        <v/>
      </c>
      <c r="D11" s="13">
        <f>SUM('P&amp;G-CONSOLIDADO'!J11:L11)</f>
        <v/>
      </c>
      <c r="E11" s="13">
        <f>SUM('P&amp;G-CONSOLIDADO'!M11:O11)</f>
        <v/>
      </c>
      <c r="F11" s="14">
        <f>'P&amp;G-CONSOLIDADO'!P11</f>
        <v/>
      </c>
    </row>
    <row r="12" ht="12" customHeight="1">
      <c r="A12" s="28" t="inlineStr">
        <is>
          <t>avg/day</t>
        </is>
      </c>
      <c r="B12" s="13">
        <f>SUM('P&amp;G-CONSOLIDADO'!D12:F12)</f>
        <v/>
      </c>
      <c r="C12" s="13">
        <f>SUM('P&amp;G-CONSOLIDADO'!G12:I12)</f>
        <v/>
      </c>
      <c r="D12" s="13">
        <f>SUM('P&amp;G-CONSOLIDADO'!J12:L12)</f>
        <v/>
      </c>
      <c r="E12" s="13">
        <f>SUM('P&amp;G-CONSOLIDADO'!M12:O12)</f>
        <v/>
      </c>
      <c r="F12" s="14">
        <f>'P&amp;G-CONSOLIDADO'!P12</f>
        <v/>
      </c>
    </row>
    <row r="13" ht="12" customHeight="1">
      <c r="A13" s="27" t="inlineStr">
        <is>
          <t>Shopify daily average</t>
        </is>
      </c>
      <c r="B13" s="13">
        <f>SUM('P&amp;G-CONSOLIDADO'!D13:F13)</f>
        <v/>
      </c>
      <c r="C13" s="13">
        <f>SUM('P&amp;G-CONSOLIDADO'!G13:I13)</f>
        <v/>
      </c>
      <c r="D13" s="13">
        <f>SUM('P&amp;G-CONSOLIDADO'!J13:L13)</f>
        <v/>
      </c>
      <c r="E13" s="13">
        <f>SUM('P&amp;G-CONSOLIDADO'!M13:O13)</f>
        <v/>
      </c>
      <c r="F13" s="14">
        <f>'P&amp;G-CONSOLIDADO'!P13</f>
        <v/>
      </c>
    </row>
    <row r="14" ht="12" customHeight="1">
      <c r="A14" s="12" t="inlineStr">
        <is>
          <t>Marketplaces</t>
        </is>
      </c>
      <c r="B14" s="13">
        <f>SUM('P&amp;G-CONSOLIDADO'!D14:F14)</f>
        <v/>
      </c>
      <c r="C14" s="13">
        <f>SUM('P&amp;G-CONSOLIDADO'!G14:I14)</f>
        <v/>
      </c>
      <c r="D14" s="13">
        <f>SUM('P&amp;G-CONSOLIDADO'!J14:L14)</f>
        <v/>
      </c>
      <c r="E14" s="13">
        <f>SUM('P&amp;G-CONSOLIDADO'!M14:O14)</f>
        <v/>
      </c>
      <c r="F14" s="14">
        <f>'P&amp;G-CONSOLIDADO'!P14</f>
        <v/>
      </c>
    </row>
    <row r="15" ht="12" customHeight="1">
      <c r="A15" s="12" t="inlineStr">
        <is>
          <t>Rappels</t>
        </is>
      </c>
      <c r="B15" s="13">
        <f>SUM('P&amp;G-CONSOLIDADO'!D15:F15)</f>
        <v/>
      </c>
      <c r="C15" s="13">
        <f>SUM('P&amp;G-CONSOLIDADO'!G15:I15)</f>
        <v/>
      </c>
      <c r="D15" s="13">
        <f>SUM('P&amp;G-CONSOLIDADO'!J15:L15)</f>
        <v/>
      </c>
      <c r="E15" s="13">
        <f>SUM('P&amp;G-CONSOLIDADO'!M15:O15)</f>
        <v/>
      </c>
      <c r="F15" s="14">
        <f>'P&amp;G-CONSOLIDADO'!P15</f>
        <v/>
      </c>
    </row>
    <row r="16" ht="12" customHeight="1">
      <c r="A16" s="12" t="inlineStr">
        <is>
          <t>Supplies</t>
        </is>
      </c>
      <c r="B16" s="13">
        <f>SUM('P&amp;G-CONSOLIDADO'!D16:F16)</f>
        <v/>
      </c>
      <c r="C16" s="13">
        <f>SUM('P&amp;G-CONSOLIDADO'!G16:I16)</f>
        <v/>
      </c>
      <c r="D16" s="13">
        <f>SUM('P&amp;G-CONSOLIDADO'!J16:L16)</f>
        <v/>
      </c>
      <c r="E16" s="13">
        <f>SUM('P&amp;G-CONSOLIDADO'!M16:O16)</f>
        <v/>
      </c>
      <c r="F16" s="14">
        <f>'P&amp;G-CONSOLIDADO'!P16</f>
        <v/>
      </c>
    </row>
    <row r="17" ht="12" customHeight="1">
      <c r="A17" s="8" t="inlineStr">
        <is>
          <t>Services</t>
        </is>
      </c>
      <c r="B17" s="10">
        <f>SUM('P&amp;G-CONSOLIDADO'!D17:F17)</f>
        <v/>
      </c>
      <c r="C17" s="10">
        <f>SUM('P&amp;G-CONSOLIDADO'!G17:I17)</f>
        <v/>
      </c>
      <c r="D17" s="10">
        <f>SUM('P&amp;G-CONSOLIDADO'!J17:L17)</f>
        <v/>
      </c>
      <c r="E17" s="10">
        <f>SUM('P&amp;G-CONSOLIDADO'!M17:O17)</f>
        <v/>
      </c>
      <c r="F17" s="11">
        <f>'P&amp;G-CONSOLIDADO'!P17</f>
        <v/>
      </c>
    </row>
    <row r="18" ht="12" customHeight="1">
      <c r="A18" s="17" t="inlineStr">
        <is>
          <t>Uncategorized income</t>
        </is>
      </c>
      <c r="B18" s="13">
        <f>SUM('P&amp;G-CONSOLIDADO'!D18:F18)</f>
        <v/>
      </c>
      <c r="C18" s="13">
        <f>SUM('P&amp;G-CONSOLIDADO'!G18:I18)</f>
        <v/>
      </c>
      <c r="D18" s="13">
        <f>SUM('P&amp;G-CONSOLIDADO'!J18:L18)</f>
        <v/>
      </c>
      <c r="E18" s="13">
        <f>SUM('P&amp;G-CONSOLIDADO'!M18:O18)</f>
        <v/>
      </c>
      <c r="F18" s="14">
        <f>'P&amp;G-CONSOLIDADO'!P18</f>
        <v/>
      </c>
    </row>
    <row r="19" ht="12" customHeight="1">
      <c r="A19" s="4" t="inlineStr">
        <is>
          <t>EXPENSES</t>
        </is>
      </c>
      <c r="B19" s="6">
        <f>SUM('P&amp;G-CONSOLIDADO'!D19:F19)</f>
        <v/>
      </c>
      <c r="C19" s="6">
        <f>SUM('P&amp;G-CONSOLIDADO'!G19:I19)</f>
        <v/>
      </c>
      <c r="D19" s="6">
        <f>SUM('P&amp;G-CONSOLIDADO'!J19:L19)</f>
        <v/>
      </c>
      <c r="E19" s="6">
        <f>SUM('P&amp;G-CONSOLIDADO'!M19:O19)</f>
        <v/>
      </c>
      <c r="F19" s="7">
        <f>'P&amp;G-CONSOLIDADO'!P19</f>
        <v/>
      </c>
    </row>
    <row r="20" ht="12" customHeight="1">
      <c r="A20" s="8" t="inlineStr">
        <is>
          <t>COGS</t>
        </is>
      </c>
      <c r="B20" s="10">
        <f>SUM('P&amp;G-CONSOLIDADO'!D20:F20)</f>
        <v/>
      </c>
      <c r="C20" s="10">
        <f>SUM('P&amp;G-CONSOLIDADO'!G20:I20)</f>
        <v/>
      </c>
      <c r="D20" s="10">
        <f>SUM('P&amp;G-CONSOLIDADO'!J20:L20)</f>
        <v/>
      </c>
      <c r="E20" s="10">
        <f>SUM('P&amp;G-CONSOLIDADO'!M20:O20)</f>
        <v/>
      </c>
      <c r="F20" s="11">
        <f>'P&amp;G-CONSOLIDADO'!P20</f>
        <v/>
      </c>
    </row>
    <row r="21" ht="12" customHeight="1">
      <c r="A21" s="12" t="inlineStr">
        <is>
          <t>Manufacturing</t>
        </is>
      </c>
      <c r="B21" s="13">
        <f>SUM('P&amp;G-CONSOLIDADO'!D21:F21)</f>
        <v/>
      </c>
      <c r="C21" s="13">
        <f>SUM('P&amp;G-CONSOLIDADO'!G21:I21)</f>
        <v/>
      </c>
      <c r="D21" s="13">
        <f>SUM('P&amp;G-CONSOLIDADO'!J21:L21)</f>
        <v/>
      </c>
      <c r="E21" s="13">
        <f>SUM('P&amp;G-CONSOLIDADO'!M21:O21)</f>
        <v/>
      </c>
      <c r="F21" s="14">
        <f>'P&amp;G-CONSOLIDADO'!P21</f>
        <v/>
      </c>
    </row>
    <row r="22" ht="12" customHeight="1">
      <c r="A22" s="12" t="inlineStr">
        <is>
          <t>Logistics</t>
        </is>
      </c>
      <c r="B22" s="13">
        <f>SUM('P&amp;G-CONSOLIDADO'!D22:F22)</f>
        <v/>
      </c>
      <c r="C22" s="13">
        <f>SUM('P&amp;G-CONSOLIDADO'!G22:I22)</f>
        <v/>
      </c>
      <c r="D22" s="13">
        <f>SUM('P&amp;G-CONSOLIDADO'!J22:L22)</f>
        <v/>
      </c>
      <c r="E22" s="13">
        <f>SUM('P&amp;G-CONSOLIDADO'!M22:O22)</f>
        <v/>
      </c>
      <c r="F22" s="14">
        <f>'P&amp;G-CONSOLIDADO'!P22</f>
        <v/>
      </c>
    </row>
    <row r="23" ht="12" customHeight="1">
      <c r="A23" s="12" t="inlineStr">
        <is>
          <t>Royalties</t>
        </is>
      </c>
      <c r="B23" s="13">
        <f>SUM('P&amp;G-CONSOLIDADO'!D23:F23)</f>
        <v/>
      </c>
      <c r="C23" s="13">
        <f>SUM('P&amp;G-CONSOLIDADO'!G23:I23)</f>
        <v/>
      </c>
      <c r="D23" s="13">
        <f>SUM('P&amp;G-CONSOLIDADO'!J23:L23)</f>
        <v/>
      </c>
      <c r="E23" s="13">
        <f>SUM('P&amp;G-CONSOLIDADO'!M23:O23)</f>
        <v/>
      </c>
      <c r="F23" s="14">
        <f>'P&amp;G-CONSOLIDADO'!P23</f>
        <v/>
      </c>
    </row>
    <row r="24" ht="12" customHeight="1">
      <c r="A24" s="12" t="inlineStr">
        <is>
          <t>Payment fees</t>
        </is>
      </c>
      <c r="B24" s="13">
        <f>SUM('P&amp;G-CONSOLIDADO'!D24:F24)</f>
        <v/>
      </c>
      <c r="C24" s="13">
        <f>SUM('P&amp;G-CONSOLIDADO'!G24:I24)</f>
        <v/>
      </c>
      <c r="D24" s="13">
        <f>SUM('P&amp;G-CONSOLIDADO'!J24:L24)</f>
        <v/>
      </c>
      <c r="E24" s="13">
        <f>SUM('P&amp;G-CONSOLIDADO'!M24:O24)</f>
        <v/>
      </c>
      <c r="F24" s="14">
        <f>'P&amp;G-CONSOLIDADO'!P24</f>
        <v/>
      </c>
    </row>
    <row r="25" ht="12" customHeight="1">
      <c r="A25" s="18" t="inlineStr">
        <is>
          <t>GROSS MARGIN (SALES-MANUFACTURING)</t>
        </is>
      </c>
      <c r="B25" s="20">
        <f>SUM('P&amp;G-CONSOLIDADO'!D25:F25)</f>
        <v/>
      </c>
      <c r="C25" s="20">
        <f>SUM('P&amp;G-CONSOLIDADO'!G25:I25)</f>
        <v/>
      </c>
      <c r="D25" s="20">
        <f>SUM('P&amp;G-CONSOLIDADO'!J25:L25)</f>
        <v/>
      </c>
      <c r="E25" s="20">
        <f>SUM('P&amp;G-CONSOLIDADO'!M25:O25)</f>
        <v/>
      </c>
      <c r="F25" s="7">
        <f>'P&amp;G-CONSOLIDADO'!P25</f>
        <v/>
      </c>
    </row>
    <row r="26" ht="12" customHeight="1">
      <c r="A26" s="21" t="inlineStr">
        <is>
          <t>% gross margin</t>
        </is>
      </c>
      <c r="B26" s="22">
        <f>IFERROR(SUM('P&amp;G-CONSOLIDADO'!D25:F25)/SUM('P&amp;G-CONSOLIDADO'!D5:F5),0)</f>
        <v/>
      </c>
      <c r="C26" s="22">
        <f>IFERROR(SUM('P&amp;G-CONSOLIDADO'!G25:I25)/SUM('P&amp;G-CONSOLIDADO'!G5:I5),0)</f>
        <v/>
      </c>
      <c r="D26" s="22">
        <f>IFERROR(SUM('P&amp;G-CONSOLIDADO'!J25:L25)/SUM('P&amp;G-CONSOLIDADO'!J5:L5),0)</f>
        <v/>
      </c>
      <c r="E26" s="22">
        <f>IFERROR(SUM('P&amp;G-CONSOLIDADO'!M25:O25)/SUM('P&amp;G-CONSOLIDADO'!M5:O5),0)</f>
        <v/>
      </c>
      <c r="F26" s="23">
        <f>IFERROR('P&amp;G-CONSOLIDADO'!P25/'P&amp;G-CONSOLIDADO'!P5,0)</f>
        <v/>
      </c>
    </row>
    <row r="27" ht="12" customHeight="1">
      <c r="A27" s="18" t="inlineStr">
        <is>
          <t>Contributive margin (product sales-COGS)</t>
        </is>
      </c>
      <c r="B27" s="20">
        <f>SUM('P&amp;G-CONSOLIDADO'!D27:F27)</f>
        <v/>
      </c>
      <c r="C27" s="20">
        <f>SUM('P&amp;G-CONSOLIDADO'!G27:I27)</f>
        <v/>
      </c>
      <c r="D27" s="20">
        <f>SUM('P&amp;G-CONSOLIDADO'!J27:L27)</f>
        <v/>
      </c>
      <c r="E27" s="20">
        <f>SUM('P&amp;G-CONSOLIDADO'!M27:O27)</f>
        <v/>
      </c>
      <c r="F27" s="7">
        <f>'P&amp;G-CONSOLIDADO'!P27</f>
        <v/>
      </c>
    </row>
    <row r="28" ht="12" customHeight="1">
      <c r="A28" s="21" t="inlineStr">
        <is>
          <t>% contributive margin</t>
        </is>
      </c>
      <c r="B28" s="22">
        <f>IFERROR(SUM('P&amp;G-CONSOLIDADO'!D27:F27)/SUM('P&amp;G-CONSOLIDADO'!D5:F5),0)</f>
        <v/>
      </c>
      <c r="C28" s="22">
        <f>IFERROR(SUM('P&amp;G-CONSOLIDADO'!G27:I27)/SUM('P&amp;G-CONSOLIDADO'!G5:I5),0)</f>
        <v/>
      </c>
      <c r="D28" s="22">
        <f>IFERROR(SUM('P&amp;G-CONSOLIDADO'!J27:L27)/SUM('P&amp;G-CONSOLIDADO'!J5:L5),0)</f>
        <v/>
      </c>
      <c r="E28" s="22">
        <f>IFERROR(SUM('P&amp;G-CONSOLIDADO'!M27:O27)/SUM('P&amp;G-CONSOLIDADO'!M5:O5),0)</f>
        <v/>
      </c>
      <c r="F28" s="23">
        <f>IFERROR('P&amp;G-CONSOLIDADO'!P27/'P&amp;G-CONSOLIDADO'!P5,0)</f>
        <v/>
      </c>
    </row>
    <row r="29" ht="12" customHeight="1">
      <c r="A29" s="8" t="inlineStr">
        <is>
          <t>OPEX</t>
        </is>
      </c>
      <c r="B29" s="10">
        <f>SUM('P&amp;G-CONSOLIDADO'!D29:F29)</f>
        <v/>
      </c>
      <c r="C29" s="10">
        <f>SUM('P&amp;G-CONSOLIDADO'!G29:I29)</f>
        <v/>
      </c>
      <c r="D29" s="10">
        <f>SUM('P&amp;G-CONSOLIDADO'!J29:L29)</f>
        <v/>
      </c>
      <c r="E29" s="10">
        <f>SUM('P&amp;G-CONSOLIDADO'!M29:O29)</f>
        <v/>
      </c>
      <c r="F29" s="11">
        <f>'P&amp;G-CONSOLIDADO'!P29</f>
        <v/>
      </c>
    </row>
    <row r="30" ht="12" customHeight="1">
      <c r="A30" s="12" t="inlineStr">
        <is>
          <t>Marketing</t>
        </is>
      </c>
      <c r="B30" s="13">
        <f>SUM('P&amp;G-CONSOLIDADO'!D30:F30)</f>
        <v/>
      </c>
      <c r="C30" s="13">
        <f>SUM('P&amp;G-CONSOLIDADO'!G30:I30)</f>
        <v/>
      </c>
      <c r="D30" s="13">
        <f>SUM('P&amp;G-CONSOLIDADO'!J30:L30)</f>
        <v/>
      </c>
      <c r="E30" s="13">
        <f>SUM('P&amp;G-CONSOLIDADO'!M30:O30)</f>
        <v/>
      </c>
      <c r="F30" s="14">
        <f>'P&amp;G-CONSOLIDADO'!P30</f>
        <v/>
      </c>
    </row>
    <row r="31" ht="12" customHeight="1">
      <c r="A31" s="12" t="inlineStr">
        <is>
          <t>Staff</t>
        </is>
      </c>
      <c r="B31" s="13">
        <f>SUM('P&amp;G-CONSOLIDADO'!D31:F31)</f>
        <v/>
      </c>
      <c r="C31" s="13">
        <f>SUM('P&amp;G-CONSOLIDADO'!G31:I31)</f>
        <v/>
      </c>
      <c r="D31" s="13">
        <f>SUM('P&amp;G-CONSOLIDADO'!J31:L31)</f>
        <v/>
      </c>
      <c r="E31" s="13">
        <f>SUM('P&amp;G-CONSOLIDADO'!M31:O31)</f>
        <v/>
      </c>
      <c r="F31" s="14">
        <f>'P&amp;G-CONSOLIDADO'!P31</f>
        <v/>
      </c>
    </row>
    <row r="32" ht="12" customHeight="1">
      <c r="A32" s="12" t="inlineStr">
        <is>
          <t>Administration</t>
        </is>
      </c>
      <c r="B32" s="13">
        <f>SUM('P&amp;G-CONSOLIDADO'!D32:F32)</f>
        <v/>
      </c>
      <c r="C32" s="13">
        <f>SUM('P&amp;G-CONSOLIDADO'!G32:I32)</f>
        <v/>
      </c>
      <c r="D32" s="13">
        <f>SUM('P&amp;G-CONSOLIDADO'!J32:L32)</f>
        <v/>
      </c>
      <c r="E32" s="13">
        <f>SUM('P&amp;G-CONSOLIDADO'!M32:O32)</f>
        <v/>
      </c>
      <c r="F32" s="14">
        <f>'P&amp;G-CONSOLIDADO'!P32</f>
        <v/>
      </c>
    </row>
    <row r="33" ht="12" customHeight="1">
      <c r="A33" s="12" t="inlineStr">
        <is>
          <t>Technology</t>
        </is>
      </c>
      <c r="B33" s="13">
        <f>SUM('P&amp;G-CONSOLIDADO'!D33:F33)</f>
        <v/>
      </c>
      <c r="C33" s="13">
        <f>SUM('P&amp;G-CONSOLIDADO'!G33:I33)</f>
        <v/>
      </c>
      <c r="D33" s="13">
        <f>SUM('P&amp;G-CONSOLIDADO'!J33:L33)</f>
        <v/>
      </c>
      <c r="E33" s="13">
        <f>SUM('P&amp;G-CONSOLIDADO'!M33:O33)</f>
        <v/>
      </c>
      <c r="F33" s="14">
        <f>'P&amp;G-CONSOLIDADO'!P33</f>
        <v/>
      </c>
    </row>
    <row r="34" ht="12" customHeight="1">
      <c r="A34" s="12" t="inlineStr">
        <is>
          <t>Uncategorized Expenses</t>
        </is>
      </c>
      <c r="B34" s="13">
        <f>SUM('P&amp;G-CONSOLIDADO'!D34:F34)</f>
        <v/>
      </c>
      <c r="C34" s="13">
        <f>SUM('P&amp;G-CONSOLIDADO'!G34:I34)</f>
        <v/>
      </c>
      <c r="D34" s="13">
        <f>SUM('P&amp;G-CONSOLIDADO'!J34:L34)</f>
        <v/>
      </c>
      <c r="E34" s="13">
        <f>SUM('P&amp;G-CONSOLIDADO'!M34:O34)</f>
        <v/>
      </c>
      <c r="F34" s="14">
        <f>'P&amp;G-CONSOLIDADO'!P34</f>
        <v/>
      </c>
    </row>
    <row r="35" ht="12" customHeight="1">
      <c r="A35" s="17" t="inlineStr">
        <is>
          <t>Currency Adjustment</t>
        </is>
      </c>
      <c r="B35" s="13">
        <f>SUM('P&amp;G-CONSOLIDADO'!D35:F35)</f>
        <v/>
      </c>
      <c r="C35" s="13">
        <f>SUM('P&amp;G-CONSOLIDADO'!G35:I35)</f>
        <v/>
      </c>
      <c r="D35" s="13">
        <f>SUM('P&amp;G-CONSOLIDADO'!J35:L35)</f>
        <v/>
      </c>
      <c r="E35" s="13">
        <f>SUM('P&amp;G-CONSOLIDADO'!M35:O35)</f>
        <v/>
      </c>
      <c r="F35" s="14">
        <f>'P&amp;G-CONSOLIDADO'!P35</f>
        <v/>
      </c>
    </row>
    <row r="36" ht="12" customHeight="1">
      <c r="A36" s="18" t="inlineStr">
        <is>
          <t>PROFIT</t>
        </is>
      </c>
      <c r="B36" s="20">
        <f>SUM('P&amp;G-CONSOLIDADO'!D36:F36)</f>
        <v/>
      </c>
      <c r="C36" s="20">
        <f>SUM('P&amp;G-CONSOLIDADO'!G36:I36)</f>
        <v/>
      </c>
      <c r="D36" s="20">
        <f>SUM('P&amp;G-CONSOLIDADO'!J36:L36)</f>
        <v/>
      </c>
      <c r="E36" s="20">
        <f>SUM('P&amp;G-CONSOLIDADO'!M36:O36)</f>
        <v/>
      </c>
      <c r="F36" s="7">
        <f>'P&amp;G-CONSOLIDADO'!P36</f>
        <v/>
      </c>
    </row>
    <row r="37" ht="12" customHeight="1">
      <c r="A37" s="21" t="inlineStr">
        <is>
          <t>% profit / product sales</t>
        </is>
      </c>
      <c r="B37" s="22">
        <f>IFERROR(SUM('P&amp;G-CONSOLIDADO'!D36:F36)/SUM('P&amp;G-CONSOLIDADO'!D5:F5),0)</f>
        <v/>
      </c>
      <c r="C37" s="22">
        <f>IFERROR(SUM('P&amp;G-CONSOLIDADO'!G36:I36)/SUM('P&amp;G-CONSOLIDADO'!G5:I5),0)</f>
        <v/>
      </c>
      <c r="D37" s="22">
        <f>IFERROR(SUM('P&amp;G-CONSOLIDADO'!J36:L36)/SUM('P&amp;G-CONSOLIDADO'!J5:L5),0)</f>
        <v/>
      </c>
      <c r="E37" s="22">
        <f>IFERROR(SUM('P&amp;G-CONSOLIDADO'!M36:O36)/SUM('P&amp;G-CONSOLIDADO'!M5:O5),0)</f>
        <v/>
      </c>
      <c r="F37" s="23">
        <f>IFERROR('P&amp;G-CONSOLIDADO'!P36/'P&amp;G-CONSOLIDADO'!P5,0)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2026-09-04T08:00:55Z</dcterms:created>
  <dcterms:modified xmlns:dcterms="http://purl.org/dc/terms/" xmlns:xsi="http://www.w3.org/2001/XMLSchema-instance" xsi:type="dcterms:W3CDTF">2026-09-04T08:00:55Z</dcterms:modified>
</cp:coreProperties>
</file>