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CONSOLIDADO" sheetId="1" state="visible" r:id="rId1"/>
    <sheet name="i-sl" sheetId="2" state="visible" r:id="rId2"/>
    <sheet name="i-ltd" sheetId="3" state="visible" r:id="rId3"/>
    <sheet name="i-inc" sheetId="4" state="visible" r:id="rId4"/>
    <sheet name="fx-rates" sheetId="5" state="visible" r:id="rId5"/>
    <sheet name="P&amp;G-TRIMESTRAL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  <sz val="10"/>
    </font>
    <font>
      <sz val="9"/>
    </font>
    <font>
      <b val="1"/>
    </font>
    <font>
      <b val="1"/>
      <sz val="9"/>
    </font>
    <font>
      <i val="1"/>
      <sz val="9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D9D9D9"/>
      </patternFill>
    </fill>
    <fill>
      <patternFill patternType="solid">
        <fgColor rgb="00EAF3F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0" fillId="3" borderId="1" pivotButton="0" quotePrefix="0" xfId="0"/>
    <xf numFmtId="164" fontId="5" fillId="3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0" fontId="7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/>
    </xf>
    <xf numFmtId="164" fontId="6" fillId="4" borderId="2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3"/>
    </xf>
    <xf numFmtId="164" fontId="5" fillId="0" borderId="0" applyAlignment="1" pivotButton="0" quotePrefix="0" xfId="0">
      <alignment horizontal="right" vertical="center"/>
    </xf>
    <xf numFmtId="164" fontId="5" fillId="4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indent="2"/>
    </xf>
    <xf numFmtId="0" fontId="4" fillId="6" borderId="1" applyAlignment="1" pivotButton="0" quotePrefix="0" xfId="0">
      <alignment horizontal="left" vertical="center"/>
    </xf>
    <xf numFmtId="0" fontId="0" fillId="6" borderId="1" pivotButton="0" quotePrefix="0" xfId="0"/>
    <xf numFmtId="164" fontId="5" fillId="6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166" fontId="5" fillId="6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idden="1">
      <c r="D1" t="inlineStr">
        <is>
          <t>202601</t>
        </is>
      </c>
      <c r="E1" t="inlineStr">
        <is>
          <t>202602</t>
        </is>
      </c>
      <c r="F1" t="inlineStr">
        <is>
          <t>202603</t>
        </is>
      </c>
      <c r="G1" t="inlineStr">
        <is>
          <t>202604</t>
        </is>
      </c>
      <c r="H1" t="inlineStr">
        <is>
          <t>202605</t>
        </is>
      </c>
      <c r="I1" t="inlineStr">
        <is>
          <t>202606</t>
        </is>
      </c>
      <c r="J1" t="inlineStr">
        <is>
          <t>202607</t>
        </is>
      </c>
      <c r="K1" t="inlineStr">
        <is>
          <t>202608</t>
        </is>
      </c>
      <c r="L1" t="inlineStr">
        <is>
          <t>202609</t>
        </is>
      </c>
      <c r="M1" t="inlineStr">
        <is>
          <t>202610</t>
        </is>
      </c>
      <c r="N1" t="inlineStr">
        <is>
          <t>202611</t>
        </is>
      </c>
      <c r="O1" t="inlineStr">
        <is>
          <t>202612</t>
        </is>
      </c>
      <c r="P1" t="inlineStr">
        <is>
          <t>TOTAL</t>
        </is>
      </c>
    </row>
    <row r="2" ht="12" customHeight="1">
      <c r="A2" s="1" t="inlineStr">
        <is>
          <t>P&amp;G CONSOLIDADO 2026 (EUR)</t>
        </is>
      </c>
      <c r="B2" s="2" t="n"/>
      <c r="C2" s="2" t="n"/>
      <c r="D2" s="2" t="inlineStr">
        <is>
          <t>Enero</t>
        </is>
      </c>
      <c r="E2" s="2" t="inlineStr">
        <is>
          <t>Febrero</t>
        </is>
      </c>
      <c r="F2" s="2" t="inlineStr">
        <is>
          <t>Marzo</t>
        </is>
      </c>
      <c r="G2" s="2" t="inlineStr">
        <is>
          <t>Abril</t>
        </is>
      </c>
      <c r="H2" s="2" t="inlineStr">
        <is>
          <t>Mayo</t>
        </is>
      </c>
      <c r="I2" s="2" t="inlineStr">
        <is>
          <t>Junio</t>
        </is>
      </c>
      <c r="J2" s="2" t="inlineStr">
        <is>
          <t>Julio</t>
        </is>
      </c>
      <c r="K2" s="2" t="inlineStr">
        <is>
          <t>Agosto</t>
        </is>
      </c>
      <c r="L2" s="2" t="inlineStr">
        <is>
          <t>Septiembre</t>
        </is>
      </c>
      <c r="M2" s="2" t="inlineStr">
        <is>
          <t>Octubre</t>
        </is>
      </c>
      <c r="N2" s="2" t="inlineStr">
        <is>
          <t>Noviembre</t>
        </is>
      </c>
      <c r="O2" s="2" t="inlineStr">
        <is>
          <t>Diciembre</t>
        </is>
      </c>
      <c r="P2" s="2" t="inlineStr">
        <is>
          <t>Total</t>
        </is>
      </c>
    </row>
    <row r="3" ht="12" customHeight="1">
      <c r="A3" s="3" t="inlineStr">
        <is>
          <t>Actualizado: 10/04/2026 11:48 h</t>
        </is>
      </c>
    </row>
    <row r="4" ht="12" customHeight="1">
      <c r="A4" s="4" t="inlineStr">
        <is>
          <t>TURNOVER</t>
        </is>
      </c>
      <c r="B4" s="5" t="n"/>
      <c r="C4" s="5" t="n"/>
      <c r="D4" s="6">
        <f>D5+D10+D11</f>
        <v/>
      </c>
      <c r="E4" s="6">
        <f>E5+E10+E11</f>
        <v/>
      </c>
      <c r="F4" s="6">
        <f>F5+F10+F11</f>
        <v/>
      </c>
      <c r="G4" s="6">
        <f>G5+G10+G11</f>
        <v/>
      </c>
      <c r="H4" s="6">
        <f>H5+H10+H11</f>
        <v/>
      </c>
      <c r="I4" s="6">
        <f>I5+I10+I11</f>
        <v/>
      </c>
      <c r="J4" s="6">
        <f>J5+J10+J11</f>
        <v/>
      </c>
      <c r="K4" s="6">
        <f>K5+K10+K11</f>
        <v/>
      </c>
      <c r="L4" s="6">
        <f>L5+L10+L11</f>
        <v/>
      </c>
      <c r="M4" s="6">
        <f>M5+M10+M11</f>
        <v/>
      </c>
      <c r="N4" s="6">
        <f>N5+N10+N11</f>
        <v/>
      </c>
      <c r="O4" s="6">
        <f>O5+O10+O11</f>
        <v/>
      </c>
      <c r="P4" s="7">
        <f>SUM(D4:O4)</f>
        <v/>
      </c>
    </row>
    <row r="5" ht="12" customHeight="1">
      <c r="A5" s="8" t="inlineStr">
        <is>
          <t>Product sales</t>
        </is>
      </c>
      <c r="B5" s="9" t="n"/>
      <c r="C5" s="9" t="n"/>
      <c r="D5" s="10">
        <f>D6+D7+D8+D9</f>
        <v/>
      </c>
      <c r="E5" s="10">
        <f>E6+E7+E8+E9</f>
        <v/>
      </c>
      <c r="F5" s="10">
        <f>F6+F7+F8+F9</f>
        <v/>
      </c>
      <c r="G5" s="10">
        <f>G6+G7+G8+G9</f>
        <v/>
      </c>
      <c r="H5" s="10">
        <f>H6+H7+H8+H9</f>
        <v/>
      </c>
      <c r="I5" s="10">
        <f>I6+I7+I8+I9</f>
        <v/>
      </c>
      <c r="J5" s="10">
        <f>J6+J7+J8+J9</f>
        <v/>
      </c>
      <c r="K5" s="10">
        <f>K6+K7+K8+K9</f>
        <v/>
      </c>
      <c r="L5" s="10">
        <f>L6+L7+L8+L9</f>
        <v/>
      </c>
      <c r="M5" s="10">
        <f>M6+M7+M8+M9</f>
        <v/>
      </c>
      <c r="N5" s="10">
        <f>N6+N7+N8+N9</f>
        <v/>
      </c>
      <c r="O5" s="10">
        <f>O6+O7+O8+O9</f>
        <v/>
      </c>
      <c r="P5" s="11">
        <f>SUM(D5:O5)</f>
        <v/>
      </c>
    </row>
    <row r="6" ht="12" customHeight="1">
      <c r="A6" s="12" t="inlineStr">
        <is>
          <t>Shopify</t>
        </is>
      </c>
      <c r="D6" s="13">
        <f>SUMIFS('i-sl'!$C:$C,'i-sl'!$A:$A,D$1,'i-sl'!$B:$B,"shopify")+IFERROR(SUMIFS('i-ltd'!$C:$C,'i-ltd'!$A:$A,D$1,'i-ltd'!$B:$B,"product_sales")/AVERAGEIFS('fx-rates'!$C:$C,'fx-rates'!$A:$A,D$1,'fx-rates'!$B:$B,"GBP"),0)+IFERROR(SUMIFS('i-inc'!$C:$C,'i-inc'!$A:$A,D$1,'i-inc'!$B:$B,"product_sales")/AVERAGEIFS('fx-rates'!$C:$C,'fx-rates'!$A:$A,D$1,'fx-rates'!$B:$B,"USD"),0)</f>
        <v/>
      </c>
      <c r="E6" s="13">
        <f>SUMIFS('i-sl'!$C:$C,'i-sl'!$A:$A,E$1,'i-sl'!$B:$B,"shopify")+IFERROR(SUMIFS('i-ltd'!$C:$C,'i-ltd'!$A:$A,E$1,'i-ltd'!$B:$B,"product_sales")/AVERAGEIFS('fx-rates'!$C:$C,'fx-rates'!$A:$A,E$1,'fx-rates'!$B:$B,"GBP"),0)+IFERROR(SUMIFS('i-inc'!$C:$C,'i-inc'!$A:$A,E$1,'i-inc'!$B:$B,"product_sales")/AVERAGEIFS('fx-rates'!$C:$C,'fx-rates'!$A:$A,E$1,'fx-rates'!$B:$B,"USD"),0)</f>
        <v/>
      </c>
      <c r="F6" s="13">
        <f>SUMIFS('i-sl'!$C:$C,'i-sl'!$A:$A,F$1,'i-sl'!$B:$B,"shopify")+IFERROR(SUMIFS('i-ltd'!$C:$C,'i-ltd'!$A:$A,F$1,'i-ltd'!$B:$B,"product_sales")/AVERAGEIFS('fx-rates'!$C:$C,'fx-rates'!$A:$A,F$1,'fx-rates'!$B:$B,"GBP"),0)+IFERROR(SUMIFS('i-inc'!$C:$C,'i-inc'!$A:$A,F$1,'i-inc'!$B:$B,"product_sales")/AVERAGEIFS('fx-rates'!$C:$C,'fx-rates'!$A:$A,F$1,'fx-rates'!$B:$B,"USD"),0)</f>
        <v/>
      </c>
      <c r="G6" s="13">
        <f>SUMIFS('i-sl'!$C:$C,'i-sl'!$A:$A,G$1,'i-sl'!$B:$B,"shopify")+IFERROR(SUMIFS('i-ltd'!$C:$C,'i-ltd'!$A:$A,G$1,'i-ltd'!$B:$B,"product_sales")/AVERAGEIFS('fx-rates'!$C:$C,'fx-rates'!$A:$A,G$1,'fx-rates'!$B:$B,"GBP"),0)+IFERROR(SUMIFS('i-inc'!$C:$C,'i-inc'!$A:$A,G$1,'i-inc'!$B:$B,"product_sales")/AVERAGEIFS('fx-rates'!$C:$C,'fx-rates'!$A:$A,G$1,'fx-rates'!$B:$B,"USD"),0)</f>
        <v/>
      </c>
      <c r="H6" s="13">
        <f>SUMIFS('i-sl'!$C:$C,'i-sl'!$A:$A,H$1,'i-sl'!$B:$B,"shopify")+IFERROR(SUMIFS('i-ltd'!$C:$C,'i-ltd'!$A:$A,H$1,'i-ltd'!$B:$B,"product_sales")/AVERAGEIFS('fx-rates'!$C:$C,'fx-rates'!$A:$A,H$1,'fx-rates'!$B:$B,"GBP"),0)+IFERROR(SUMIFS('i-inc'!$C:$C,'i-inc'!$A:$A,H$1,'i-inc'!$B:$B,"product_sales")/AVERAGEIFS('fx-rates'!$C:$C,'fx-rates'!$A:$A,H$1,'fx-rates'!$B:$B,"USD"),0)</f>
        <v/>
      </c>
      <c r="I6" s="13">
        <f>SUMIFS('i-sl'!$C:$C,'i-sl'!$A:$A,I$1,'i-sl'!$B:$B,"shopify")+IFERROR(SUMIFS('i-ltd'!$C:$C,'i-ltd'!$A:$A,I$1,'i-ltd'!$B:$B,"product_sales")/AVERAGEIFS('fx-rates'!$C:$C,'fx-rates'!$A:$A,I$1,'fx-rates'!$B:$B,"GBP"),0)+IFERROR(SUMIFS('i-inc'!$C:$C,'i-inc'!$A:$A,I$1,'i-inc'!$B:$B,"product_sales")/AVERAGEIFS('fx-rates'!$C:$C,'fx-rates'!$A:$A,I$1,'fx-rates'!$B:$B,"USD"),0)</f>
        <v/>
      </c>
      <c r="J6" s="13">
        <f>SUMIFS('i-sl'!$C:$C,'i-sl'!$A:$A,J$1,'i-sl'!$B:$B,"shopify")+IFERROR(SUMIFS('i-ltd'!$C:$C,'i-ltd'!$A:$A,J$1,'i-ltd'!$B:$B,"product_sales")/AVERAGEIFS('fx-rates'!$C:$C,'fx-rates'!$A:$A,J$1,'fx-rates'!$B:$B,"GBP"),0)+IFERROR(SUMIFS('i-inc'!$C:$C,'i-inc'!$A:$A,J$1,'i-inc'!$B:$B,"product_sales")/AVERAGEIFS('fx-rates'!$C:$C,'fx-rates'!$A:$A,J$1,'fx-rates'!$B:$B,"USD"),0)</f>
        <v/>
      </c>
      <c r="K6" s="13">
        <f>SUMIFS('i-sl'!$C:$C,'i-sl'!$A:$A,K$1,'i-sl'!$B:$B,"shopify")+IFERROR(SUMIFS('i-ltd'!$C:$C,'i-ltd'!$A:$A,K$1,'i-ltd'!$B:$B,"product_sales")/AVERAGEIFS('fx-rates'!$C:$C,'fx-rates'!$A:$A,K$1,'fx-rates'!$B:$B,"GBP"),0)+IFERROR(SUMIFS('i-inc'!$C:$C,'i-inc'!$A:$A,K$1,'i-inc'!$B:$B,"product_sales")/AVERAGEIFS('fx-rates'!$C:$C,'fx-rates'!$A:$A,K$1,'fx-rates'!$B:$B,"USD"),0)</f>
        <v/>
      </c>
      <c r="L6" s="13">
        <f>SUMIFS('i-sl'!$C:$C,'i-sl'!$A:$A,L$1,'i-sl'!$B:$B,"shopify")+IFERROR(SUMIFS('i-ltd'!$C:$C,'i-ltd'!$A:$A,L$1,'i-ltd'!$B:$B,"product_sales")/AVERAGEIFS('fx-rates'!$C:$C,'fx-rates'!$A:$A,L$1,'fx-rates'!$B:$B,"GBP"),0)+IFERROR(SUMIFS('i-inc'!$C:$C,'i-inc'!$A:$A,L$1,'i-inc'!$B:$B,"product_sales")/AVERAGEIFS('fx-rates'!$C:$C,'fx-rates'!$A:$A,L$1,'fx-rates'!$B:$B,"USD"),0)</f>
        <v/>
      </c>
      <c r="M6" s="13">
        <f>SUMIFS('i-sl'!$C:$C,'i-sl'!$A:$A,M$1,'i-sl'!$B:$B,"shopify")+IFERROR(SUMIFS('i-ltd'!$C:$C,'i-ltd'!$A:$A,M$1,'i-ltd'!$B:$B,"product_sales")/AVERAGEIFS('fx-rates'!$C:$C,'fx-rates'!$A:$A,M$1,'fx-rates'!$B:$B,"GBP"),0)+IFERROR(SUMIFS('i-inc'!$C:$C,'i-inc'!$A:$A,M$1,'i-inc'!$B:$B,"product_sales")/AVERAGEIFS('fx-rates'!$C:$C,'fx-rates'!$A:$A,M$1,'fx-rates'!$B:$B,"USD"),0)</f>
        <v/>
      </c>
      <c r="N6" s="13">
        <f>SUMIFS('i-sl'!$C:$C,'i-sl'!$A:$A,N$1,'i-sl'!$B:$B,"shopify")+IFERROR(SUMIFS('i-ltd'!$C:$C,'i-ltd'!$A:$A,N$1,'i-ltd'!$B:$B,"product_sales")/AVERAGEIFS('fx-rates'!$C:$C,'fx-rates'!$A:$A,N$1,'fx-rates'!$B:$B,"GBP"),0)+IFERROR(SUMIFS('i-inc'!$C:$C,'i-inc'!$A:$A,N$1,'i-inc'!$B:$B,"product_sales")/AVERAGEIFS('fx-rates'!$C:$C,'fx-rates'!$A:$A,N$1,'fx-rates'!$B:$B,"USD"),0)</f>
        <v/>
      </c>
      <c r="O6" s="13">
        <f>SUMIFS('i-sl'!$C:$C,'i-sl'!$A:$A,O$1,'i-sl'!$B:$B,"shopify")+IFERROR(SUMIFS('i-ltd'!$C:$C,'i-ltd'!$A:$A,O$1,'i-ltd'!$B:$B,"product_sales")/AVERAGEIFS('fx-rates'!$C:$C,'fx-rates'!$A:$A,O$1,'fx-rates'!$B:$B,"GBP"),0)+IFERROR(SUMIFS('i-inc'!$C:$C,'i-inc'!$A:$A,O$1,'i-inc'!$B:$B,"product_sales")/AVERAGEIFS('fx-rates'!$C:$C,'fx-rates'!$A:$A,O$1,'fx-rates'!$B:$B,"USD"),0)</f>
        <v/>
      </c>
      <c r="P6" s="14">
        <f>SUM(D6:O6)</f>
        <v/>
      </c>
    </row>
    <row r="7" ht="12" customHeight="1">
      <c r="A7" s="12" t="inlineStr">
        <is>
          <t>Marketplaces</t>
        </is>
      </c>
      <c r="D7" s="13">
        <f>SUMIFS('i-sl'!$C:$C,'i-sl'!$A:$A,D$1,'i-sl'!$B:$B,"marketplaces")</f>
        <v/>
      </c>
      <c r="E7" s="13">
        <f>SUMIFS('i-sl'!$C:$C,'i-sl'!$A:$A,E$1,'i-sl'!$B:$B,"marketplaces")</f>
        <v/>
      </c>
      <c r="F7" s="13">
        <f>SUMIFS('i-sl'!$C:$C,'i-sl'!$A:$A,F$1,'i-sl'!$B:$B,"marketplaces")</f>
        <v/>
      </c>
      <c r="G7" s="13">
        <f>SUMIFS('i-sl'!$C:$C,'i-sl'!$A:$A,G$1,'i-sl'!$B:$B,"marketplaces")</f>
        <v/>
      </c>
      <c r="H7" s="13">
        <f>SUMIFS('i-sl'!$C:$C,'i-sl'!$A:$A,H$1,'i-sl'!$B:$B,"marketplaces")</f>
        <v/>
      </c>
      <c r="I7" s="13">
        <f>SUMIFS('i-sl'!$C:$C,'i-sl'!$A:$A,I$1,'i-sl'!$B:$B,"marketplaces")</f>
        <v/>
      </c>
      <c r="J7" s="13">
        <f>SUMIFS('i-sl'!$C:$C,'i-sl'!$A:$A,J$1,'i-sl'!$B:$B,"marketplaces")</f>
        <v/>
      </c>
      <c r="K7" s="13">
        <f>SUMIFS('i-sl'!$C:$C,'i-sl'!$A:$A,K$1,'i-sl'!$B:$B,"marketplaces")</f>
        <v/>
      </c>
      <c r="L7" s="13">
        <f>SUMIFS('i-sl'!$C:$C,'i-sl'!$A:$A,L$1,'i-sl'!$B:$B,"marketplaces")</f>
        <v/>
      </c>
      <c r="M7" s="13">
        <f>SUMIFS('i-sl'!$C:$C,'i-sl'!$A:$A,M$1,'i-sl'!$B:$B,"marketplaces")</f>
        <v/>
      </c>
      <c r="N7" s="13">
        <f>SUMIFS('i-sl'!$C:$C,'i-sl'!$A:$A,N$1,'i-sl'!$B:$B,"marketplaces")</f>
        <v/>
      </c>
      <c r="O7" s="13">
        <f>SUMIFS('i-sl'!$C:$C,'i-sl'!$A:$A,O$1,'i-sl'!$B:$B,"marketplaces")</f>
        <v/>
      </c>
      <c r="P7" s="14">
        <f>SUM(D7:O7)</f>
        <v/>
      </c>
    </row>
    <row r="8" ht="12" customHeight="1">
      <c r="A8" s="12" t="inlineStr">
        <is>
          <t>Rappels</t>
        </is>
      </c>
      <c r="D8" s="13">
        <f>SUMIFS('i-sl'!$C:$C,'i-sl'!$A:$A,D$1,'i-sl'!$B:$B,"rappels")</f>
        <v/>
      </c>
      <c r="E8" s="13">
        <f>SUMIFS('i-sl'!$C:$C,'i-sl'!$A:$A,E$1,'i-sl'!$B:$B,"rappels")</f>
        <v/>
      </c>
      <c r="F8" s="13">
        <f>SUMIFS('i-sl'!$C:$C,'i-sl'!$A:$A,F$1,'i-sl'!$B:$B,"rappels")</f>
        <v/>
      </c>
      <c r="G8" s="13">
        <f>SUMIFS('i-sl'!$C:$C,'i-sl'!$A:$A,G$1,'i-sl'!$B:$B,"rappels")</f>
        <v/>
      </c>
      <c r="H8" s="13">
        <f>SUMIFS('i-sl'!$C:$C,'i-sl'!$A:$A,H$1,'i-sl'!$B:$B,"rappels")</f>
        <v/>
      </c>
      <c r="I8" s="13">
        <f>SUMIFS('i-sl'!$C:$C,'i-sl'!$A:$A,I$1,'i-sl'!$B:$B,"rappels")</f>
        <v/>
      </c>
      <c r="J8" s="13">
        <f>SUMIFS('i-sl'!$C:$C,'i-sl'!$A:$A,J$1,'i-sl'!$B:$B,"rappels")</f>
        <v/>
      </c>
      <c r="K8" s="13">
        <f>SUMIFS('i-sl'!$C:$C,'i-sl'!$A:$A,K$1,'i-sl'!$B:$B,"rappels")</f>
        <v/>
      </c>
      <c r="L8" s="13">
        <f>SUMIFS('i-sl'!$C:$C,'i-sl'!$A:$A,L$1,'i-sl'!$B:$B,"rappels")</f>
        <v/>
      </c>
      <c r="M8" s="13">
        <f>SUMIFS('i-sl'!$C:$C,'i-sl'!$A:$A,M$1,'i-sl'!$B:$B,"rappels")</f>
        <v/>
      </c>
      <c r="N8" s="13">
        <f>SUMIFS('i-sl'!$C:$C,'i-sl'!$A:$A,N$1,'i-sl'!$B:$B,"rappels")</f>
        <v/>
      </c>
      <c r="O8" s="13">
        <f>SUMIFS('i-sl'!$C:$C,'i-sl'!$A:$A,O$1,'i-sl'!$B:$B,"rappels")</f>
        <v/>
      </c>
      <c r="P8" s="14">
        <f>SUM(D8:O8)</f>
        <v/>
      </c>
    </row>
    <row r="9" ht="12" customHeight="1">
      <c r="A9" s="12" t="inlineStr">
        <is>
          <t>Supplies</t>
        </is>
      </c>
      <c r="D9" s="13">
        <f>SUMIFS('i-sl'!$C:$C,'i-sl'!$A:$A,D$1,'i-sl'!$B:$B,"supplies")</f>
        <v/>
      </c>
      <c r="E9" s="13">
        <f>SUMIFS('i-sl'!$C:$C,'i-sl'!$A:$A,E$1,'i-sl'!$B:$B,"supplies")</f>
        <v/>
      </c>
      <c r="F9" s="13">
        <f>SUMIFS('i-sl'!$C:$C,'i-sl'!$A:$A,F$1,'i-sl'!$B:$B,"supplies")</f>
        <v/>
      </c>
      <c r="G9" s="13">
        <f>SUMIFS('i-sl'!$C:$C,'i-sl'!$A:$A,G$1,'i-sl'!$B:$B,"supplies")</f>
        <v/>
      </c>
      <c r="H9" s="13">
        <f>SUMIFS('i-sl'!$C:$C,'i-sl'!$A:$A,H$1,'i-sl'!$B:$B,"supplies")</f>
        <v/>
      </c>
      <c r="I9" s="13">
        <f>SUMIFS('i-sl'!$C:$C,'i-sl'!$A:$A,I$1,'i-sl'!$B:$B,"supplies")</f>
        <v/>
      </c>
      <c r="J9" s="13">
        <f>SUMIFS('i-sl'!$C:$C,'i-sl'!$A:$A,J$1,'i-sl'!$B:$B,"supplies")</f>
        <v/>
      </c>
      <c r="K9" s="13">
        <f>SUMIFS('i-sl'!$C:$C,'i-sl'!$A:$A,K$1,'i-sl'!$B:$B,"supplies")</f>
        <v/>
      </c>
      <c r="L9" s="13">
        <f>SUMIFS('i-sl'!$C:$C,'i-sl'!$A:$A,L$1,'i-sl'!$B:$B,"supplies")</f>
        <v/>
      </c>
      <c r="M9" s="13">
        <f>SUMIFS('i-sl'!$C:$C,'i-sl'!$A:$A,M$1,'i-sl'!$B:$B,"supplies")</f>
        <v/>
      </c>
      <c r="N9" s="13">
        <f>SUMIFS('i-sl'!$C:$C,'i-sl'!$A:$A,N$1,'i-sl'!$B:$B,"supplies")</f>
        <v/>
      </c>
      <c r="O9" s="13">
        <f>SUMIFS('i-sl'!$C:$C,'i-sl'!$A:$A,O$1,'i-sl'!$B:$B,"supplies")</f>
        <v/>
      </c>
      <c r="P9" s="14">
        <f>SUM(D9:O9)</f>
        <v/>
      </c>
    </row>
    <row r="10" ht="12" customHeight="1">
      <c r="A10" s="8" t="inlineStr">
        <is>
          <t>Services</t>
        </is>
      </c>
      <c r="B10" s="9" t="n"/>
      <c r="C10" s="9" t="n"/>
      <c r="D10" s="10">
        <f>SUMIFS('i-sl'!$C:$C,'i-sl'!$A:$A,D$1,'i-sl'!$B:$B,"services_ext")</f>
        <v/>
      </c>
      <c r="E10" s="10">
        <f>SUMIFS('i-sl'!$C:$C,'i-sl'!$A:$A,E$1,'i-sl'!$B:$B,"services_ext")</f>
        <v/>
      </c>
      <c r="F10" s="10">
        <f>SUMIFS('i-sl'!$C:$C,'i-sl'!$A:$A,F$1,'i-sl'!$B:$B,"services_ext")</f>
        <v/>
      </c>
      <c r="G10" s="10">
        <f>SUMIFS('i-sl'!$C:$C,'i-sl'!$A:$A,G$1,'i-sl'!$B:$B,"services_ext")</f>
        <v/>
      </c>
      <c r="H10" s="10">
        <f>SUMIFS('i-sl'!$C:$C,'i-sl'!$A:$A,H$1,'i-sl'!$B:$B,"services_ext")</f>
        <v/>
      </c>
      <c r="I10" s="10">
        <f>SUMIFS('i-sl'!$C:$C,'i-sl'!$A:$A,I$1,'i-sl'!$B:$B,"services_ext")</f>
        <v/>
      </c>
      <c r="J10" s="10">
        <f>SUMIFS('i-sl'!$C:$C,'i-sl'!$A:$A,J$1,'i-sl'!$B:$B,"services_ext")</f>
        <v/>
      </c>
      <c r="K10" s="10">
        <f>SUMIFS('i-sl'!$C:$C,'i-sl'!$A:$A,K$1,'i-sl'!$B:$B,"services_ext")</f>
        <v/>
      </c>
      <c r="L10" s="10">
        <f>SUMIFS('i-sl'!$C:$C,'i-sl'!$A:$A,L$1,'i-sl'!$B:$B,"services_ext")</f>
        <v/>
      </c>
      <c r="M10" s="10">
        <f>SUMIFS('i-sl'!$C:$C,'i-sl'!$A:$A,M$1,'i-sl'!$B:$B,"services_ext")</f>
        <v/>
      </c>
      <c r="N10" s="10">
        <f>SUMIFS('i-sl'!$C:$C,'i-sl'!$A:$A,N$1,'i-sl'!$B:$B,"services_ext")</f>
        <v/>
      </c>
      <c r="O10" s="10">
        <f>SUMIFS('i-sl'!$C:$C,'i-sl'!$A:$A,O$1,'i-sl'!$B:$B,"services_ext")</f>
        <v/>
      </c>
      <c r="P10" s="11">
        <f>SUM(D10:O10)</f>
        <v/>
      </c>
    </row>
    <row r="11" ht="12" customHeight="1">
      <c r="A11" s="15" t="inlineStr">
        <is>
          <t>Uncategorized income</t>
        </is>
      </c>
      <c r="D11" s="13">
        <f>SUMIFS('i-sl'!$C:$C,'i-sl'!$A:$A,D$1,'i-sl'!$B:$B,"otros_ingresos")+IFERROR(SUMIFS('i-ltd'!$C:$C,'i-ltd'!$A:$A,D$1,'i-ltd'!$B:$B,"otros_ingresos")/AVERAGEIFS('fx-rates'!$C:$C,'fx-rates'!$A:$A,D$1,'fx-rates'!$B:$B,"GBP"),0)+IFERROR(SUMIFS('i-inc'!$C:$C,'i-inc'!$A:$A,D$1,'i-inc'!$B:$B,"otros_ingresos")/AVERAGEIFS('fx-rates'!$C:$C,'fx-rates'!$A:$A,D$1,'fx-rates'!$B:$B,"USD"),0)</f>
        <v/>
      </c>
      <c r="E11" s="13">
        <f>SUMIFS('i-sl'!$C:$C,'i-sl'!$A:$A,E$1,'i-sl'!$B:$B,"otros_ingresos")+IFERROR(SUMIFS('i-ltd'!$C:$C,'i-ltd'!$A:$A,E$1,'i-ltd'!$B:$B,"otros_ingresos")/AVERAGEIFS('fx-rates'!$C:$C,'fx-rates'!$A:$A,E$1,'fx-rates'!$B:$B,"GBP"),0)+IFERROR(SUMIFS('i-inc'!$C:$C,'i-inc'!$A:$A,E$1,'i-inc'!$B:$B,"otros_ingresos")/AVERAGEIFS('fx-rates'!$C:$C,'fx-rates'!$A:$A,E$1,'fx-rates'!$B:$B,"USD"),0)</f>
        <v/>
      </c>
      <c r="F11" s="13">
        <f>SUMIFS('i-sl'!$C:$C,'i-sl'!$A:$A,F$1,'i-sl'!$B:$B,"otros_ingresos")+IFERROR(SUMIFS('i-ltd'!$C:$C,'i-ltd'!$A:$A,F$1,'i-ltd'!$B:$B,"otros_ingresos")/AVERAGEIFS('fx-rates'!$C:$C,'fx-rates'!$A:$A,F$1,'fx-rates'!$B:$B,"GBP"),0)+IFERROR(SUMIFS('i-inc'!$C:$C,'i-inc'!$A:$A,F$1,'i-inc'!$B:$B,"otros_ingresos")/AVERAGEIFS('fx-rates'!$C:$C,'fx-rates'!$A:$A,F$1,'fx-rates'!$B:$B,"USD"),0)</f>
        <v/>
      </c>
      <c r="G11" s="13">
        <f>SUMIFS('i-sl'!$C:$C,'i-sl'!$A:$A,G$1,'i-sl'!$B:$B,"otros_ingresos")+IFERROR(SUMIFS('i-ltd'!$C:$C,'i-ltd'!$A:$A,G$1,'i-ltd'!$B:$B,"otros_ingresos")/AVERAGEIFS('fx-rates'!$C:$C,'fx-rates'!$A:$A,G$1,'fx-rates'!$B:$B,"GBP"),0)+IFERROR(SUMIFS('i-inc'!$C:$C,'i-inc'!$A:$A,G$1,'i-inc'!$B:$B,"otros_ingresos")/AVERAGEIFS('fx-rates'!$C:$C,'fx-rates'!$A:$A,G$1,'fx-rates'!$B:$B,"USD"),0)</f>
        <v/>
      </c>
      <c r="H11" s="13">
        <f>SUMIFS('i-sl'!$C:$C,'i-sl'!$A:$A,H$1,'i-sl'!$B:$B,"otros_ingresos")+IFERROR(SUMIFS('i-ltd'!$C:$C,'i-ltd'!$A:$A,H$1,'i-ltd'!$B:$B,"otros_ingresos")/AVERAGEIFS('fx-rates'!$C:$C,'fx-rates'!$A:$A,H$1,'fx-rates'!$B:$B,"GBP"),0)+IFERROR(SUMIFS('i-inc'!$C:$C,'i-inc'!$A:$A,H$1,'i-inc'!$B:$B,"otros_ingresos")/AVERAGEIFS('fx-rates'!$C:$C,'fx-rates'!$A:$A,H$1,'fx-rates'!$B:$B,"USD"),0)</f>
        <v/>
      </c>
      <c r="I11" s="13">
        <f>SUMIFS('i-sl'!$C:$C,'i-sl'!$A:$A,I$1,'i-sl'!$B:$B,"otros_ingresos")+IFERROR(SUMIFS('i-ltd'!$C:$C,'i-ltd'!$A:$A,I$1,'i-ltd'!$B:$B,"otros_ingresos")/AVERAGEIFS('fx-rates'!$C:$C,'fx-rates'!$A:$A,I$1,'fx-rates'!$B:$B,"GBP"),0)+IFERROR(SUMIFS('i-inc'!$C:$C,'i-inc'!$A:$A,I$1,'i-inc'!$B:$B,"otros_ingresos")/AVERAGEIFS('fx-rates'!$C:$C,'fx-rates'!$A:$A,I$1,'fx-rates'!$B:$B,"USD"),0)</f>
        <v/>
      </c>
      <c r="J11" s="13">
        <f>SUMIFS('i-sl'!$C:$C,'i-sl'!$A:$A,J$1,'i-sl'!$B:$B,"otros_ingresos")+IFERROR(SUMIFS('i-ltd'!$C:$C,'i-ltd'!$A:$A,J$1,'i-ltd'!$B:$B,"otros_ingresos")/AVERAGEIFS('fx-rates'!$C:$C,'fx-rates'!$A:$A,J$1,'fx-rates'!$B:$B,"GBP"),0)+IFERROR(SUMIFS('i-inc'!$C:$C,'i-inc'!$A:$A,J$1,'i-inc'!$B:$B,"otros_ingresos")/AVERAGEIFS('fx-rates'!$C:$C,'fx-rates'!$A:$A,J$1,'fx-rates'!$B:$B,"USD"),0)</f>
        <v/>
      </c>
      <c r="K11" s="13">
        <f>SUMIFS('i-sl'!$C:$C,'i-sl'!$A:$A,K$1,'i-sl'!$B:$B,"otros_ingresos")+IFERROR(SUMIFS('i-ltd'!$C:$C,'i-ltd'!$A:$A,K$1,'i-ltd'!$B:$B,"otros_ingresos")/AVERAGEIFS('fx-rates'!$C:$C,'fx-rates'!$A:$A,K$1,'fx-rates'!$B:$B,"GBP"),0)+IFERROR(SUMIFS('i-inc'!$C:$C,'i-inc'!$A:$A,K$1,'i-inc'!$B:$B,"otros_ingresos")/AVERAGEIFS('fx-rates'!$C:$C,'fx-rates'!$A:$A,K$1,'fx-rates'!$B:$B,"USD"),0)</f>
        <v/>
      </c>
      <c r="L11" s="13">
        <f>SUMIFS('i-sl'!$C:$C,'i-sl'!$A:$A,L$1,'i-sl'!$B:$B,"otros_ingresos")+IFERROR(SUMIFS('i-ltd'!$C:$C,'i-ltd'!$A:$A,L$1,'i-ltd'!$B:$B,"otros_ingresos")/AVERAGEIFS('fx-rates'!$C:$C,'fx-rates'!$A:$A,L$1,'fx-rates'!$B:$B,"GBP"),0)+IFERROR(SUMIFS('i-inc'!$C:$C,'i-inc'!$A:$A,L$1,'i-inc'!$B:$B,"otros_ingresos")/AVERAGEIFS('fx-rates'!$C:$C,'fx-rates'!$A:$A,L$1,'fx-rates'!$B:$B,"USD"),0)</f>
        <v/>
      </c>
      <c r="M11" s="13">
        <f>SUMIFS('i-sl'!$C:$C,'i-sl'!$A:$A,M$1,'i-sl'!$B:$B,"otros_ingresos")+IFERROR(SUMIFS('i-ltd'!$C:$C,'i-ltd'!$A:$A,M$1,'i-ltd'!$B:$B,"otros_ingresos")/AVERAGEIFS('fx-rates'!$C:$C,'fx-rates'!$A:$A,M$1,'fx-rates'!$B:$B,"GBP"),0)+IFERROR(SUMIFS('i-inc'!$C:$C,'i-inc'!$A:$A,M$1,'i-inc'!$B:$B,"otros_ingresos")/AVERAGEIFS('fx-rates'!$C:$C,'fx-rates'!$A:$A,M$1,'fx-rates'!$B:$B,"USD"),0)</f>
        <v/>
      </c>
      <c r="N11" s="13">
        <f>SUMIFS('i-sl'!$C:$C,'i-sl'!$A:$A,N$1,'i-sl'!$B:$B,"otros_ingresos")+IFERROR(SUMIFS('i-ltd'!$C:$C,'i-ltd'!$A:$A,N$1,'i-ltd'!$B:$B,"otros_ingresos")/AVERAGEIFS('fx-rates'!$C:$C,'fx-rates'!$A:$A,N$1,'fx-rates'!$B:$B,"GBP"),0)+IFERROR(SUMIFS('i-inc'!$C:$C,'i-inc'!$A:$A,N$1,'i-inc'!$B:$B,"otros_ingresos")/AVERAGEIFS('fx-rates'!$C:$C,'fx-rates'!$A:$A,N$1,'fx-rates'!$B:$B,"USD"),0)</f>
        <v/>
      </c>
      <c r="O11" s="13">
        <f>SUMIFS('i-sl'!$C:$C,'i-sl'!$A:$A,O$1,'i-sl'!$B:$B,"otros_ingresos")+IFERROR(SUMIFS('i-ltd'!$C:$C,'i-ltd'!$A:$A,O$1,'i-ltd'!$B:$B,"otros_ingresos")/AVERAGEIFS('fx-rates'!$C:$C,'fx-rates'!$A:$A,O$1,'fx-rates'!$B:$B,"GBP"),0)+IFERROR(SUMIFS('i-inc'!$C:$C,'i-inc'!$A:$A,O$1,'i-inc'!$B:$B,"otros_ingresos")/AVERAGEIFS('fx-rates'!$C:$C,'fx-rates'!$A:$A,O$1,'fx-rates'!$B:$B,"USD"),0)</f>
        <v/>
      </c>
      <c r="P11" s="14">
        <f>SUM(D11:O11)</f>
        <v/>
      </c>
    </row>
    <row r="12" ht="12" customHeight="1">
      <c r="A12" s="4" t="inlineStr">
        <is>
          <t>EXPENSES</t>
        </is>
      </c>
      <c r="B12" s="5" t="n"/>
      <c r="C12" s="5" t="n"/>
      <c r="D12" s="6">
        <f>D13+D22</f>
        <v/>
      </c>
      <c r="E12" s="6">
        <f>E13+E22</f>
        <v/>
      </c>
      <c r="F12" s="6">
        <f>F13+F22</f>
        <v/>
      </c>
      <c r="G12" s="6">
        <f>G13+G22</f>
        <v/>
      </c>
      <c r="H12" s="6">
        <f>H13+H22</f>
        <v/>
      </c>
      <c r="I12" s="6">
        <f>I13+I22</f>
        <v/>
      </c>
      <c r="J12" s="6">
        <f>J13+J22</f>
        <v/>
      </c>
      <c r="K12" s="6">
        <f>K13+K22</f>
        <v/>
      </c>
      <c r="L12" s="6">
        <f>L13+L22</f>
        <v/>
      </c>
      <c r="M12" s="6">
        <f>M13+M22</f>
        <v/>
      </c>
      <c r="N12" s="6">
        <f>N13+N22</f>
        <v/>
      </c>
      <c r="O12" s="6">
        <f>O13+O22</f>
        <v/>
      </c>
      <c r="P12" s="7">
        <f>SUM(D12:O12)</f>
        <v/>
      </c>
    </row>
    <row r="13" ht="12" customHeight="1">
      <c r="A13" s="8" t="inlineStr">
        <is>
          <t>COGS</t>
        </is>
      </c>
      <c r="B13" s="9" t="n"/>
      <c r="C13" s="9" t="n"/>
      <c r="D13" s="10">
        <f>D14+D15+D16+D17</f>
        <v/>
      </c>
      <c r="E13" s="10">
        <f>E14+E15+E16+E17</f>
        <v/>
      </c>
      <c r="F13" s="10">
        <f>F14+F15+F16+F17</f>
        <v/>
      </c>
      <c r="G13" s="10">
        <f>G14+G15+G16+G17</f>
        <v/>
      </c>
      <c r="H13" s="10">
        <f>H14+H15+H16+H17</f>
        <v/>
      </c>
      <c r="I13" s="10">
        <f>I14+I15+I16+I17</f>
        <v/>
      </c>
      <c r="J13" s="10">
        <f>J14+J15+J16+J17</f>
        <v/>
      </c>
      <c r="K13" s="10">
        <f>K14+K15+K16+K17</f>
        <v/>
      </c>
      <c r="L13" s="10">
        <f>L14+L15+L16+L17</f>
        <v/>
      </c>
      <c r="M13" s="10">
        <f>M14+M15+M16+M17</f>
        <v/>
      </c>
      <c r="N13" s="10">
        <f>N14+N15+N16+N17</f>
        <v/>
      </c>
      <c r="O13" s="10">
        <f>O14+O15+O16+O17</f>
        <v/>
      </c>
      <c r="P13" s="11">
        <f>SUM(D13:O13)</f>
        <v/>
      </c>
    </row>
    <row r="14" ht="12" customHeight="1">
      <c r="A14" s="12" t="inlineStr">
        <is>
          <t>Manufacturing</t>
        </is>
      </c>
      <c r="D14" s="13">
        <f>SUMIFS('i-sl'!$C:$C,'i-sl'!$A:$A,D$1,'i-sl'!$B:$B,"manufacturing")+IFERROR(SUMIFS('i-ltd'!$C:$C,'i-ltd'!$A:$A,D$1,'i-ltd'!$B:$B,"manufacturing")/AVERAGEIFS('fx-rates'!$C:$C,'fx-rates'!$A:$A,D$1,'fx-rates'!$B:$B,"GBP"),0)+IFERROR(SUMIFS('i-inc'!$C:$C,'i-inc'!$A:$A,D$1,'i-inc'!$B:$B,"manufacturing")/AVERAGEIFS('fx-rates'!$C:$C,'fx-rates'!$A:$A,D$1,'fx-rates'!$B:$B,"USD"),0)</f>
        <v/>
      </c>
      <c r="E14" s="13">
        <f>SUMIFS('i-sl'!$C:$C,'i-sl'!$A:$A,E$1,'i-sl'!$B:$B,"manufacturing")+IFERROR(SUMIFS('i-ltd'!$C:$C,'i-ltd'!$A:$A,E$1,'i-ltd'!$B:$B,"manufacturing")/AVERAGEIFS('fx-rates'!$C:$C,'fx-rates'!$A:$A,E$1,'fx-rates'!$B:$B,"GBP"),0)+IFERROR(SUMIFS('i-inc'!$C:$C,'i-inc'!$A:$A,E$1,'i-inc'!$B:$B,"manufacturing")/AVERAGEIFS('fx-rates'!$C:$C,'fx-rates'!$A:$A,E$1,'fx-rates'!$B:$B,"USD"),0)</f>
        <v/>
      </c>
      <c r="F14" s="13">
        <f>SUMIFS('i-sl'!$C:$C,'i-sl'!$A:$A,F$1,'i-sl'!$B:$B,"manufacturing")+IFERROR(SUMIFS('i-ltd'!$C:$C,'i-ltd'!$A:$A,F$1,'i-ltd'!$B:$B,"manufacturing")/AVERAGEIFS('fx-rates'!$C:$C,'fx-rates'!$A:$A,F$1,'fx-rates'!$B:$B,"GBP"),0)+IFERROR(SUMIFS('i-inc'!$C:$C,'i-inc'!$A:$A,F$1,'i-inc'!$B:$B,"manufacturing")/AVERAGEIFS('fx-rates'!$C:$C,'fx-rates'!$A:$A,F$1,'fx-rates'!$B:$B,"USD"),0)</f>
        <v/>
      </c>
      <c r="G14" s="13">
        <f>SUMIFS('i-sl'!$C:$C,'i-sl'!$A:$A,G$1,'i-sl'!$B:$B,"manufacturing")+IFERROR(SUMIFS('i-ltd'!$C:$C,'i-ltd'!$A:$A,G$1,'i-ltd'!$B:$B,"manufacturing")/AVERAGEIFS('fx-rates'!$C:$C,'fx-rates'!$A:$A,G$1,'fx-rates'!$B:$B,"GBP"),0)+IFERROR(SUMIFS('i-inc'!$C:$C,'i-inc'!$A:$A,G$1,'i-inc'!$B:$B,"manufacturing")/AVERAGEIFS('fx-rates'!$C:$C,'fx-rates'!$A:$A,G$1,'fx-rates'!$B:$B,"USD"),0)</f>
        <v/>
      </c>
      <c r="H14" s="13">
        <f>SUMIFS('i-sl'!$C:$C,'i-sl'!$A:$A,H$1,'i-sl'!$B:$B,"manufacturing")+IFERROR(SUMIFS('i-ltd'!$C:$C,'i-ltd'!$A:$A,H$1,'i-ltd'!$B:$B,"manufacturing")/AVERAGEIFS('fx-rates'!$C:$C,'fx-rates'!$A:$A,H$1,'fx-rates'!$B:$B,"GBP"),0)+IFERROR(SUMIFS('i-inc'!$C:$C,'i-inc'!$A:$A,H$1,'i-inc'!$B:$B,"manufacturing")/AVERAGEIFS('fx-rates'!$C:$C,'fx-rates'!$A:$A,H$1,'fx-rates'!$B:$B,"USD"),0)</f>
        <v/>
      </c>
      <c r="I14" s="13">
        <f>SUMIFS('i-sl'!$C:$C,'i-sl'!$A:$A,I$1,'i-sl'!$B:$B,"manufacturing")+IFERROR(SUMIFS('i-ltd'!$C:$C,'i-ltd'!$A:$A,I$1,'i-ltd'!$B:$B,"manufacturing")/AVERAGEIFS('fx-rates'!$C:$C,'fx-rates'!$A:$A,I$1,'fx-rates'!$B:$B,"GBP"),0)+IFERROR(SUMIFS('i-inc'!$C:$C,'i-inc'!$A:$A,I$1,'i-inc'!$B:$B,"manufacturing")/AVERAGEIFS('fx-rates'!$C:$C,'fx-rates'!$A:$A,I$1,'fx-rates'!$B:$B,"USD"),0)</f>
        <v/>
      </c>
      <c r="J14" s="13">
        <f>SUMIFS('i-sl'!$C:$C,'i-sl'!$A:$A,J$1,'i-sl'!$B:$B,"manufacturing")+IFERROR(SUMIFS('i-ltd'!$C:$C,'i-ltd'!$A:$A,J$1,'i-ltd'!$B:$B,"manufacturing")/AVERAGEIFS('fx-rates'!$C:$C,'fx-rates'!$A:$A,J$1,'fx-rates'!$B:$B,"GBP"),0)+IFERROR(SUMIFS('i-inc'!$C:$C,'i-inc'!$A:$A,J$1,'i-inc'!$B:$B,"manufacturing")/AVERAGEIFS('fx-rates'!$C:$C,'fx-rates'!$A:$A,J$1,'fx-rates'!$B:$B,"USD"),0)</f>
        <v/>
      </c>
      <c r="K14" s="13">
        <f>SUMIFS('i-sl'!$C:$C,'i-sl'!$A:$A,K$1,'i-sl'!$B:$B,"manufacturing")+IFERROR(SUMIFS('i-ltd'!$C:$C,'i-ltd'!$A:$A,K$1,'i-ltd'!$B:$B,"manufacturing")/AVERAGEIFS('fx-rates'!$C:$C,'fx-rates'!$A:$A,K$1,'fx-rates'!$B:$B,"GBP"),0)+IFERROR(SUMIFS('i-inc'!$C:$C,'i-inc'!$A:$A,K$1,'i-inc'!$B:$B,"manufacturing")/AVERAGEIFS('fx-rates'!$C:$C,'fx-rates'!$A:$A,K$1,'fx-rates'!$B:$B,"USD"),0)</f>
        <v/>
      </c>
      <c r="L14" s="13">
        <f>SUMIFS('i-sl'!$C:$C,'i-sl'!$A:$A,L$1,'i-sl'!$B:$B,"manufacturing")+IFERROR(SUMIFS('i-ltd'!$C:$C,'i-ltd'!$A:$A,L$1,'i-ltd'!$B:$B,"manufacturing")/AVERAGEIFS('fx-rates'!$C:$C,'fx-rates'!$A:$A,L$1,'fx-rates'!$B:$B,"GBP"),0)+IFERROR(SUMIFS('i-inc'!$C:$C,'i-inc'!$A:$A,L$1,'i-inc'!$B:$B,"manufacturing")/AVERAGEIFS('fx-rates'!$C:$C,'fx-rates'!$A:$A,L$1,'fx-rates'!$B:$B,"USD"),0)</f>
        <v/>
      </c>
      <c r="M14" s="13">
        <f>SUMIFS('i-sl'!$C:$C,'i-sl'!$A:$A,M$1,'i-sl'!$B:$B,"manufacturing")+IFERROR(SUMIFS('i-ltd'!$C:$C,'i-ltd'!$A:$A,M$1,'i-ltd'!$B:$B,"manufacturing")/AVERAGEIFS('fx-rates'!$C:$C,'fx-rates'!$A:$A,M$1,'fx-rates'!$B:$B,"GBP"),0)+IFERROR(SUMIFS('i-inc'!$C:$C,'i-inc'!$A:$A,M$1,'i-inc'!$B:$B,"manufacturing")/AVERAGEIFS('fx-rates'!$C:$C,'fx-rates'!$A:$A,M$1,'fx-rates'!$B:$B,"USD"),0)</f>
        <v/>
      </c>
      <c r="N14" s="13">
        <f>SUMIFS('i-sl'!$C:$C,'i-sl'!$A:$A,N$1,'i-sl'!$B:$B,"manufacturing")+IFERROR(SUMIFS('i-ltd'!$C:$C,'i-ltd'!$A:$A,N$1,'i-ltd'!$B:$B,"manufacturing")/AVERAGEIFS('fx-rates'!$C:$C,'fx-rates'!$A:$A,N$1,'fx-rates'!$B:$B,"GBP"),0)+IFERROR(SUMIFS('i-inc'!$C:$C,'i-inc'!$A:$A,N$1,'i-inc'!$B:$B,"manufacturing")/AVERAGEIFS('fx-rates'!$C:$C,'fx-rates'!$A:$A,N$1,'fx-rates'!$B:$B,"USD"),0)</f>
        <v/>
      </c>
      <c r="O14" s="13">
        <f>SUMIFS('i-sl'!$C:$C,'i-sl'!$A:$A,O$1,'i-sl'!$B:$B,"manufacturing")+IFERROR(SUMIFS('i-ltd'!$C:$C,'i-ltd'!$A:$A,O$1,'i-ltd'!$B:$B,"manufacturing")/AVERAGEIFS('fx-rates'!$C:$C,'fx-rates'!$A:$A,O$1,'fx-rates'!$B:$B,"GBP"),0)+IFERROR(SUMIFS('i-inc'!$C:$C,'i-inc'!$A:$A,O$1,'i-inc'!$B:$B,"manufacturing")/AVERAGEIFS('fx-rates'!$C:$C,'fx-rates'!$A:$A,O$1,'fx-rates'!$B:$B,"USD"),0)</f>
        <v/>
      </c>
      <c r="P14" s="14">
        <f>SUM(D14:O14)</f>
        <v/>
      </c>
    </row>
    <row r="15" ht="12" customHeight="1">
      <c r="A15" s="12" t="inlineStr">
        <is>
          <t>Logistics</t>
        </is>
      </c>
      <c r="D15" s="13">
        <f>SUMIFS('i-sl'!$C:$C,'i-sl'!$A:$A,D$1,'i-sl'!$B:$B,"logistics")+IFERROR(SUMIFS('i-ltd'!$C:$C,'i-ltd'!$A:$A,D$1,'i-ltd'!$B:$B,"logistics")/AVERAGEIFS('fx-rates'!$C:$C,'fx-rates'!$A:$A,D$1,'fx-rates'!$B:$B,"GBP"),0)+IFERROR(SUMIFS('i-inc'!$C:$C,'i-inc'!$A:$A,D$1,'i-inc'!$B:$B,"logistics")/AVERAGEIFS('fx-rates'!$C:$C,'fx-rates'!$A:$A,D$1,'fx-rates'!$B:$B,"USD"),0)</f>
        <v/>
      </c>
      <c r="E15" s="13">
        <f>SUMIFS('i-sl'!$C:$C,'i-sl'!$A:$A,E$1,'i-sl'!$B:$B,"logistics")+IFERROR(SUMIFS('i-ltd'!$C:$C,'i-ltd'!$A:$A,E$1,'i-ltd'!$B:$B,"logistics")/AVERAGEIFS('fx-rates'!$C:$C,'fx-rates'!$A:$A,E$1,'fx-rates'!$B:$B,"GBP"),0)+IFERROR(SUMIFS('i-inc'!$C:$C,'i-inc'!$A:$A,E$1,'i-inc'!$B:$B,"logistics")/AVERAGEIFS('fx-rates'!$C:$C,'fx-rates'!$A:$A,E$1,'fx-rates'!$B:$B,"USD"),0)</f>
        <v/>
      </c>
      <c r="F15" s="13">
        <f>SUMIFS('i-sl'!$C:$C,'i-sl'!$A:$A,F$1,'i-sl'!$B:$B,"logistics")+IFERROR(SUMIFS('i-ltd'!$C:$C,'i-ltd'!$A:$A,F$1,'i-ltd'!$B:$B,"logistics")/AVERAGEIFS('fx-rates'!$C:$C,'fx-rates'!$A:$A,F$1,'fx-rates'!$B:$B,"GBP"),0)+IFERROR(SUMIFS('i-inc'!$C:$C,'i-inc'!$A:$A,F$1,'i-inc'!$B:$B,"logistics")/AVERAGEIFS('fx-rates'!$C:$C,'fx-rates'!$A:$A,F$1,'fx-rates'!$B:$B,"USD"),0)</f>
        <v/>
      </c>
      <c r="G15" s="13">
        <f>SUMIFS('i-sl'!$C:$C,'i-sl'!$A:$A,G$1,'i-sl'!$B:$B,"logistics")+IFERROR(SUMIFS('i-ltd'!$C:$C,'i-ltd'!$A:$A,G$1,'i-ltd'!$B:$B,"logistics")/AVERAGEIFS('fx-rates'!$C:$C,'fx-rates'!$A:$A,G$1,'fx-rates'!$B:$B,"GBP"),0)+IFERROR(SUMIFS('i-inc'!$C:$C,'i-inc'!$A:$A,G$1,'i-inc'!$B:$B,"logistics")/AVERAGEIFS('fx-rates'!$C:$C,'fx-rates'!$A:$A,G$1,'fx-rates'!$B:$B,"USD"),0)</f>
        <v/>
      </c>
      <c r="H15" s="13">
        <f>SUMIFS('i-sl'!$C:$C,'i-sl'!$A:$A,H$1,'i-sl'!$B:$B,"logistics")+IFERROR(SUMIFS('i-ltd'!$C:$C,'i-ltd'!$A:$A,H$1,'i-ltd'!$B:$B,"logistics")/AVERAGEIFS('fx-rates'!$C:$C,'fx-rates'!$A:$A,H$1,'fx-rates'!$B:$B,"GBP"),0)+IFERROR(SUMIFS('i-inc'!$C:$C,'i-inc'!$A:$A,H$1,'i-inc'!$B:$B,"logistics")/AVERAGEIFS('fx-rates'!$C:$C,'fx-rates'!$A:$A,H$1,'fx-rates'!$B:$B,"USD"),0)</f>
        <v/>
      </c>
      <c r="I15" s="13">
        <f>SUMIFS('i-sl'!$C:$C,'i-sl'!$A:$A,I$1,'i-sl'!$B:$B,"logistics")+IFERROR(SUMIFS('i-ltd'!$C:$C,'i-ltd'!$A:$A,I$1,'i-ltd'!$B:$B,"logistics")/AVERAGEIFS('fx-rates'!$C:$C,'fx-rates'!$A:$A,I$1,'fx-rates'!$B:$B,"GBP"),0)+IFERROR(SUMIFS('i-inc'!$C:$C,'i-inc'!$A:$A,I$1,'i-inc'!$B:$B,"logistics")/AVERAGEIFS('fx-rates'!$C:$C,'fx-rates'!$A:$A,I$1,'fx-rates'!$B:$B,"USD"),0)</f>
        <v/>
      </c>
      <c r="J15" s="13">
        <f>SUMIFS('i-sl'!$C:$C,'i-sl'!$A:$A,J$1,'i-sl'!$B:$B,"logistics")+IFERROR(SUMIFS('i-ltd'!$C:$C,'i-ltd'!$A:$A,J$1,'i-ltd'!$B:$B,"logistics")/AVERAGEIFS('fx-rates'!$C:$C,'fx-rates'!$A:$A,J$1,'fx-rates'!$B:$B,"GBP"),0)+IFERROR(SUMIFS('i-inc'!$C:$C,'i-inc'!$A:$A,J$1,'i-inc'!$B:$B,"logistics")/AVERAGEIFS('fx-rates'!$C:$C,'fx-rates'!$A:$A,J$1,'fx-rates'!$B:$B,"USD"),0)</f>
        <v/>
      </c>
      <c r="K15" s="13">
        <f>SUMIFS('i-sl'!$C:$C,'i-sl'!$A:$A,K$1,'i-sl'!$B:$B,"logistics")+IFERROR(SUMIFS('i-ltd'!$C:$C,'i-ltd'!$A:$A,K$1,'i-ltd'!$B:$B,"logistics")/AVERAGEIFS('fx-rates'!$C:$C,'fx-rates'!$A:$A,K$1,'fx-rates'!$B:$B,"GBP"),0)+IFERROR(SUMIFS('i-inc'!$C:$C,'i-inc'!$A:$A,K$1,'i-inc'!$B:$B,"logistics")/AVERAGEIFS('fx-rates'!$C:$C,'fx-rates'!$A:$A,K$1,'fx-rates'!$B:$B,"USD"),0)</f>
        <v/>
      </c>
      <c r="L15" s="13">
        <f>SUMIFS('i-sl'!$C:$C,'i-sl'!$A:$A,L$1,'i-sl'!$B:$B,"logistics")+IFERROR(SUMIFS('i-ltd'!$C:$C,'i-ltd'!$A:$A,L$1,'i-ltd'!$B:$B,"logistics")/AVERAGEIFS('fx-rates'!$C:$C,'fx-rates'!$A:$A,L$1,'fx-rates'!$B:$B,"GBP"),0)+IFERROR(SUMIFS('i-inc'!$C:$C,'i-inc'!$A:$A,L$1,'i-inc'!$B:$B,"logistics")/AVERAGEIFS('fx-rates'!$C:$C,'fx-rates'!$A:$A,L$1,'fx-rates'!$B:$B,"USD"),0)</f>
        <v/>
      </c>
      <c r="M15" s="13">
        <f>SUMIFS('i-sl'!$C:$C,'i-sl'!$A:$A,M$1,'i-sl'!$B:$B,"logistics")+IFERROR(SUMIFS('i-ltd'!$C:$C,'i-ltd'!$A:$A,M$1,'i-ltd'!$B:$B,"logistics")/AVERAGEIFS('fx-rates'!$C:$C,'fx-rates'!$A:$A,M$1,'fx-rates'!$B:$B,"GBP"),0)+IFERROR(SUMIFS('i-inc'!$C:$C,'i-inc'!$A:$A,M$1,'i-inc'!$B:$B,"logistics")/AVERAGEIFS('fx-rates'!$C:$C,'fx-rates'!$A:$A,M$1,'fx-rates'!$B:$B,"USD"),0)</f>
        <v/>
      </c>
      <c r="N15" s="13">
        <f>SUMIFS('i-sl'!$C:$C,'i-sl'!$A:$A,N$1,'i-sl'!$B:$B,"logistics")+IFERROR(SUMIFS('i-ltd'!$C:$C,'i-ltd'!$A:$A,N$1,'i-ltd'!$B:$B,"logistics")/AVERAGEIFS('fx-rates'!$C:$C,'fx-rates'!$A:$A,N$1,'fx-rates'!$B:$B,"GBP"),0)+IFERROR(SUMIFS('i-inc'!$C:$C,'i-inc'!$A:$A,N$1,'i-inc'!$B:$B,"logistics")/AVERAGEIFS('fx-rates'!$C:$C,'fx-rates'!$A:$A,N$1,'fx-rates'!$B:$B,"USD"),0)</f>
        <v/>
      </c>
      <c r="O15" s="13">
        <f>SUMIFS('i-sl'!$C:$C,'i-sl'!$A:$A,O$1,'i-sl'!$B:$B,"logistics")+IFERROR(SUMIFS('i-ltd'!$C:$C,'i-ltd'!$A:$A,O$1,'i-ltd'!$B:$B,"logistics")/AVERAGEIFS('fx-rates'!$C:$C,'fx-rates'!$A:$A,O$1,'fx-rates'!$B:$B,"GBP"),0)+IFERROR(SUMIFS('i-inc'!$C:$C,'i-inc'!$A:$A,O$1,'i-inc'!$B:$B,"logistics")/AVERAGEIFS('fx-rates'!$C:$C,'fx-rates'!$A:$A,O$1,'fx-rates'!$B:$B,"USD"),0)</f>
        <v/>
      </c>
      <c r="P15" s="14">
        <f>SUM(D15:O15)</f>
        <v/>
      </c>
    </row>
    <row r="16" ht="12" customHeight="1">
      <c r="A16" s="12" t="inlineStr">
        <is>
          <t>Royalties</t>
        </is>
      </c>
      <c r="D16" s="13">
        <f>SUMIFS('i-sl'!$C:$C,'i-sl'!$A:$A,D$1,'i-sl'!$B:$B,"royalties")</f>
        <v/>
      </c>
      <c r="E16" s="13">
        <f>SUMIFS('i-sl'!$C:$C,'i-sl'!$A:$A,E$1,'i-sl'!$B:$B,"royalties")</f>
        <v/>
      </c>
      <c r="F16" s="13">
        <f>SUMIFS('i-sl'!$C:$C,'i-sl'!$A:$A,F$1,'i-sl'!$B:$B,"royalties")</f>
        <v/>
      </c>
      <c r="G16" s="13">
        <f>SUMIFS('i-sl'!$C:$C,'i-sl'!$A:$A,G$1,'i-sl'!$B:$B,"royalties")</f>
        <v/>
      </c>
      <c r="H16" s="13">
        <f>SUMIFS('i-sl'!$C:$C,'i-sl'!$A:$A,H$1,'i-sl'!$B:$B,"royalties")</f>
        <v/>
      </c>
      <c r="I16" s="13">
        <f>SUMIFS('i-sl'!$C:$C,'i-sl'!$A:$A,I$1,'i-sl'!$B:$B,"royalties")</f>
        <v/>
      </c>
      <c r="J16" s="13">
        <f>SUMIFS('i-sl'!$C:$C,'i-sl'!$A:$A,J$1,'i-sl'!$B:$B,"royalties")</f>
        <v/>
      </c>
      <c r="K16" s="13">
        <f>SUMIFS('i-sl'!$C:$C,'i-sl'!$A:$A,K$1,'i-sl'!$B:$B,"royalties")</f>
        <v/>
      </c>
      <c r="L16" s="13">
        <f>SUMIFS('i-sl'!$C:$C,'i-sl'!$A:$A,L$1,'i-sl'!$B:$B,"royalties")</f>
        <v/>
      </c>
      <c r="M16" s="13">
        <f>SUMIFS('i-sl'!$C:$C,'i-sl'!$A:$A,M$1,'i-sl'!$B:$B,"royalties")</f>
        <v/>
      </c>
      <c r="N16" s="13">
        <f>SUMIFS('i-sl'!$C:$C,'i-sl'!$A:$A,N$1,'i-sl'!$B:$B,"royalties")</f>
        <v/>
      </c>
      <c r="O16" s="13">
        <f>SUMIFS('i-sl'!$C:$C,'i-sl'!$A:$A,O$1,'i-sl'!$B:$B,"royalties")</f>
        <v/>
      </c>
      <c r="P16" s="14">
        <f>SUM(D16:O16)</f>
        <v/>
      </c>
    </row>
    <row r="17" ht="12" customHeight="1">
      <c r="A17" s="12" t="inlineStr">
        <is>
          <t>Payment fees</t>
        </is>
      </c>
      <c r="D17" s="13">
        <f>SUMIFS('i-sl'!$C:$C,'i-sl'!$A:$A,D$1,'i-sl'!$B:$B,"payment_fees")+IFERROR(SUMIFS('i-ltd'!$C:$C,'i-ltd'!$A:$A,D$1,'i-ltd'!$B:$B,"payment_fees")/AVERAGEIFS('fx-rates'!$C:$C,'fx-rates'!$A:$A,D$1,'fx-rates'!$B:$B,"GBP"),0)+IFERROR(SUMIFS('i-inc'!$C:$C,'i-inc'!$A:$A,D$1,'i-inc'!$B:$B,"payment_fees")/AVERAGEIFS('fx-rates'!$C:$C,'fx-rates'!$A:$A,D$1,'fx-rates'!$B:$B,"USD"),0)</f>
        <v/>
      </c>
      <c r="E17" s="13">
        <f>SUMIFS('i-sl'!$C:$C,'i-sl'!$A:$A,E$1,'i-sl'!$B:$B,"payment_fees")+IFERROR(SUMIFS('i-ltd'!$C:$C,'i-ltd'!$A:$A,E$1,'i-ltd'!$B:$B,"payment_fees")/AVERAGEIFS('fx-rates'!$C:$C,'fx-rates'!$A:$A,E$1,'fx-rates'!$B:$B,"GBP"),0)+IFERROR(SUMIFS('i-inc'!$C:$C,'i-inc'!$A:$A,E$1,'i-inc'!$B:$B,"payment_fees")/AVERAGEIFS('fx-rates'!$C:$C,'fx-rates'!$A:$A,E$1,'fx-rates'!$B:$B,"USD"),0)</f>
        <v/>
      </c>
      <c r="F17" s="13">
        <f>SUMIFS('i-sl'!$C:$C,'i-sl'!$A:$A,F$1,'i-sl'!$B:$B,"payment_fees")+IFERROR(SUMIFS('i-ltd'!$C:$C,'i-ltd'!$A:$A,F$1,'i-ltd'!$B:$B,"payment_fees")/AVERAGEIFS('fx-rates'!$C:$C,'fx-rates'!$A:$A,F$1,'fx-rates'!$B:$B,"GBP"),0)+IFERROR(SUMIFS('i-inc'!$C:$C,'i-inc'!$A:$A,F$1,'i-inc'!$B:$B,"payment_fees")/AVERAGEIFS('fx-rates'!$C:$C,'fx-rates'!$A:$A,F$1,'fx-rates'!$B:$B,"USD"),0)</f>
        <v/>
      </c>
      <c r="G17" s="13">
        <f>SUMIFS('i-sl'!$C:$C,'i-sl'!$A:$A,G$1,'i-sl'!$B:$B,"payment_fees")+IFERROR(SUMIFS('i-ltd'!$C:$C,'i-ltd'!$A:$A,G$1,'i-ltd'!$B:$B,"payment_fees")/AVERAGEIFS('fx-rates'!$C:$C,'fx-rates'!$A:$A,G$1,'fx-rates'!$B:$B,"GBP"),0)+IFERROR(SUMIFS('i-inc'!$C:$C,'i-inc'!$A:$A,G$1,'i-inc'!$B:$B,"payment_fees")/AVERAGEIFS('fx-rates'!$C:$C,'fx-rates'!$A:$A,G$1,'fx-rates'!$B:$B,"USD"),0)</f>
        <v/>
      </c>
      <c r="H17" s="13">
        <f>SUMIFS('i-sl'!$C:$C,'i-sl'!$A:$A,H$1,'i-sl'!$B:$B,"payment_fees")+IFERROR(SUMIFS('i-ltd'!$C:$C,'i-ltd'!$A:$A,H$1,'i-ltd'!$B:$B,"payment_fees")/AVERAGEIFS('fx-rates'!$C:$C,'fx-rates'!$A:$A,H$1,'fx-rates'!$B:$B,"GBP"),0)+IFERROR(SUMIFS('i-inc'!$C:$C,'i-inc'!$A:$A,H$1,'i-inc'!$B:$B,"payment_fees")/AVERAGEIFS('fx-rates'!$C:$C,'fx-rates'!$A:$A,H$1,'fx-rates'!$B:$B,"USD"),0)</f>
        <v/>
      </c>
      <c r="I17" s="13">
        <f>SUMIFS('i-sl'!$C:$C,'i-sl'!$A:$A,I$1,'i-sl'!$B:$B,"payment_fees")+IFERROR(SUMIFS('i-ltd'!$C:$C,'i-ltd'!$A:$A,I$1,'i-ltd'!$B:$B,"payment_fees")/AVERAGEIFS('fx-rates'!$C:$C,'fx-rates'!$A:$A,I$1,'fx-rates'!$B:$B,"GBP"),0)+IFERROR(SUMIFS('i-inc'!$C:$C,'i-inc'!$A:$A,I$1,'i-inc'!$B:$B,"payment_fees")/AVERAGEIFS('fx-rates'!$C:$C,'fx-rates'!$A:$A,I$1,'fx-rates'!$B:$B,"USD"),0)</f>
        <v/>
      </c>
      <c r="J17" s="13">
        <f>SUMIFS('i-sl'!$C:$C,'i-sl'!$A:$A,J$1,'i-sl'!$B:$B,"payment_fees")+IFERROR(SUMIFS('i-ltd'!$C:$C,'i-ltd'!$A:$A,J$1,'i-ltd'!$B:$B,"payment_fees")/AVERAGEIFS('fx-rates'!$C:$C,'fx-rates'!$A:$A,J$1,'fx-rates'!$B:$B,"GBP"),0)+IFERROR(SUMIFS('i-inc'!$C:$C,'i-inc'!$A:$A,J$1,'i-inc'!$B:$B,"payment_fees")/AVERAGEIFS('fx-rates'!$C:$C,'fx-rates'!$A:$A,J$1,'fx-rates'!$B:$B,"USD"),0)</f>
        <v/>
      </c>
      <c r="K17" s="13">
        <f>SUMIFS('i-sl'!$C:$C,'i-sl'!$A:$A,K$1,'i-sl'!$B:$B,"payment_fees")+IFERROR(SUMIFS('i-ltd'!$C:$C,'i-ltd'!$A:$A,K$1,'i-ltd'!$B:$B,"payment_fees")/AVERAGEIFS('fx-rates'!$C:$C,'fx-rates'!$A:$A,K$1,'fx-rates'!$B:$B,"GBP"),0)+IFERROR(SUMIFS('i-inc'!$C:$C,'i-inc'!$A:$A,K$1,'i-inc'!$B:$B,"payment_fees")/AVERAGEIFS('fx-rates'!$C:$C,'fx-rates'!$A:$A,K$1,'fx-rates'!$B:$B,"USD"),0)</f>
        <v/>
      </c>
      <c r="L17" s="13">
        <f>SUMIFS('i-sl'!$C:$C,'i-sl'!$A:$A,L$1,'i-sl'!$B:$B,"payment_fees")+IFERROR(SUMIFS('i-ltd'!$C:$C,'i-ltd'!$A:$A,L$1,'i-ltd'!$B:$B,"payment_fees")/AVERAGEIFS('fx-rates'!$C:$C,'fx-rates'!$A:$A,L$1,'fx-rates'!$B:$B,"GBP"),0)+IFERROR(SUMIFS('i-inc'!$C:$C,'i-inc'!$A:$A,L$1,'i-inc'!$B:$B,"payment_fees")/AVERAGEIFS('fx-rates'!$C:$C,'fx-rates'!$A:$A,L$1,'fx-rates'!$B:$B,"USD"),0)</f>
        <v/>
      </c>
      <c r="M17" s="13">
        <f>SUMIFS('i-sl'!$C:$C,'i-sl'!$A:$A,M$1,'i-sl'!$B:$B,"payment_fees")+IFERROR(SUMIFS('i-ltd'!$C:$C,'i-ltd'!$A:$A,M$1,'i-ltd'!$B:$B,"payment_fees")/AVERAGEIFS('fx-rates'!$C:$C,'fx-rates'!$A:$A,M$1,'fx-rates'!$B:$B,"GBP"),0)+IFERROR(SUMIFS('i-inc'!$C:$C,'i-inc'!$A:$A,M$1,'i-inc'!$B:$B,"payment_fees")/AVERAGEIFS('fx-rates'!$C:$C,'fx-rates'!$A:$A,M$1,'fx-rates'!$B:$B,"USD"),0)</f>
        <v/>
      </c>
      <c r="N17" s="13">
        <f>SUMIFS('i-sl'!$C:$C,'i-sl'!$A:$A,N$1,'i-sl'!$B:$B,"payment_fees")+IFERROR(SUMIFS('i-ltd'!$C:$C,'i-ltd'!$A:$A,N$1,'i-ltd'!$B:$B,"payment_fees")/AVERAGEIFS('fx-rates'!$C:$C,'fx-rates'!$A:$A,N$1,'fx-rates'!$B:$B,"GBP"),0)+IFERROR(SUMIFS('i-inc'!$C:$C,'i-inc'!$A:$A,N$1,'i-inc'!$B:$B,"payment_fees")/AVERAGEIFS('fx-rates'!$C:$C,'fx-rates'!$A:$A,N$1,'fx-rates'!$B:$B,"USD"),0)</f>
        <v/>
      </c>
      <c r="O17" s="13">
        <f>SUMIFS('i-sl'!$C:$C,'i-sl'!$A:$A,O$1,'i-sl'!$B:$B,"payment_fees")+IFERROR(SUMIFS('i-ltd'!$C:$C,'i-ltd'!$A:$A,O$1,'i-ltd'!$B:$B,"payment_fees")/AVERAGEIFS('fx-rates'!$C:$C,'fx-rates'!$A:$A,O$1,'fx-rates'!$B:$B,"GBP"),0)+IFERROR(SUMIFS('i-inc'!$C:$C,'i-inc'!$A:$A,O$1,'i-inc'!$B:$B,"payment_fees")/AVERAGEIFS('fx-rates'!$C:$C,'fx-rates'!$A:$A,O$1,'fx-rates'!$B:$B,"USD"),0)</f>
        <v/>
      </c>
      <c r="P17" s="14">
        <f>SUM(D17:O17)</f>
        <v/>
      </c>
    </row>
    <row r="18" ht="12" customHeight="1">
      <c r="A18" s="16" t="inlineStr">
        <is>
          <t>GROSS MARGIN (SALES-MANUFACTURING)</t>
        </is>
      </c>
      <c r="B18" s="17" t="n"/>
      <c r="C18" s="17" t="n"/>
      <c r="D18" s="18">
        <f>D5-D14</f>
        <v/>
      </c>
      <c r="E18" s="18">
        <f>E5-E14</f>
        <v/>
      </c>
      <c r="F18" s="18">
        <f>F5-F14</f>
        <v/>
      </c>
      <c r="G18" s="18">
        <f>G5-G14</f>
        <v/>
      </c>
      <c r="H18" s="18">
        <f>H5-H14</f>
        <v/>
      </c>
      <c r="I18" s="18">
        <f>I5-I14</f>
        <v/>
      </c>
      <c r="J18" s="18">
        <f>J5-J14</f>
        <v/>
      </c>
      <c r="K18" s="18">
        <f>K5-K14</f>
        <v/>
      </c>
      <c r="L18" s="18">
        <f>L5-L14</f>
        <v/>
      </c>
      <c r="M18" s="18">
        <f>M5-M14</f>
        <v/>
      </c>
      <c r="N18" s="18">
        <f>N5-N14</f>
        <v/>
      </c>
      <c r="O18" s="18">
        <f>O5-O14</f>
        <v/>
      </c>
      <c r="P18" s="7">
        <f>SUM(D18:O18)</f>
        <v/>
      </c>
    </row>
    <row r="19" ht="12" customHeight="1">
      <c r="A19" s="19" t="inlineStr">
        <is>
          <t>% gross margin</t>
        </is>
      </c>
      <c r="B19" s="17" t="n"/>
      <c r="C19" s="17" t="n"/>
      <c r="D19" s="20">
        <f>IFERROR(D18/D5,0)</f>
        <v/>
      </c>
      <c r="E19" s="20">
        <f>IFERROR(E18/E5,0)</f>
        <v/>
      </c>
      <c r="F19" s="20">
        <f>IFERROR(F18/F5,0)</f>
        <v/>
      </c>
      <c r="G19" s="20">
        <f>IFERROR(G18/G5,0)</f>
        <v/>
      </c>
      <c r="H19" s="20">
        <f>IFERROR(H18/H5,0)</f>
        <v/>
      </c>
      <c r="I19" s="20">
        <f>IFERROR(I18/I5,0)</f>
        <v/>
      </c>
      <c r="J19" s="20">
        <f>IFERROR(J18/J5,0)</f>
        <v/>
      </c>
      <c r="K19" s="20">
        <f>IFERROR(K18/K5,0)</f>
        <v/>
      </c>
      <c r="L19" s="20">
        <f>IFERROR(L18/L5,0)</f>
        <v/>
      </c>
      <c r="M19" s="20">
        <f>IFERROR(M18/M5,0)</f>
        <v/>
      </c>
      <c r="N19" s="20">
        <f>IFERROR(N18/N5,0)</f>
        <v/>
      </c>
      <c r="O19" s="20">
        <f>IFERROR(O18/O5,0)</f>
        <v/>
      </c>
      <c r="P19" s="21">
        <f>IFERROR(P18/P5,0)</f>
        <v/>
      </c>
    </row>
    <row r="20" ht="12" customHeight="1">
      <c r="A20" s="16" t="inlineStr">
        <is>
          <t>Contributive margin (product sales-COGS)</t>
        </is>
      </c>
      <c r="B20" s="17" t="n"/>
      <c r="C20" s="17" t="n"/>
      <c r="D20" s="18">
        <f>D5-D13</f>
        <v/>
      </c>
      <c r="E20" s="18">
        <f>E5-E13</f>
        <v/>
      </c>
      <c r="F20" s="18">
        <f>F5-F13</f>
        <v/>
      </c>
      <c r="G20" s="18">
        <f>G5-G13</f>
        <v/>
      </c>
      <c r="H20" s="18">
        <f>H5-H13</f>
        <v/>
      </c>
      <c r="I20" s="18">
        <f>I5-I13</f>
        <v/>
      </c>
      <c r="J20" s="18">
        <f>J5-J13</f>
        <v/>
      </c>
      <c r="K20" s="18">
        <f>K5-K13</f>
        <v/>
      </c>
      <c r="L20" s="18">
        <f>L5-L13</f>
        <v/>
      </c>
      <c r="M20" s="18">
        <f>M5-M13</f>
        <v/>
      </c>
      <c r="N20" s="18">
        <f>N5-N13</f>
        <v/>
      </c>
      <c r="O20" s="18">
        <f>O5-O13</f>
        <v/>
      </c>
      <c r="P20" s="7">
        <f>SUM(D20:O20)</f>
        <v/>
      </c>
    </row>
    <row r="21" ht="12" customHeight="1">
      <c r="A21" s="19" t="inlineStr">
        <is>
          <t>% contributive margin</t>
        </is>
      </c>
      <c r="B21" s="17" t="n"/>
      <c r="C21" s="17" t="n"/>
      <c r="D21" s="20">
        <f>IFERROR(D20/D5,0)</f>
        <v/>
      </c>
      <c r="E21" s="20">
        <f>IFERROR(E20/E5,0)</f>
        <v/>
      </c>
      <c r="F21" s="20">
        <f>IFERROR(F20/F5,0)</f>
        <v/>
      </c>
      <c r="G21" s="20">
        <f>IFERROR(G20/G5,0)</f>
        <v/>
      </c>
      <c r="H21" s="20">
        <f>IFERROR(H20/H5,0)</f>
        <v/>
      </c>
      <c r="I21" s="20">
        <f>IFERROR(I20/I5,0)</f>
        <v/>
      </c>
      <c r="J21" s="20">
        <f>IFERROR(J20/J5,0)</f>
        <v/>
      </c>
      <c r="K21" s="20">
        <f>IFERROR(K20/K5,0)</f>
        <v/>
      </c>
      <c r="L21" s="20">
        <f>IFERROR(L20/L5,0)</f>
        <v/>
      </c>
      <c r="M21" s="20">
        <f>IFERROR(M20/M5,0)</f>
        <v/>
      </c>
      <c r="N21" s="20">
        <f>IFERROR(N20/N5,0)</f>
        <v/>
      </c>
      <c r="O21" s="20">
        <f>IFERROR(O20/O5,0)</f>
        <v/>
      </c>
      <c r="P21" s="21">
        <f>IFERROR(P20/P5,0)</f>
        <v/>
      </c>
    </row>
    <row r="22" ht="12" customHeight="1">
      <c r="A22" s="8" t="inlineStr">
        <is>
          <t>OPEX</t>
        </is>
      </c>
      <c r="B22" s="9" t="n"/>
      <c r="C22" s="9" t="n"/>
      <c r="D22" s="10">
        <f>D23+D24+D25+D26+D27</f>
        <v/>
      </c>
      <c r="E22" s="10">
        <f>E23+E24+E25+E26+E27</f>
        <v/>
      </c>
      <c r="F22" s="10">
        <f>F23+F24+F25+F26+F27</f>
        <v/>
      </c>
      <c r="G22" s="10">
        <f>G23+G24+G25+G26+G27</f>
        <v/>
      </c>
      <c r="H22" s="10">
        <f>H23+H24+H25+H26+H27</f>
        <v/>
      </c>
      <c r="I22" s="10">
        <f>I23+I24+I25+I26+I27</f>
        <v/>
      </c>
      <c r="J22" s="10">
        <f>J23+J24+J25+J26+J27</f>
        <v/>
      </c>
      <c r="K22" s="10">
        <f>K23+K24+K25+K26+K27</f>
        <v/>
      </c>
      <c r="L22" s="10">
        <f>L23+L24+L25+L26+L27</f>
        <v/>
      </c>
      <c r="M22" s="10">
        <f>M23+M24+M25+M26+M27</f>
        <v/>
      </c>
      <c r="N22" s="10">
        <f>N23+N24+N25+N26+N27</f>
        <v/>
      </c>
      <c r="O22" s="10">
        <f>O23+O24+O25+O26+O27</f>
        <v/>
      </c>
      <c r="P22" s="11">
        <f>SUM(D22:O22)</f>
        <v/>
      </c>
    </row>
    <row r="23" ht="12" customHeight="1">
      <c r="A23" s="12" t="inlineStr">
        <is>
          <t>Marketing</t>
        </is>
      </c>
      <c r="D23" s="13">
        <f>SUMIFS('i-sl'!$C:$C,'i-sl'!$A:$A,D$1,'i-sl'!$B:$B,"marketing")</f>
        <v/>
      </c>
      <c r="E23" s="13">
        <f>SUMIFS('i-sl'!$C:$C,'i-sl'!$A:$A,E$1,'i-sl'!$B:$B,"marketing")</f>
        <v/>
      </c>
      <c r="F23" s="13">
        <f>SUMIFS('i-sl'!$C:$C,'i-sl'!$A:$A,F$1,'i-sl'!$B:$B,"marketing")</f>
        <v/>
      </c>
      <c r="G23" s="13">
        <f>SUMIFS('i-sl'!$C:$C,'i-sl'!$A:$A,G$1,'i-sl'!$B:$B,"marketing")</f>
        <v/>
      </c>
      <c r="H23" s="13">
        <f>SUMIFS('i-sl'!$C:$C,'i-sl'!$A:$A,H$1,'i-sl'!$B:$B,"marketing")</f>
        <v/>
      </c>
      <c r="I23" s="13">
        <f>SUMIFS('i-sl'!$C:$C,'i-sl'!$A:$A,I$1,'i-sl'!$B:$B,"marketing")</f>
        <v/>
      </c>
      <c r="J23" s="13">
        <f>SUMIFS('i-sl'!$C:$C,'i-sl'!$A:$A,J$1,'i-sl'!$B:$B,"marketing")</f>
        <v/>
      </c>
      <c r="K23" s="13">
        <f>SUMIFS('i-sl'!$C:$C,'i-sl'!$A:$A,K$1,'i-sl'!$B:$B,"marketing")</f>
        <v/>
      </c>
      <c r="L23" s="13">
        <f>SUMIFS('i-sl'!$C:$C,'i-sl'!$A:$A,L$1,'i-sl'!$B:$B,"marketing")</f>
        <v/>
      </c>
      <c r="M23" s="13">
        <f>SUMIFS('i-sl'!$C:$C,'i-sl'!$A:$A,M$1,'i-sl'!$B:$B,"marketing")</f>
        <v/>
      </c>
      <c r="N23" s="13">
        <f>SUMIFS('i-sl'!$C:$C,'i-sl'!$A:$A,N$1,'i-sl'!$B:$B,"marketing")</f>
        <v/>
      </c>
      <c r="O23" s="13">
        <f>SUMIFS('i-sl'!$C:$C,'i-sl'!$A:$A,O$1,'i-sl'!$B:$B,"marketing")</f>
        <v/>
      </c>
      <c r="P23" s="14">
        <f>SUM(D23:O23)</f>
        <v/>
      </c>
    </row>
    <row r="24" ht="12" customHeight="1">
      <c r="A24" s="12" t="inlineStr">
        <is>
          <t>Staff</t>
        </is>
      </c>
      <c r="D24" s="13">
        <f>SUMIFS('i-sl'!$C:$C,'i-sl'!$A:$A,D$1,'i-sl'!$B:$B,"staff")</f>
        <v/>
      </c>
      <c r="E24" s="13">
        <f>SUMIFS('i-sl'!$C:$C,'i-sl'!$A:$A,E$1,'i-sl'!$B:$B,"staff")</f>
        <v/>
      </c>
      <c r="F24" s="13">
        <f>SUMIFS('i-sl'!$C:$C,'i-sl'!$A:$A,F$1,'i-sl'!$B:$B,"staff")</f>
        <v/>
      </c>
      <c r="G24" s="13">
        <f>SUMIFS('i-sl'!$C:$C,'i-sl'!$A:$A,G$1,'i-sl'!$B:$B,"staff")</f>
        <v/>
      </c>
      <c r="H24" s="13">
        <f>SUMIFS('i-sl'!$C:$C,'i-sl'!$A:$A,H$1,'i-sl'!$B:$B,"staff")</f>
        <v/>
      </c>
      <c r="I24" s="13">
        <f>SUMIFS('i-sl'!$C:$C,'i-sl'!$A:$A,I$1,'i-sl'!$B:$B,"staff")</f>
        <v/>
      </c>
      <c r="J24" s="13">
        <f>SUMIFS('i-sl'!$C:$C,'i-sl'!$A:$A,J$1,'i-sl'!$B:$B,"staff")</f>
        <v/>
      </c>
      <c r="K24" s="13">
        <f>SUMIFS('i-sl'!$C:$C,'i-sl'!$A:$A,K$1,'i-sl'!$B:$B,"staff")</f>
        <v/>
      </c>
      <c r="L24" s="13">
        <f>SUMIFS('i-sl'!$C:$C,'i-sl'!$A:$A,L$1,'i-sl'!$B:$B,"staff")</f>
        <v/>
      </c>
      <c r="M24" s="13">
        <f>SUMIFS('i-sl'!$C:$C,'i-sl'!$A:$A,M$1,'i-sl'!$B:$B,"staff")</f>
        <v/>
      </c>
      <c r="N24" s="13">
        <f>SUMIFS('i-sl'!$C:$C,'i-sl'!$A:$A,N$1,'i-sl'!$B:$B,"staff")</f>
        <v/>
      </c>
      <c r="O24" s="13">
        <f>SUMIFS('i-sl'!$C:$C,'i-sl'!$A:$A,O$1,'i-sl'!$B:$B,"staff")</f>
        <v/>
      </c>
      <c r="P24" s="14">
        <f>SUM(D24:O24)</f>
        <v/>
      </c>
    </row>
    <row r="25" ht="12" customHeight="1">
      <c r="A25" s="12" t="inlineStr">
        <is>
          <t>Administration</t>
        </is>
      </c>
      <c r="D25" s="13">
        <f>SUMIFS('i-sl'!$C:$C,'i-sl'!$A:$A,D$1,'i-sl'!$B:$B,"administration")+IFERROR(SUMIFS('i-ltd'!$C:$C,'i-ltd'!$A:$A,D$1,'i-ltd'!$B:$B,"administration")/AVERAGEIFS('fx-rates'!$C:$C,'fx-rates'!$A:$A,D$1,'fx-rates'!$B:$B,"GBP"),0)+IFERROR(SUMIFS('i-inc'!$C:$C,'i-inc'!$A:$A,D$1,'i-inc'!$B:$B,"administration")/AVERAGEIFS('fx-rates'!$C:$C,'fx-rates'!$A:$A,D$1,'fx-rates'!$B:$B,"USD"),0)</f>
        <v/>
      </c>
      <c r="E25" s="13">
        <f>SUMIFS('i-sl'!$C:$C,'i-sl'!$A:$A,E$1,'i-sl'!$B:$B,"administration")+IFERROR(SUMIFS('i-ltd'!$C:$C,'i-ltd'!$A:$A,E$1,'i-ltd'!$B:$B,"administration")/AVERAGEIFS('fx-rates'!$C:$C,'fx-rates'!$A:$A,E$1,'fx-rates'!$B:$B,"GBP"),0)+IFERROR(SUMIFS('i-inc'!$C:$C,'i-inc'!$A:$A,E$1,'i-inc'!$B:$B,"administration")/AVERAGEIFS('fx-rates'!$C:$C,'fx-rates'!$A:$A,E$1,'fx-rates'!$B:$B,"USD"),0)</f>
        <v/>
      </c>
      <c r="F25" s="13">
        <f>SUMIFS('i-sl'!$C:$C,'i-sl'!$A:$A,F$1,'i-sl'!$B:$B,"administration")+IFERROR(SUMIFS('i-ltd'!$C:$C,'i-ltd'!$A:$A,F$1,'i-ltd'!$B:$B,"administration")/AVERAGEIFS('fx-rates'!$C:$C,'fx-rates'!$A:$A,F$1,'fx-rates'!$B:$B,"GBP"),0)+IFERROR(SUMIFS('i-inc'!$C:$C,'i-inc'!$A:$A,F$1,'i-inc'!$B:$B,"administration")/AVERAGEIFS('fx-rates'!$C:$C,'fx-rates'!$A:$A,F$1,'fx-rates'!$B:$B,"USD"),0)</f>
        <v/>
      </c>
      <c r="G25" s="13">
        <f>SUMIFS('i-sl'!$C:$C,'i-sl'!$A:$A,G$1,'i-sl'!$B:$B,"administration")+IFERROR(SUMIFS('i-ltd'!$C:$C,'i-ltd'!$A:$A,G$1,'i-ltd'!$B:$B,"administration")/AVERAGEIFS('fx-rates'!$C:$C,'fx-rates'!$A:$A,G$1,'fx-rates'!$B:$B,"GBP"),0)+IFERROR(SUMIFS('i-inc'!$C:$C,'i-inc'!$A:$A,G$1,'i-inc'!$B:$B,"administration")/AVERAGEIFS('fx-rates'!$C:$C,'fx-rates'!$A:$A,G$1,'fx-rates'!$B:$B,"USD"),0)</f>
        <v/>
      </c>
      <c r="H25" s="13">
        <f>SUMIFS('i-sl'!$C:$C,'i-sl'!$A:$A,H$1,'i-sl'!$B:$B,"administration")+IFERROR(SUMIFS('i-ltd'!$C:$C,'i-ltd'!$A:$A,H$1,'i-ltd'!$B:$B,"administration")/AVERAGEIFS('fx-rates'!$C:$C,'fx-rates'!$A:$A,H$1,'fx-rates'!$B:$B,"GBP"),0)+IFERROR(SUMIFS('i-inc'!$C:$C,'i-inc'!$A:$A,H$1,'i-inc'!$B:$B,"administration")/AVERAGEIFS('fx-rates'!$C:$C,'fx-rates'!$A:$A,H$1,'fx-rates'!$B:$B,"USD"),0)</f>
        <v/>
      </c>
      <c r="I25" s="13">
        <f>SUMIFS('i-sl'!$C:$C,'i-sl'!$A:$A,I$1,'i-sl'!$B:$B,"administration")+IFERROR(SUMIFS('i-ltd'!$C:$C,'i-ltd'!$A:$A,I$1,'i-ltd'!$B:$B,"administration")/AVERAGEIFS('fx-rates'!$C:$C,'fx-rates'!$A:$A,I$1,'fx-rates'!$B:$B,"GBP"),0)+IFERROR(SUMIFS('i-inc'!$C:$C,'i-inc'!$A:$A,I$1,'i-inc'!$B:$B,"administration")/AVERAGEIFS('fx-rates'!$C:$C,'fx-rates'!$A:$A,I$1,'fx-rates'!$B:$B,"USD"),0)</f>
        <v/>
      </c>
      <c r="J25" s="13">
        <f>SUMIFS('i-sl'!$C:$C,'i-sl'!$A:$A,J$1,'i-sl'!$B:$B,"administration")+IFERROR(SUMIFS('i-ltd'!$C:$C,'i-ltd'!$A:$A,J$1,'i-ltd'!$B:$B,"administration")/AVERAGEIFS('fx-rates'!$C:$C,'fx-rates'!$A:$A,J$1,'fx-rates'!$B:$B,"GBP"),0)+IFERROR(SUMIFS('i-inc'!$C:$C,'i-inc'!$A:$A,J$1,'i-inc'!$B:$B,"administration")/AVERAGEIFS('fx-rates'!$C:$C,'fx-rates'!$A:$A,J$1,'fx-rates'!$B:$B,"USD"),0)</f>
        <v/>
      </c>
      <c r="K25" s="13">
        <f>SUMIFS('i-sl'!$C:$C,'i-sl'!$A:$A,K$1,'i-sl'!$B:$B,"administration")+IFERROR(SUMIFS('i-ltd'!$C:$C,'i-ltd'!$A:$A,K$1,'i-ltd'!$B:$B,"administration")/AVERAGEIFS('fx-rates'!$C:$C,'fx-rates'!$A:$A,K$1,'fx-rates'!$B:$B,"GBP"),0)+IFERROR(SUMIFS('i-inc'!$C:$C,'i-inc'!$A:$A,K$1,'i-inc'!$B:$B,"administration")/AVERAGEIFS('fx-rates'!$C:$C,'fx-rates'!$A:$A,K$1,'fx-rates'!$B:$B,"USD"),0)</f>
        <v/>
      </c>
      <c r="L25" s="13">
        <f>SUMIFS('i-sl'!$C:$C,'i-sl'!$A:$A,L$1,'i-sl'!$B:$B,"administration")+IFERROR(SUMIFS('i-ltd'!$C:$C,'i-ltd'!$A:$A,L$1,'i-ltd'!$B:$B,"administration")/AVERAGEIFS('fx-rates'!$C:$C,'fx-rates'!$A:$A,L$1,'fx-rates'!$B:$B,"GBP"),0)+IFERROR(SUMIFS('i-inc'!$C:$C,'i-inc'!$A:$A,L$1,'i-inc'!$B:$B,"administration")/AVERAGEIFS('fx-rates'!$C:$C,'fx-rates'!$A:$A,L$1,'fx-rates'!$B:$B,"USD"),0)</f>
        <v/>
      </c>
      <c r="M25" s="13">
        <f>SUMIFS('i-sl'!$C:$C,'i-sl'!$A:$A,M$1,'i-sl'!$B:$B,"administration")+IFERROR(SUMIFS('i-ltd'!$C:$C,'i-ltd'!$A:$A,M$1,'i-ltd'!$B:$B,"administration")/AVERAGEIFS('fx-rates'!$C:$C,'fx-rates'!$A:$A,M$1,'fx-rates'!$B:$B,"GBP"),0)+IFERROR(SUMIFS('i-inc'!$C:$C,'i-inc'!$A:$A,M$1,'i-inc'!$B:$B,"administration")/AVERAGEIFS('fx-rates'!$C:$C,'fx-rates'!$A:$A,M$1,'fx-rates'!$B:$B,"USD"),0)</f>
        <v/>
      </c>
      <c r="N25" s="13">
        <f>SUMIFS('i-sl'!$C:$C,'i-sl'!$A:$A,N$1,'i-sl'!$B:$B,"administration")+IFERROR(SUMIFS('i-ltd'!$C:$C,'i-ltd'!$A:$A,N$1,'i-ltd'!$B:$B,"administration")/AVERAGEIFS('fx-rates'!$C:$C,'fx-rates'!$A:$A,N$1,'fx-rates'!$B:$B,"GBP"),0)+IFERROR(SUMIFS('i-inc'!$C:$C,'i-inc'!$A:$A,N$1,'i-inc'!$B:$B,"administration")/AVERAGEIFS('fx-rates'!$C:$C,'fx-rates'!$A:$A,N$1,'fx-rates'!$B:$B,"USD"),0)</f>
        <v/>
      </c>
      <c r="O25" s="13">
        <f>SUMIFS('i-sl'!$C:$C,'i-sl'!$A:$A,O$1,'i-sl'!$B:$B,"administration")+IFERROR(SUMIFS('i-ltd'!$C:$C,'i-ltd'!$A:$A,O$1,'i-ltd'!$B:$B,"administration")/AVERAGEIFS('fx-rates'!$C:$C,'fx-rates'!$A:$A,O$1,'fx-rates'!$B:$B,"GBP"),0)+IFERROR(SUMIFS('i-inc'!$C:$C,'i-inc'!$A:$A,O$1,'i-inc'!$B:$B,"administration")/AVERAGEIFS('fx-rates'!$C:$C,'fx-rates'!$A:$A,O$1,'fx-rates'!$B:$B,"USD"),0)</f>
        <v/>
      </c>
      <c r="P25" s="14">
        <f>SUM(D25:O25)</f>
        <v/>
      </c>
    </row>
    <row r="26" ht="12" customHeight="1">
      <c r="A26" s="12" t="inlineStr">
        <is>
          <t>Technology</t>
        </is>
      </c>
      <c r="D26" s="13">
        <f>SUMIFS('i-sl'!$C:$C,'i-sl'!$A:$A,D$1,'i-sl'!$B:$B,"technology")+IFERROR(SUMIFS('i-ltd'!$C:$C,'i-ltd'!$A:$A,D$1,'i-ltd'!$B:$B,"technology")/AVERAGEIFS('fx-rates'!$C:$C,'fx-rates'!$A:$A,D$1,'fx-rates'!$B:$B,"GBP"),0)+IFERROR(SUMIFS('i-inc'!$C:$C,'i-inc'!$A:$A,D$1,'i-inc'!$B:$B,"technology")/AVERAGEIFS('fx-rates'!$C:$C,'fx-rates'!$A:$A,D$1,'fx-rates'!$B:$B,"USD"),0)</f>
        <v/>
      </c>
      <c r="E26" s="13">
        <f>SUMIFS('i-sl'!$C:$C,'i-sl'!$A:$A,E$1,'i-sl'!$B:$B,"technology")+IFERROR(SUMIFS('i-ltd'!$C:$C,'i-ltd'!$A:$A,E$1,'i-ltd'!$B:$B,"technology")/AVERAGEIFS('fx-rates'!$C:$C,'fx-rates'!$A:$A,E$1,'fx-rates'!$B:$B,"GBP"),0)+IFERROR(SUMIFS('i-inc'!$C:$C,'i-inc'!$A:$A,E$1,'i-inc'!$B:$B,"technology")/AVERAGEIFS('fx-rates'!$C:$C,'fx-rates'!$A:$A,E$1,'fx-rates'!$B:$B,"USD"),0)</f>
        <v/>
      </c>
      <c r="F26" s="13">
        <f>SUMIFS('i-sl'!$C:$C,'i-sl'!$A:$A,F$1,'i-sl'!$B:$B,"technology")+IFERROR(SUMIFS('i-ltd'!$C:$C,'i-ltd'!$A:$A,F$1,'i-ltd'!$B:$B,"technology")/AVERAGEIFS('fx-rates'!$C:$C,'fx-rates'!$A:$A,F$1,'fx-rates'!$B:$B,"GBP"),0)+IFERROR(SUMIFS('i-inc'!$C:$C,'i-inc'!$A:$A,F$1,'i-inc'!$B:$B,"technology")/AVERAGEIFS('fx-rates'!$C:$C,'fx-rates'!$A:$A,F$1,'fx-rates'!$B:$B,"USD"),0)</f>
        <v/>
      </c>
      <c r="G26" s="13">
        <f>SUMIFS('i-sl'!$C:$C,'i-sl'!$A:$A,G$1,'i-sl'!$B:$B,"technology")+IFERROR(SUMIFS('i-ltd'!$C:$C,'i-ltd'!$A:$A,G$1,'i-ltd'!$B:$B,"technology")/AVERAGEIFS('fx-rates'!$C:$C,'fx-rates'!$A:$A,G$1,'fx-rates'!$B:$B,"GBP"),0)+IFERROR(SUMIFS('i-inc'!$C:$C,'i-inc'!$A:$A,G$1,'i-inc'!$B:$B,"technology")/AVERAGEIFS('fx-rates'!$C:$C,'fx-rates'!$A:$A,G$1,'fx-rates'!$B:$B,"USD"),0)</f>
        <v/>
      </c>
      <c r="H26" s="13">
        <f>SUMIFS('i-sl'!$C:$C,'i-sl'!$A:$A,H$1,'i-sl'!$B:$B,"technology")+IFERROR(SUMIFS('i-ltd'!$C:$C,'i-ltd'!$A:$A,H$1,'i-ltd'!$B:$B,"technology")/AVERAGEIFS('fx-rates'!$C:$C,'fx-rates'!$A:$A,H$1,'fx-rates'!$B:$B,"GBP"),0)+IFERROR(SUMIFS('i-inc'!$C:$C,'i-inc'!$A:$A,H$1,'i-inc'!$B:$B,"technology")/AVERAGEIFS('fx-rates'!$C:$C,'fx-rates'!$A:$A,H$1,'fx-rates'!$B:$B,"USD"),0)</f>
        <v/>
      </c>
      <c r="I26" s="13">
        <f>SUMIFS('i-sl'!$C:$C,'i-sl'!$A:$A,I$1,'i-sl'!$B:$B,"technology")+IFERROR(SUMIFS('i-ltd'!$C:$C,'i-ltd'!$A:$A,I$1,'i-ltd'!$B:$B,"technology")/AVERAGEIFS('fx-rates'!$C:$C,'fx-rates'!$A:$A,I$1,'fx-rates'!$B:$B,"GBP"),0)+IFERROR(SUMIFS('i-inc'!$C:$C,'i-inc'!$A:$A,I$1,'i-inc'!$B:$B,"technology")/AVERAGEIFS('fx-rates'!$C:$C,'fx-rates'!$A:$A,I$1,'fx-rates'!$B:$B,"USD"),0)</f>
        <v/>
      </c>
      <c r="J26" s="13">
        <f>SUMIFS('i-sl'!$C:$C,'i-sl'!$A:$A,J$1,'i-sl'!$B:$B,"technology")+IFERROR(SUMIFS('i-ltd'!$C:$C,'i-ltd'!$A:$A,J$1,'i-ltd'!$B:$B,"technology")/AVERAGEIFS('fx-rates'!$C:$C,'fx-rates'!$A:$A,J$1,'fx-rates'!$B:$B,"GBP"),0)+IFERROR(SUMIFS('i-inc'!$C:$C,'i-inc'!$A:$A,J$1,'i-inc'!$B:$B,"technology")/AVERAGEIFS('fx-rates'!$C:$C,'fx-rates'!$A:$A,J$1,'fx-rates'!$B:$B,"USD"),0)</f>
        <v/>
      </c>
      <c r="K26" s="13">
        <f>SUMIFS('i-sl'!$C:$C,'i-sl'!$A:$A,K$1,'i-sl'!$B:$B,"technology")+IFERROR(SUMIFS('i-ltd'!$C:$C,'i-ltd'!$A:$A,K$1,'i-ltd'!$B:$B,"technology")/AVERAGEIFS('fx-rates'!$C:$C,'fx-rates'!$A:$A,K$1,'fx-rates'!$B:$B,"GBP"),0)+IFERROR(SUMIFS('i-inc'!$C:$C,'i-inc'!$A:$A,K$1,'i-inc'!$B:$B,"technology")/AVERAGEIFS('fx-rates'!$C:$C,'fx-rates'!$A:$A,K$1,'fx-rates'!$B:$B,"USD"),0)</f>
        <v/>
      </c>
      <c r="L26" s="13">
        <f>SUMIFS('i-sl'!$C:$C,'i-sl'!$A:$A,L$1,'i-sl'!$B:$B,"technology")+IFERROR(SUMIFS('i-ltd'!$C:$C,'i-ltd'!$A:$A,L$1,'i-ltd'!$B:$B,"technology")/AVERAGEIFS('fx-rates'!$C:$C,'fx-rates'!$A:$A,L$1,'fx-rates'!$B:$B,"GBP"),0)+IFERROR(SUMIFS('i-inc'!$C:$C,'i-inc'!$A:$A,L$1,'i-inc'!$B:$B,"technology")/AVERAGEIFS('fx-rates'!$C:$C,'fx-rates'!$A:$A,L$1,'fx-rates'!$B:$B,"USD"),0)</f>
        <v/>
      </c>
      <c r="M26" s="13">
        <f>SUMIFS('i-sl'!$C:$C,'i-sl'!$A:$A,M$1,'i-sl'!$B:$B,"technology")+IFERROR(SUMIFS('i-ltd'!$C:$C,'i-ltd'!$A:$A,M$1,'i-ltd'!$B:$B,"technology")/AVERAGEIFS('fx-rates'!$C:$C,'fx-rates'!$A:$A,M$1,'fx-rates'!$B:$B,"GBP"),0)+IFERROR(SUMIFS('i-inc'!$C:$C,'i-inc'!$A:$A,M$1,'i-inc'!$B:$B,"technology")/AVERAGEIFS('fx-rates'!$C:$C,'fx-rates'!$A:$A,M$1,'fx-rates'!$B:$B,"USD"),0)</f>
        <v/>
      </c>
      <c r="N26" s="13">
        <f>SUMIFS('i-sl'!$C:$C,'i-sl'!$A:$A,N$1,'i-sl'!$B:$B,"technology")+IFERROR(SUMIFS('i-ltd'!$C:$C,'i-ltd'!$A:$A,N$1,'i-ltd'!$B:$B,"technology")/AVERAGEIFS('fx-rates'!$C:$C,'fx-rates'!$A:$A,N$1,'fx-rates'!$B:$B,"GBP"),0)+IFERROR(SUMIFS('i-inc'!$C:$C,'i-inc'!$A:$A,N$1,'i-inc'!$B:$B,"technology")/AVERAGEIFS('fx-rates'!$C:$C,'fx-rates'!$A:$A,N$1,'fx-rates'!$B:$B,"USD"),0)</f>
        <v/>
      </c>
      <c r="O26" s="13">
        <f>SUMIFS('i-sl'!$C:$C,'i-sl'!$A:$A,O$1,'i-sl'!$B:$B,"technology")+IFERROR(SUMIFS('i-ltd'!$C:$C,'i-ltd'!$A:$A,O$1,'i-ltd'!$B:$B,"technology")/AVERAGEIFS('fx-rates'!$C:$C,'fx-rates'!$A:$A,O$1,'fx-rates'!$B:$B,"GBP"),0)+IFERROR(SUMIFS('i-inc'!$C:$C,'i-inc'!$A:$A,O$1,'i-inc'!$B:$B,"technology")/AVERAGEIFS('fx-rates'!$C:$C,'fx-rates'!$A:$A,O$1,'fx-rates'!$B:$B,"USD"),0)</f>
        <v/>
      </c>
      <c r="P26" s="14">
        <f>SUM(D26:O26)</f>
        <v/>
      </c>
    </row>
    <row r="27" ht="12" customHeight="1">
      <c r="A27" s="12" t="inlineStr">
        <is>
          <t>Uncategorized Expenses</t>
        </is>
      </c>
      <c r="D27" s="13">
        <f>SUMIFS('i-sl'!$C:$C,'i-sl'!$A:$A,D$1,'i-sl'!$B:$B,"otros_gastos")+IFERROR(SUMIFS('i-ltd'!$C:$C,'i-ltd'!$A:$A,D$1,'i-ltd'!$B:$B,"otros_gastos")/AVERAGEIFS('fx-rates'!$C:$C,'fx-rates'!$A:$A,D$1,'fx-rates'!$B:$B,"GBP"),0)+IFERROR(SUMIFS('i-inc'!$C:$C,'i-inc'!$A:$A,D$1,'i-inc'!$B:$B,"otros_gastos")/AVERAGEIFS('fx-rates'!$C:$C,'fx-rates'!$A:$A,D$1,'fx-rates'!$B:$B,"USD"),0)</f>
        <v/>
      </c>
      <c r="E27" s="13">
        <f>SUMIFS('i-sl'!$C:$C,'i-sl'!$A:$A,E$1,'i-sl'!$B:$B,"otros_gastos")+IFERROR(SUMIFS('i-ltd'!$C:$C,'i-ltd'!$A:$A,E$1,'i-ltd'!$B:$B,"otros_gastos")/AVERAGEIFS('fx-rates'!$C:$C,'fx-rates'!$A:$A,E$1,'fx-rates'!$B:$B,"GBP"),0)+IFERROR(SUMIFS('i-inc'!$C:$C,'i-inc'!$A:$A,E$1,'i-inc'!$B:$B,"otros_gastos")/AVERAGEIFS('fx-rates'!$C:$C,'fx-rates'!$A:$A,E$1,'fx-rates'!$B:$B,"USD"),0)</f>
        <v/>
      </c>
      <c r="F27" s="13">
        <f>SUMIFS('i-sl'!$C:$C,'i-sl'!$A:$A,F$1,'i-sl'!$B:$B,"otros_gastos")+IFERROR(SUMIFS('i-ltd'!$C:$C,'i-ltd'!$A:$A,F$1,'i-ltd'!$B:$B,"otros_gastos")/AVERAGEIFS('fx-rates'!$C:$C,'fx-rates'!$A:$A,F$1,'fx-rates'!$B:$B,"GBP"),0)+IFERROR(SUMIFS('i-inc'!$C:$C,'i-inc'!$A:$A,F$1,'i-inc'!$B:$B,"otros_gastos")/AVERAGEIFS('fx-rates'!$C:$C,'fx-rates'!$A:$A,F$1,'fx-rates'!$B:$B,"USD"),0)</f>
        <v/>
      </c>
      <c r="G27" s="13">
        <f>SUMIFS('i-sl'!$C:$C,'i-sl'!$A:$A,G$1,'i-sl'!$B:$B,"otros_gastos")+IFERROR(SUMIFS('i-ltd'!$C:$C,'i-ltd'!$A:$A,G$1,'i-ltd'!$B:$B,"otros_gastos")/AVERAGEIFS('fx-rates'!$C:$C,'fx-rates'!$A:$A,G$1,'fx-rates'!$B:$B,"GBP"),0)+IFERROR(SUMIFS('i-inc'!$C:$C,'i-inc'!$A:$A,G$1,'i-inc'!$B:$B,"otros_gastos")/AVERAGEIFS('fx-rates'!$C:$C,'fx-rates'!$A:$A,G$1,'fx-rates'!$B:$B,"USD"),0)</f>
        <v/>
      </c>
      <c r="H27" s="13">
        <f>SUMIFS('i-sl'!$C:$C,'i-sl'!$A:$A,H$1,'i-sl'!$B:$B,"otros_gastos")+IFERROR(SUMIFS('i-ltd'!$C:$C,'i-ltd'!$A:$A,H$1,'i-ltd'!$B:$B,"otros_gastos")/AVERAGEIFS('fx-rates'!$C:$C,'fx-rates'!$A:$A,H$1,'fx-rates'!$B:$B,"GBP"),0)+IFERROR(SUMIFS('i-inc'!$C:$C,'i-inc'!$A:$A,H$1,'i-inc'!$B:$B,"otros_gastos")/AVERAGEIFS('fx-rates'!$C:$C,'fx-rates'!$A:$A,H$1,'fx-rates'!$B:$B,"USD"),0)</f>
        <v/>
      </c>
      <c r="I27" s="13">
        <f>SUMIFS('i-sl'!$C:$C,'i-sl'!$A:$A,I$1,'i-sl'!$B:$B,"otros_gastos")+IFERROR(SUMIFS('i-ltd'!$C:$C,'i-ltd'!$A:$A,I$1,'i-ltd'!$B:$B,"otros_gastos")/AVERAGEIFS('fx-rates'!$C:$C,'fx-rates'!$A:$A,I$1,'fx-rates'!$B:$B,"GBP"),0)+IFERROR(SUMIFS('i-inc'!$C:$C,'i-inc'!$A:$A,I$1,'i-inc'!$B:$B,"otros_gastos")/AVERAGEIFS('fx-rates'!$C:$C,'fx-rates'!$A:$A,I$1,'fx-rates'!$B:$B,"USD"),0)</f>
        <v/>
      </c>
      <c r="J27" s="13">
        <f>SUMIFS('i-sl'!$C:$C,'i-sl'!$A:$A,J$1,'i-sl'!$B:$B,"otros_gastos")+IFERROR(SUMIFS('i-ltd'!$C:$C,'i-ltd'!$A:$A,J$1,'i-ltd'!$B:$B,"otros_gastos")/AVERAGEIFS('fx-rates'!$C:$C,'fx-rates'!$A:$A,J$1,'fx-rates'!$B:$B,"GBP"),0)+IFERROR(SUMIFS('i-inc'!$C:$C,'i-inc'!$A:$A,J$1,'i-inc'!$B:$B,"otros_gastos")/AVERAGEIFS('fx-rates'!$C:$C,'fx-rates'!$A:$A,J$1,'fx-rates'!$B:$B,"USD"),0)</f>
        <v/>
      </c>
      <c r="K27" s="13">
        <f>SUMIFS('i-sl'!$C:$C,'i-sl'!$A:$A,K$1,'i-sl'!$B:$B,"otros_gastos")+IFERROR(SUMIFS('i-ltd'!$C:$C,'i-ltd'!$A:$A,K$1,'i-ltd'!$B:$B,"otros_gastos")/AVERAGEIFS('fx-rates'!$C:$C,'fx-rates'!$A:$A,K$1,'fx-rates'!$B:$B,"GBP"),0)+IFERROR(SUMIFS('i-inc'!$C:$C,'i-inc'!$A:$A,K$1,'i-inc'!$B:$B,"otros_gastos")/AVERAGEIFS('fx-rates'!$C:$C,'fx-rates'!$A:$A,K$1,'fx-rates'!$B:$B,"USD"),0)</f>
        <v/>
      </c>
      <c r="L27" s="13">
        <f>SUMIFS('i-sl'!$C:$C,'i-sl'!$A:$A,L$1,'i-sl'!$B:$B,"otros_gastos")+IFERROR(SUMIFS('i-ltd'!$C:$C,'i-ltd'!$A:$A,L$1,'i-ltd'!$B:$B,"otros_gastos")/AVERAGEIFS('fx-rates'!$C:$C,'fx-rates'!$A:$A,L$1,'fx-rates'!$B:$B,"GBP"),0)+IFERROR(SUMIFS('i-inc'!$C:$C,'i-inc'!$A:$A,L$1,'i-inc'!$B:$B,"otros_gastos")/AVERAGEIFS('fx-rates'!$C:$C,'fx-rates'!$A:$A,L$1,'fx-rates'!$B:$B,"USD"),0)</f>
        <v/>
      </c>
      <c r="M27" s="13">
        <f>SUMIFS('i-sl'!$C:$C,'i-sl'!$A:$A,M$1,'i-sl'!$B:$B,"otros_gastos")+IFERROR(SUMIFS('i-ltd'!$C:$C,'i-ltd'!$A:$A,M$1,'i-ltd'!$B:$B,"otros_gastos")/AVERAGEIFS('fx-rates'!$C:$C,'fx-rates'!$A:$A,M$1,'fx-rates'!$B:$B,"GBP"),0)+IFERROR(SUMIFS('i-inc'!$C:$C,'i-inc'!$A:$A,M$1,'i-inc'!$B:$B,"otros_gastos")/AVERAGEIFS('fx-rates'!$C:$C,'fx-rates'!$A:$A,M$1,'fx-rates'!$B:$B,"USD"),0)</f>
        <v/>
      </c>
      <c r="N27" s="13">
        <f>SUMIFS('i-sl'!$C:$C,'i-sl'!$A:$A,N$1,'i-sl'!$B:$B,"otros_gastos")+IFERROR(SUMIFS('i-ltd'!$C:$C,'i-ltd'!$A:$A,N$1,'i-ltd'!$B:$B,"otros_gastos")/AVERAGEIFS('fx-rates'!$C:$C,'fx-rates'!$A:$A,N$1,'fx-rates'!$B:$B,"GBP"),0)+IFERROR(SUMIFS('i-inc'!$C:$C,'i-inc'!$A:$A,N$1,'i-inc'!$B:$B,"otros_gastos")/AVERAGEIFS('fx-rates'!$C:$C,'fx-rates'!$A:$A,N$1,'fx-rates'!$B:$B,"USD"),0)</f>
        <v/>
      </c>
      <c r="O27" s="13">
        <f>SUMIFS('i-sl'!$C:$C,'i-sl'!$A:$A,O$1,'i-sl'!$B:$B,"otros_gastos")+IFERROR(SUMIFS('i-ltd'!$C:$C,'i-ltd'!$A:$A,O$1,'i-ltd'!$B:$B,"otros_gastos")/AVERAGEIFS('fx-rates'!$C:$C,'fx-rates'!$A:$A,O$1,'fx-rates'!$B:$B,"GBP"),0)+IFERROR(SUMIFS('i-inc'!$C:$C,'i-inc'!$A:$A,O$1,'i-inc'!$B:$B,"otros_gastos")/AVERAGEIFS('fx-rates'!$C:$C,'fx-rates'!$A:$A,O$1,'fx-rates'!$B:$B,"USD"),0)</f>
        <v/>
      </c>
      <c r="P27" s="14">
        <f>SUM(D27:O27)</f>
        <v/>
      </c>
    </row>
    <row r="28" ht="12" customHeight="1">
      <c r="A28" s="15" t="inlineStr">
        <is>
          <t>Currency Adjustment</t>
        </is>
      </c>
      <c r="D28" s="13">
        <f>SUMIFS('i-sl'!$C:$C,'i-sl'!$A:$A,D$1,'i-sl'!$B:$B,"diferencias_divisas")+IFERROR(SUMIFS('i-ltd'!$C:$C,'i-ltd'!$A:$A,D$1,'i-ltd'!$B:$B,"diferencias_divisas")/AVERAGEIFS('fx-rates'!$C:$C,'fx-rates'!$A:$A,D$1,'fx-rates'!$B:$B,"GBP"),0)+IFERROR(SUMIFS('i-inc'!$C:$C,'i-inc'!$A:$A,D$1,'i-inc'!$B:$B,"diferencias_divisas")/AVERAGEIFS('fx-rates'!$C:$C,'fx-rates'!$A:$A,D$1,'fx-rates'!$B:$B,"USD"),0)</f>
        <v/>
      </c>
      <c r="E28" s="13">
        <f>SUMIFS('i-sl'!$C:$C,'i-sl'!$A:$A,E$1,'i-sl'!$B:$B,"diferencias_divisas")+IFERROR(SUMIFS('i-ltd'!$C:$C,'i-ltd'!$A:$A,E$1,'i-ltd'!$B:$B,"diferencias_divisas")/AVERAGEIFS('fx-rates'!$C:$C,'fx-rates'!$A:$A,E$1,'fx-rates'!$B:$B,"GBP"),0)+IFERROR(SUMIFS('i-inc'!$C:$C,'i-inc'!$A:$A,E$1,'i-inc'!$B:$B,"diferencias_divisas")/AVERAGEIFS('fx-rates'!$C:$C,'fx-rates'!$A:$A,E$1,'fx-rates'!$B:$B,"USD"),0)</f>
        <v/>
      </c>
      <c r="F28" s="13">
        <f>SUMIFS('i-sl'!$C:$C,'i-sl'!$A:$A,F$1,'i-sl'!$B:$B,"diferencias_divisas")+IFERROR(SUMIFS('i-ltd'!$C:$C,'i-ltd'!$A:$A,F$1,'i-ltd'!$B:$B,"diferencias_divisas")/AVERAGEIFS('fx-rates'!$C:$C,'fx-rates'!$A:$A,F$1,'fx-rates'!$B:$B,"GBP"),0)+IFERROR(SUMIFS('i-inc'!$C:$C,'i-inc'!$A:$A,F$1,'i-inc'!$B:$B,"diferencias_divisas")/AVERAGEIFS('fx-rates'!$C:$C,'fx-rates'!$A:$A,F$1,'fx-rates'!$B:$B,"USD"),0)</f>
        <v/>
      </c>
      <c r="G28" s="13">
        <f>SUMIFS('i-sl'!$C:$C,'i-sl'!$A:$A,G$1,'i-sl'!$B:$B,"diferencias_divisas")+IFERROR(SUMIFS('i-ltd'!$C:$C,'i-ltd'!$A:$A,G$1,'i-ltd'!$B:$B,"diferencias_divisas")/AVERAGEIFS('fx-rates'!$C:$C,'fx-rates'!$A:$A,G$1,'fx-rates'!$B:$B,"GBP"),0)+IFERROR(SUMIFS('i-inc'!$C:$C,'i-inc'!$A:$A,G$1,'i-inc'!$B:$B,"diferencias_divisas")/AVERAGEIFS('fx-rates'!$C:$C,'fx-rates'!$A:$A,G$1,'fx-rates'!$B:$B,"USD"),0)</f>
        <v/>
      </c>
      <c r="H28" s="13">
        <f>SUMIFS('i-sl'!$C:$C,'i-sl'!$A:$A,H$1,'i-sl'!$B:$B,"diferencias_divisas")+IFERROR(SUMIFS('i-ltd'!$C:$C,'i-ltd'!$A:$A,H$1,'i-ltd'!$B:$B,"diferencias_divisas")/AVERAGEIFS('fx-rates'!$C:$C,'fx-rates'!$A:$A,H$1,'fx-rates'!$B:$B,"GBP"),0)+IFERROR(SUMIFS('i-inc'!$C:$C,'i-inc'!$A:$A,H$1,'i-inc'!$B:$B,"diferencias_divisas")/AVERAGEIFS('fx-rates'!$C:$C,'fx-rates'!$A:$A,H$1,'fx-rates'!$B:$B,"USD"),0)</f>
        <v/>
      </c>
      <c r="I28" s="13">
        <f>SUMIFS('i-sl'!$C:$C,'i-sl'!$A:$A,I$1,'i-sl'!$B:$B,"diferencias_divisas")+IFERROR(SUMIFS('i-ltd'!$C:$C,'i-ltd'!$A:$A,I$1,'i-ltd'!$B:$B,"diferencias_divisas")/AVERAGEIFS('fx-rates'!$C:$C,'fx-rates'!$A:$A,I$1,'fx-rates'!$B:$B,"GBP"),0)+IFERROR(SUMIFS('i-inc'!$C:$C,'i-inc'!$A:$A,I$1,'i-inc'!$B:$B,"diferencias_divisas")/AVERAGEIFS('fx-rates'!$C:$C,'fx-rates'!$A:$A,I$1,'fx-rates'!$B:$B,"USD"),0)</f>
        <v/>
      </c>
      <c r="J28" s="13">
        <f>SUMIFS('i-sl'!$C:$C,'i-sl'!$A:$A,J$1,'i-sl'!$B:$B,"diferencias_divisas")+IFERROR(SUMIFS('i-ltd'!$C:$C,'i-ltd'!$A:$A,J$1,'i-ltd'!$B:$B,"diferencias_divisas")/AVERAGEIFS('fx-rates'!$C:$C,'fx-rates'!$A:$A,J$1,'fx-rates'!$B:$B,"GBP"),0)+IFERROR(SUMIFS('i-inc'!$C:$C,'i-inc'!$A:$A,J$1,'i-inc'!$B:$B,"diferencias_divisas")/AVERAGEIFS('fx-rates'!$C:$C,'fx-rates'!$A:$A,J$1,'fx-rates'!$B:$B,"USD"),0)</f>
        <v/>
      </c>
      <c r="K28" s="13">
        <f>SUMIFS('i-sl'!$C:$C,'i-sl'!$A:$A,K$1,'i-sl'!$B:$B,"diferencias_divisas")+IFERROR(SUMIFS('i-ltd'!$C:$C,'i-ltd'!$A:$A,K$1,'i-ltd'!$B:$B,"diferencias_divisas")/AVERAGEIFS('fx-rates'!$C:$C,'fx-rates'!$A:$A,K$1,'fx-rates'!$B:$B,"GBP"),0)+IFERROR(SUMIFS('i-inc'!$C:$C,'i-inc'!$A:$A,K$1,'i-inc'!$B:$B,"diferencias_divisas")/AVERAGEIFS('fx-rates'!$C:$C,'fx-rates'!$A:$A,K$1,'fx-rates'!$B:$B,"USD"),0)</f>
        <v/>
      </c>
      <c r="L28" s="13">
        <f>SUMIFS('i-sl'!$C:$C,'i-sl'!$A:$A,L$1,'i-sl'!$B:$B,"diferencias_divisas")+IFERROR(SUMIFS('i-ltd'!$C:$C,'i-ltd'!$A:$A,L$1,'i-ltd'!$B:$B,"diferencias_divisas")/AVERAGEIFS('fx-rates'!$C:$C,'fx-rates'!$A:$A,L$1,'fx-rates'!$B:$B,"GBP"),0)+IFERROR(SUMIFS('i-inc'!$C:$C,'i-inc'!$A:$A,L$1,'i-inc'!$B:$B,"diferencias_divisas")/AVERAGEIFS('fx-rates'!$C:$C,'fx-rates'!$A:$A,L$1,'fx-rates'!$B:$B,"USD"),0)</f>
        <v/>
      </c>
      <c r="M28" s="13">
        <f>SUMIFS('i-sl'!$C:$C,'i-sl'!$A:$A,M$1,'i-sl'!$B:$B,"diferencias_divisas")+IFERROR(SUMIFS('i-ltd'!$C:$C,'i-ltd'!$A:$A,M$1,'i-ltd'!$B:$B,"diferencias_divisas")/AVERAGEIFS('fx-rates'!$C:$C,'fx-rates'!$A:$A,M$1,'fx-rates'!$B:$B,"GBP"),0)+IFERROR(SUMIFS('i-inc'!$C:$C,'i-inc'!$A:$A,M$1,'i-inc'!$B:$B,"diferencias_divisas")/AVERAGEIFS('fx-rates'!$C:$C,'fx-rates'!$A:$A,M$1,'fx-rates'!$B:$B,"USD"),0)</f>
        <v/>
      </c>
      <c r="N28" s="13">
        <f>SUMIFS('i-sl'!$C:$C,'i-sl'!$A:$A,N$1,'i-sl'!$B:$B,"diferencias_divisas")+IFERROR(SUMIFS('i-ltd'!$C:$C,'i-ltd'!$A:$A,N$1,'i-ltd'!$B:$B,"diferencias_divisas")/AVERAGEIFS('fx-rates'!$C:$C,'fx-rates'!$A:$A,N$1,'fx-rates'!$B:$B,"GBP"),0)+IFERROR(SUMIFS('i-inc'!$C:$C,'i-inc'!$A:$A,N$1,'i-inc'!$B:$B,"diferencias_divisas")/AVERAGEIFS('fx-rates'!$C:$C,'fx-rates'!$A:$A,N$1,'fx-rates'!$B:$B,"USD"),0)</f>
        <v/>
      </c>
      <c r="O28" s="13">
        <f>SUMIFS('i-sl'!$C:$C,'i-sl'!$A:$A,O$1,'i-sl'!$B:$B,"diferencias_divisas")+IFERROR(SUMIFS('i-ltd'!$C:$C,'i-ltd'!$A:$A,O$1,'i-ltd'!$B:$B,"diferencias_divisas")/AVERAGEIFS('fx-rates'!$C:$C,'fx-rates'!$A:$A,O$1,'fx-rates'!$B:$B,"GBP"),0)+IFERROR(SUMIFS('i-inc'!$C:$C,'i-inc'!$A:$A,O$1,'i-inc'!$B:$B,"diferencias_divisas")/AVERAGEIFS('fx-rates'!$C:$C,'fx-rates'!$A:$A,O$1,'fx-rates'!$B:$B,"USD"),0)</f>
        <v/>
      </c>
      <c r="P28" s="14">
        <f>SUM(D28:O28)</f>
        <v/>
      </c>
    </row>
    <row r="29" ht="12" customHeight="1">
      <c r="A29" s="16" t="inlineStr">
        <is>
          <t>PROFIT</t>
        </is>
      </c>
      <c r="B29" s="17" t="n"/>
      <c r="C29" s="17" t="n"/>
      <c r="D29" s="18">
        <f>D4-D13-D22-D28</f>
        <v/>
      </c>
      <c r="E29" s="18">
        <f>E4-E13-E22-E28</f>
        <v/>
      </c>
      <c r="F29" s="18">
        <f>F4-F13-F22-F28</f>
        <v/>
      </c>
      <c r="G29" s="18">
        <f>G4-G13-G22-G28</f>
        <v/>
      </c>
      <c r="H29" s="18">
        <f>H4-H13-H22-H28</f>
        <v/>
      </c>
      <c r="I29" s="18">
        <f>I4-I13-I22-I28</f>
        <v/>
      </c>
      <c r="J29" s="18">
        <f>J4-J13-J22-J28</f>
        <v/>
      </c>
      <c r="K29" s="18">
        <f>K4-K13-K22-K28</f>
        <v/>
      </c>
      <c r="L29" s="18">
        <f>L4-L13-L22-L28</f>
        <v/>
      </c>
      <c r="M29" s="18">
        <f>M4-M13-M22-M28</f>
        <v/>
      </c>
      <c r="N29" s="18">
        <f>N4-N13-N22-N28</f>
        <v/>
      </c>
      <c r="O29" s="18">
        <f>O4-O13-O22-O28</f>
        <v/>
      </c>
      <c r="P29" s="7">
        <f>SUM(D29:O29)</f>
        <v/>
      </c>
    </row>
    <row r="30" ht="12" customHeight="1">
      <c r="A30" s="19" t="inlineStr">
        <is>
          <t>% profit / product sales</t>
        </is>
      </c>
      <c r="B30" s="17" t="n"/>
      <c r="C30" s="17" t="n"/>
      <c r="D30" s="20">
        <f>IFERROR(D29/D5,0)</f>
        <v/>
      </c>
      <c r="E30" s="20">
        <f>IFERROR(E29/E5,0)</f>
        <v/>
      </c>
      <c r="F30" s="20">
        <f>IFERROR(F29/F5,0)</f>
        <v/>
      </c>
      <c r="G30" s="20">
        <f>IFERROR(G29/G5,0)</f>
        <v/>
      </c>
      <c r="H30" s="20">
        <f>IFERROR(H29/H5,0)</f>
        <v/>
      </c>
      <c r="I30" s="20">
        <f>IFERROR(I29/I5,0)</f>
        <v/>
      </c>
      <c r="J30" s="20">
        <f>IFERROR(J29/J5,0)</f>
        <v/>
      </c>
      <c r="K30" s="20">
        <f>IFERROR(K29/K5,0)</f>
        <v/>
      </c>
      <c r="L30" s="20">
        <f>IFERROR(L29/L5,0)</f>
        <v/>
      </c>
      <c r="M30" s="20">
        <f>IFERROR(M29/M5,0)</f>
        <v/>
      </c>
      <c r="N30" s="20">
        <f>IFERROR(N29/N5,0)</f>
        <v/>
      </c>
      <c r="O30" s="20">
        <f>IFERROR(O29/O5,0)</f>
        <v/>
      </c>
      <c r="P30" s="21">
        <f>IFERROR(P29/P5,0)</f>
        <v/>
      </c>
    </row>
  </sheetData>
  <mergeCells count="2">
    <mergeCell ref="A3:C3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amount_eur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2673</v>
      </c>
    </row>
    <row r="3" ht="12" customHeight="1">
      <c r="A3" t="inlineStr">
        <is>
          <t>202601</t>
        </is>
      </c>
      <c r="B3" t="inlineStr">
        <is>
          <t>diferencias_divisas</t>
        </is>
      </c>
      <c r="C3" s="23" t="n">
        <v>-132.9</v>
      </c>
    </row>
    <row r="4" ht="12" customHeight="1">
      <c r="A4" t="inlineStr">
        <is>
          <t>202601</t>
        </is>
      </c>
      <c r="B4" t="inlineStr">
        <is>
          <t>logistics</t>
        </is>
      </c>
      <c r="C4" s="23" t="n">
        <v>17191.41</v>
      </c>
    </row>
    <row r="5" ht="12" customHeight="1">
      <c r="A5" t="inlineStr">
        <is>
          <t>202601</t>
        </is>
      </c>
      <c r="B5" t="inlineStr">
        <is>
          <t>manufacturing</t>
        </is>
      </c>
      <c r="C5" s="23" t="n">
        <v>56636.72</v>
      </c>
    </row>
    <row r="6" ht="12" customHeight="1">
      <c r="A6" t="inlineStr">
        <is>
          <t>202601</t>
        </is>
      </c>
      <c r="B6" t="inlineStr">
        <is>
          <t>marketing</t>
        </is>
      </c>
      <c r="C6" s="23" t="n">
        <v>54648.52</v>
      </c>
    </row>
    <row r="7" ht="12" customHeight="1">
      <c r="A7" t="inlineStr">
        <is>
          <t>202601</t>
        </is>
      </c>
      <c r="B7" t="inlineStr">
        <is>
          <t>marketplaces</t>
        </is>
      </c>
      <c r="C7" s="23" t="n">
        <v>1419.7</v>
      </c>
    </row>
    <row r="8" ht="12" customHeight="1">
      <c r="A8" t="inlineStr">
        <is>
          <t>202601</t>
        </is>
      </c>
      <c r="B8" t="inlineStr">
        <is>
          <t>otros_gastos</t>
        </is>
      </c>
      <c r="C8" s="23" t="n">
        <v>411.87</v>
      </c>
    </row>
    <row r="9" ht="12" customHeight="1">
      <c r="A9" t="inlineStr">
        <is>
          <t>202601</t>
        </is>
      </c>
      <c r="B9" t="inlineStr">
        <is>
          <t>otros_ingresos</t>
        </is>
      </c>
      <c r="C9" s="23" t="n">
        <v>3586.77</v>
      </c>
    </row>
    <row r="10" ht="12" customHeight="1">
      <c r="A10" t="inlineStr">
        <is>
          <t>202601</t>
        </is>
      </c>
      <c r="B10" t="inlineStr">
        <is>
          <t>payment_fees</t>
        </is>
      </c>
      <c r="C10" s="23" t="n">
        <v>4124.64</v>
      </c>
    </row>
    <row r="11" ht="12" customHeight="1">
      <c r="A11" t="inlineStr">
        <is>
          <t>202601</t>
        </is>
      </c>
      <c r="B11" t="inlineStr">
        <is>
          <t>rappels</t>
        </is>
      </c>
      <c r="C11" s="23" t="n">
        <v>-1118.95</v>
      </c>
    </row>
    <row r="12" ht="12" customHeight="1">
      <c r="A12" t="inlineStr">
        <is>
          <t>202601</t>
        </is>
      </c>
      <c r="B12" t="inlineStr">
        <is>
          <t>royalties</t>
        </is>
      </c>
      <c r="C12" s="23" t="n">
        <v>13737</v>
      </c>
    </row>
    <row r="13" ht="12" customHeight="1">
      <c r="A13" t="inlineStr">
        <is>
          <t>202601</t>
        </is>
      </c>
      <c r="B13" t="inlineStr">
        <is>
          <t>services_ext</t>
        </is>
      </c>
      <c r="C13" s="23" t="n">
        <v>1191.18</v>
      </c>
    </row>
    <row r="14" ht="12" customHeight="1">
      <c r="A14" t="inlineStr">
        <is>
          <t>202601</t>
        </is>
      </c>
      <c r="B14" t="inlineStr">
        <is>
          <t>shopify</t>
        </is>
      </c>
      <c r="C14" s="23" t="n">
        <v>133633.77</v>
      </c>
    </row>
    <row r="15" ht="12" customHeight="1">
      <c r="A15" t="inlineStr">
        <is>
          <t>202601</t>
        </is>
      </c>
      <c r="B15" t="inlineStr">
        <is>
          <t>staff</t>
        </is>
      </c>
      <c r="C15" s="23" t="n">
        <v>14731.84</v>
      </c>
    </row>
    <row r="16" ht="12" customHeight="1">
      <c r="A16" t="inlineStr">
        <is>
          <t>202601</t>
        </is>
      </c>
      <c r="B16" t="inlineStr">
        <is>
          <t>supplies</t>
        </is>
      </c>
      <c r="C16" s="23" t="n">
        <v>-2176.46</v>
      </c>
    </row>
    <row r="17" ht="12" customHeight="1">
      <c r="A17" t="inlineStr">
        <is>
          <t>202601</t>
        </is>
      </c>
      <c r="B17" t="inlineStr">
        <is>
          <t>technology</t>
        </is>
      </c>
      <c r="C17" s="23" t="n">
        <v>4422.09</v>
      </c>
    </row>
    <row r="18" ht="12" customHeight="1">
      <c r="A18" t="inlineStr">
        <is>
          <t>202602</t>
        </is>
      </c>
      <c r="B18" t="inlineStr">
        <is>
          <t>administration</t>
        </is>
      </c>
      <c r="C18" s="23" t="n">
        <v>2503</v>
      </c>
    </row>
    <row r="19" ht="12" customHeight="1">
      <c r="A19" t="inlineStr">
        <is>
          <t>202602</t>
        </is>
      </c>
      <c r="B19" t="inlineStr">
        <is>
          <t>diferencias_divisas</t>
        </is>
      </c>
      <c r="C19" s="23" t="n">
        <v>-277.52</v>
      </c>
    </row>
    <row r="20" ht="12" customHeight="1">
      <c r="A20" t="inlineStr">
        <is>
          <t>202602</t>
        </is>
      </c>
      <c r="B20" t="inlineStr">
        <is>
          <t>logistics</t>
        </is>
      </c>
      <c r="C20" s="23" t="n">
        <v>17886.73</v>
      </c>
    </row>
    <row r="21" ht="12" customHeight="1">
      <c r="A21" t="inlineStr">
        <is>
          <t>202602</t>
        </is>
      </c>
      <c r="B21" t="inlineStr">
        <is>
          <t>manufacturing</t>
        </is>
      </c>
      <c r="C21" s="23" t="n">
        <v>63482.91</v>
      </c>
    </row>
    <row r="22" ht="12" customHeight="1">
      <c r="A22" t="inlineStr">
        <is>
          <t>202602</t>
        </is>
      </c>
      <c r="B22" t="inlineStr">
        <is>
          <t>marketing</t>
        </is>
      </c>
      <c r="C22" s="23" t="n">
        <v>47626.1</v>
      </c>
    </row>
    <row r="23" ht="12" customHeight="1">
      <c r="A23" t="inlineStr">
        <is>
          <t>202602</t>
        </is>
      </c>
      <c r="B23" t="inlineStr">
        <is>
          <t>marketplaces</t>
        </is>
      </c>
      <c r="C23" s="23" t="n">
        <v>2875.02</v>
      </c>
    </row>
    <row r="24" ht="12" customHeight="1">
      <c r="A24" t="inlineStr">
        <is>
          <t>202602</t>
        </is>
      </c>
      <c r="B24" t="inlineStr">
        <is>
          <t>otros_gastos</t>
        </is>
      </c>
      <c r="C24" s="23" t="n">
        <v>554.46</v>
      </c>
    </row>
    <row r="25" ht="12" customHeight="1">
      <c r="A25" t="inlineStr">
        <is>
          <t>202602</t>
        </is>
      </c>
      <c r="B25" t="inlineStr">
        <is>
          <t>payment_fees</t>
        </is>
      </c>
      <c r="C25" s="23" t="n">
        <v>4034.69</v>
      </c>
    </row>
    <row r="26" ht="12" customHeight="1">
      <c r="A26" t="inlineStr">
        <is>
          <t>202602</t>
        </is>
      </c>
      <c r="B26" t="inlineStr">
        <is>
          <t>royalties</t>
        </is>
      </c>
      <c r="C26" s="23" t="n">
        <v>16662</v>
      </c>
    </row>
    <row r="27" ht="12" customHeight="1">
      <c r="A27" t="inlineStr">
        <is>
          <t>202602</t>
        </is>
      </c>
      <c r="B27" t="inlineStr">
        <is>
          <t>services_ext</t>
        </is>
      </c>
      <c r="C27" s="23" t="n">
        <v>1191.18</v>
      </c>
    </row>
    <row r="28" ht="12" customHeight="1">
      <c r="A28" t="inlineStr">
        <is>
          <t>202602</t>
        </is>
      </c>
      <c r="B28" t="inlineStr">
        <is>
          <t>shopify</t>
        </is>
      </c>
      <c r="C28" s="23" t="n">
        <v>149057.08</v>
      </c>
    </row>
    <row r="29" ht="12" customHeight="1">
      <c r="A29" t="inlineStr">
        <is>
          <t>202602</t>
        </is>
      </c>
      <c r="B29" t="inlineStr">
        <is>
          <t>staff</t>
        </is>
      </c>
      <c r="C29" s="23" t="n">
        <v>14915.68</v>
      </c>
    </row>
    <row r="30" ht="12" customHeight="1">
      <c r="A30" t="inlineStr">
        <is>
          <t>202602</t>
        </is>
      </c>
      <c r="B30" t="inlineStr">
        <is>
          <t>supplies</t>
        </is>
      </c>
      <c r="C30" s="23" t="n">
        <v>-522.54</v>
      </c>
    </row>
    <row r="31" ht="12" customHeight="1">
      <c r="A31" t="inlineStr">
        <is>
          <t>202602</t>
        </is>
      </c>
      <c r="B31" t="inlineStr">
        <is>
          <t>technology</t>
        </is>
      </c>
      <c r="C31" s="23" t="n">
        <v>4037.39</v>
      </c>
    </row>
    <row r="32" ht="12" customHeight="1">
      <c r="A32" t="inlineStr">
        <is>
          <t>202603</t>
        </is>
      </c>
      <c r="B32" t="inlineStr">
        <is>
          <t>administration</t>
        </is>
      </c>
      <c r="C32" s="23" t="n">
        <v>2753.58</v>
      </c>
    </row>
    <row r="33" ht="12" customHeight="1">
      <c r="A33" t="inlineStr">
        <is>
          <t>202603</t>
        </is>
      </c>
      <c r="B33" t="inlineStr">
        <is>
          <t>logistics</t>
        </is>
      </c>
      <c r="C33" s="23" t="n">
        <v>16086.79</v>
      </c>
    </row>
    <row r="34" ht="12" customHeight="1">
      <c r="A34" t="inlineStr">
        <is>
          <t>202603</t>
        </is>
      </c>
      <c r="B34" t="inlineStr">
        <is>
          <t>manufacturing</t>
        </is>
      </c>
      <c r="C34" s="23" t="n">
        <v>42712.31</v>
      </c>
    </row>
    <row r="35" ht="12" customHeight="1">
      <c r="A35" t="inlineStr">
        <is>
          <t>202603</t>
        </is>
      </c>
      <c r="B35" t="inlineStr">
        <is>
          <t>marketing</t>
        </is>
      </c>
      <c r="C35" s="23" t="n">
        <v>55581.48</v>
      </c>
    </row>
    <row r="36" ht="12" customHeight="1">
      <c r="A36" t="inlineStr">
        <is>
          <t>202603</t>
        </is>
      </c>
      <c r="B36" t="inlineStr">
        <is>
          <t>marketplaces</t>
        </is>
      </c>
      <c r="C36" s="23" t="n">
        <v>16887.89</v>
      </c>
    </row>
    <row r="37" ht="12" customHeight="1">
      <c r="A37" t="inlineStr">
        <is>
          <t>202603</t>
        </is>
      </c>
      <c r="B37" t="inlineStr">
        <is>
          <t>payment_fees</t>
        </is>
      </c>
      <c r="C37" s="23" t="n">
        <v>4400.57</v>
      </c>
    </row>
    <row r="38" ht="12" customHeight="1">
      <c r="A38" t="inlineStr">
        <is>
          <t>202603</t>
        </is>
      </c>
      <c r="B38" t="inlineStr">
        <is>
          <t>royalties</t>
        </is>
      </c>
      <c r="C38" s="23" t="n">
        <v>14544</v>
      </c>
    </row>
    <row r="39" ht="12" customHeight="1">
      <c r="A39" t="inlineStr">
        <is>
          <t>202603</t>
        </is>
      </c>
      <c r="B39" t="inlineStr">
        <is>
          <t>services_ext</t>
        </is>
      </c>
      <c r="C39" s="23" t="n">
        <v>595.59</v>
      </c>
    </row>
    <row r="40" ht="12" customHeight="1">
      <c r="A40" t="inlineStr">
        <is>
          <t>202603</t>
        </is>
      </c>
      <c r="B40" t="inlineStr">
        <is>
          <t>shopify</t>
        </is>
      </c>
      <c r="C40" s="23" t="n">
        <v>153533.23</v>
      </c>
    </row>
    <row r="41" ht="12" customHeight="1">
      <c r="A41" t="inlineStr">
        <is>
          <t>202603</t>
        </is>
      </c>
      <c r="B41" t="inlineStr">
        <is>
          <t>staff</t>
        </is>
      </c>
      <c r="C41" s="23" t="n">
        <v>15349.42</v>
      </c>
    </row>
    <row r="42" ht="12" customHeight="1">
      <c r="A42" t="inlineStr">
        <is>
          <t>202603</t>
        </is>
      </c>
      <c r="B42" t="inlineStr">
        <is>
          <t>supplies</t>
        </is>
      </c>
      <c r="C42" s="23" t="n">
        <v>-585.21</v>
      </c>
    </row>
    <row r="43" ht="12" customHeight="1">
      <c r="A43" t="inlineStr">
        <is>
          <t>202603</t>
        </is>
      </c>
      <c r="B43" t="inlineStr">
        <is>
          <t>technology</t>
        </is>
      </c>
      <c r="C43" s="23" t="n">
        <v>5355.88</v>
      </c>
    </row>
    <row r="44" ht="12" customHeight="1">
      <c r="A44" t="inlineStr">
        <is>
          <t>202604</t>
        </is>
      </c>
      <c r="B44" t="inlineStr">
        <is>
          <t>administration</t>
        </is>
      </c>
      <c r="C44" s="23" t="n">
        <v>823.08</v>
      </c>
    </row>
    <row r="45" ht="12" customHeight="1">
      <c r="A45" t="inlineStr">
        <is>
          <t>202604</t>
        </is>
      </c>
      <c r="B45" t="inlineStr">
        <is>
          <t>payment_fees</t>
        </is>
      </c>
      <c r="C45" s="23" t="n">
        <v>948.47</v>
      </c>
    </row>
    <row r="46" ht="12" customHeight="1">
      <c r="A46" t="inlineStr">
        <is>
          <t>202604</t>
        </is>
      </c>
      <c r="B46" t="inlineStr">
        <is>
          <t>shopify</t>
        </is>
      </c>
      <c r="C46" s="23" t="n">
        <v>54823.58</v>
      </c>
    </row>
    <row r="47" ht="12" customHeight="1">
      <c r="A47" t="inlineStr">
        <is>
          <t>202604</t>
        </is>
      </c>
      <c r="B47" t="inlineStr">
        <is>
          <t>technology</t>
        </is>
      </c>
      <c r="C47" s="23" t="n">
        <v>163.1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amount_gbp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130.17</v>
      </c>
    </row>
    <row r="3" ht="12" customHeight="1">
      <c r="A3" t="inlineStr">
        <is>
          <t>202601</t>
        </is>
      </c>
      <c r="B3" t="inlineStr">
        <is>
          <t>logistics</t>
        </is>
      </c>
      <c r="C3" s="23" t="n">
        <v>1255.05</v>
      </c>
    </row>
    <row r="4" ht="12" customHeight="1">
      <c r="A4" t="inlineStr">
        <is>
          <t>202601</t>
        </is>
      </c>
      <c r="B4" t="inlineStr">
        <is>
          <t>manufacturing</t>
        </is>
      </c>
      <c r="C4" s="23" t="n">
        <v>7989.9</v>
      </c>
    </row>
    <row r="5" ht="12" customHeight="1">
      <c r="A5" t="inlineStr">
        <is>
          <t>202601</t>
        </is>
      </c>
      <c r="B5" t="inlineStr">
        <is>
          <t>payment_fees</t>
        </is>
      </c>
      <c r="C5" s="23" t="n">
        <v>394.29</v>
      </c>
    </row>
    <row r="6" ht="12" customHeight="1">
      <c r="A6" t="inlineStr">
        <is>
          <t>202601</t>
        </is>
      </c>
      <c r="B6" t="inlineStr">
        <is>
          <t>product_sales</t>
        </is>
      </c>
      <c r="C6" s="23" t="n">
        <v>15702.66</v>
      </c>
    </row>
    <row r="7" ht="12" customHeight="1">
      <c r="A7" t="inlineStr">
        <is>
          <t>202602</t>
        </is>
      </c>
      <c r="B7" t="inlineStr">
        <is>
          <t>administration</t>
        </is>
      </c>
      <c r="C7" s="23" t="n">
        <v>185.17</v>
      </c>
    </row>
    <row r="8" ht="12" customHeight="1">
      <c r="A8" t="inlineStr">
        <is>
          <t>202602</t>
        </is>
      </c>
      <c r="B8" t="inlineStr">
        <is>
          <t>logistics</t>
        </is>
      </c>
      <c r="C8" s="23" t="n">
        <v>1670.3</v>
      </c>
    </row>
    <row r="9" ht="12" customHeight="1">
      <c r="A9" t="inlineStr">
        <is>
          <t>202602</t>
        </is>
      </c>
      <c r="B9" t="inlineStr">
        <is>
          <t>manufacturing</t>
        </is>
      </c>
      <c r="C9" s="23" t="n">
        <v>8155.45</v>
      </c>
    </row>
    <row r="10" ht="12" customHeight="1">
      <c r="A10" t="inlineStr">
        <is>
          <t>202602</t>
        </is>
      </c>
      <c r="B10" t="inlineStr">
        <is>
          <t>payment_fees</t>
        </is>
      </c>
      <c r="C10" s="23" t="n">
        <v>488.84</v>
      </c>
    </row>
    <row r="11" ht="12" customHeight="1">
      <c r="A11" t="inlineStr">
        <is>
          <t>202602</t>
        </is>
      </c>
      <c r="B11" t="inlineStr">
        <is>
          <t>product_sales</t>
        </is>
      </c>
      <c r="C11" s="23" t="n">
        <v>19429.25</v>
      </c>
    </row>
    <row r="12" ht="12" customHeight="1">
      <c r="A12" t="inlineStr">
        <is>
          <t>202603</t>
        </is>
      </c>
      <c r="B12" t="inlineStr">
        <is>
          <t>administration</t>
        </is>
      </c>
      <c r="C12" s="23" t="n">
        <v>254.17</v>
      </c>
    </row>
    <row r="13" ht="12" customHeight="1">
      <c r="A13" t="inlineStr">
        <is>
          <t>202603</t>
        </is>
      </c>
      <c r="B13" t="inlineStr">
        <is>
          <t>logistics</t>
        </is>
      </c>
      <c r="C13" s="23" t="n">
        <v>2407.35</v>
      </c>
    </row>
    <row r="14" ht="12" customHeight="1">
      <c r="A14" t="inlineStr">
        <is>
          <t>202603</t>
        </is>
      </c>
      <c r="B14" t="inlineStr">
        <is>
          <t>manufacturing</t>
        </is>
      </c>
      <c r="C14" s="23" t="n">
        <v>9601.129999999999</v>
      </c>
    </row>
    <row r="15" ht="12" customHeight="1">
      <c r="A15" t="inlineStr">
        <is>
          <t>202603</t>
        </is>
      </c>
      <c r="B15" t="inlineStr">
        <is>
          <t>payment_fees</t>
        </is>
      </c>
      <c r="C15" s="23" t="n">
        <v>564.5</v>
      </c>
    </row>
    <row r="16" ht="12" customHeight="1">
      <c r="A16" t="inlineStr">
        <is>
          <t>202603</t>
        </is>
      </c>
      <c r="B16" t="inlineStr">
        <is>
          <t>product_sales</t>
        </is>
      </c>
      <c r="C16" s="23" t="n">
        <v>22362.26</v>
      </c>
    </row>
    <row r="17" ht="12" customHeight="1">
      <c r="A17" t="inlineStr">
        <is>
          <t>202603</t>
        </is>
      </c>
      <c r="B17" t="inlineStr">
        <is>
          <t>technology</t>
        </is>
      </c>
      <c r="C17" s="23" t="n">
        <v>141.32</v>
      </c>
    </row>
    <row r="18" ht="12" customHeight="1">
      <c r="A18" t="inlineStr">
        <is>
          <t>202604</t>
        </is>
      </c>
      <c r="B18" t="inlineStr">
        <is>
          <t>administration</t>
        </is>
      </c>
      <c r="C18" s="23" t="n">
        <v>1035.17</v>
      </c>
    </row>
    <row r="19" ht="12" customHeight="1">
      <c r="A19" t="inlineStr">
        <is>
          <t>202604</t>
        </is>
      </c>
      <c r="B19" t="inlineStr">
        <is>
          <t>manufacturing</t>
        </is>
      </c>
      <c r="C19" s="23" t="n">
        <v>284.82</v>
      </c>
    </row>
    <row r="20" ht="12" customHeight="1">
      <c r="A20" t="inlineStr">
        <is>
          <t>202604</t>
        </is>
      </c>
      <c r="B20" t="inlineStr">
        <is>
          <t>payment_fees</t>
        </is>
      </c>
      <c r="C20" s="23" t="n">
        <v>117.4</v>
      </c>
    </row>
    <row r="21" ht="12" customHeight="1">
      <c r="A21" t="inlineStr">
        <is>
          <t>202604</t>
        </is>
      </c>
      <c r="B21" t="inlineStr">
        <is>
          <t>product_sales</t>
        </is>
      </c>
      <c r="C21" s="23" t="n">
        <v>5572.05</v>
      </c>
    </row>
    <row r="22" ht="12" customHeight="1">
      <c r="A22" t="inlineStr">
        <is>
          <t>202605</t>
        </is>
      </c>
      <c r="B22" t="inlineStr">
        <is>
          <t>administration</t>
        </is>
      </c>
      <c r="C22" s="23" t="n">
        <v>185.17</v>
      </c>
    </row>
    <row r="23" ht="12" customHeight="1">
      <c r="A23" t="inlineStr">
        <is>
          <t>202605</t>
        </is>
      </c>
      <c r="B23" t="inlineStr">
        <is>
          <t>manufacturing</t>
        </is>
      </c>
      <c r="C23" s="23" t="n">
        <v>0</v>
      </c>
    </row>
    <row r="24" ht="12" customHeight="1">
      <c r="A24" t="inlineStr">
        <is>
          <t>202606</t>
        </is>
      </c>
      <c r="B24" t="inlineStr">
        <is>
          <t>administration</t>
        </is>
      </c>
      <c r="C24" s="23" t="n">
        <v>185.17</v>
      </c>
    </row>
    <row r="25" ht="12" customHeight="1">
      <c r="A25" t="inlineStr">
        <is>
          <t>202606</t>
        </is>
      </c>
      <c r="B25" t="inlineStr">
        <is>
          <t>manufacturing</t>
        </is>
      </c>
      <c r="C25" s="23" t="n">
        <v>0</v>
      </c>
    </row>
    <row r="26" ht="12" customHeight="1">
      <c r="A26" t="inlineStr">
        <is>
          <t>202607</t>
        </is>
      </c>
      <c r="B26" t="inlineStr">
        <is>
          <t>administration</t>
        </is>
      </c>
      <c r="C26" s="23" t="n">
        <v>185.17</v>
      </c>
    </row>
    <row r="27" ht="12" customHeight="1">
      <c r="A27" t="inlineStr">
        <is>
          <t>202607</t>
        </is>
      </c>
      <c r="B27" t="inlineStr">
        <is>
          <t>manufacturing</t>
        </is>
      </c>
      <c r="C27" s="23" t="n">
        <v>0</v>
      </c>
    </row>
    <row r="28" ht="12" customHeight="1">
      <c r="A28" t="inlineStr">
        <is>
          <t>202608</t>
        </is>
      </c>
      <c r="B28" t="inlineStr">
        <is>
          <t>administration</t>
        </is>
      </c>
      <c r="C28" s="23" t="n">
        <v>185.17</v>
      </c>
    </row>
    <row r="29" ht="12" customHeight="1">
      <c r="A29" t="inlineStr">
        <is>
          <t>202608</t>
        </is>
      </c>
      <c r="B29" t="inlineStr">
        <is>
          <t>manufacturing</t>
        </is>
      </c>
      <c r="C29" s="23" t="n">
        <v>0</v>
      </c>
    </row>
    <row r="30" ht="12" customHeight="1">
      <c r="A30" t="inlineStr">
        <is>
          <t>202609</t>
        </is>
      </c>
      <c r="B30" t="inlineStr">
        <is>
          <t>administration</t>
        </is>
      </c>
      <c r="C30" s="23" t="n">
        <v>185.17</v>
      </c>
    </row>
    <row r="31" ht="12" customHeight="1">
      <c r="A31" t="inlineStr">
        <is>
          <t>202609</t>
        </is>
      </c>
      <c r="B31" t="inlineStr">
        <is>
          <t>manufacturing</t>
        </is>
      </c>
      <c r="C31" s="23" t="n">
        <v>0</v>
      </c>
    </row>
    <row r="32" ht="12" customHeight="1">
      <c r="A32" t="inlineStr">
        <is>
          <t>202610</t>
        </is>
      </c>
      <c r="B32" t="inlineStr">
        <is>
          <t>administration</t>
        </is>
      </c>
      <c r="C32" s="23" t="n">
        <v>185.17</v>
      </c>
    </row>
    <row r="33" ht="12" customHeight="1">
      <c r="A33" t="inlineStr">
        <is>
          <t>202610</t>
        </is>
      </c>
      <c r="B33" t="inlineStr">
        <is>
          <t>manufacturing</t>
        </is>
      </c>
      <c r="C33" s="23" t="n">
        <v>0</v>
      </c>
    </row>
    <row r="34" ht="12" customHeight="1">
      <c r="A34" t="inlineStr">
        <is>
          <t>202611</t>
        </is>
      </c>
      <c r="B34" t="inlineStr">
        <is>
          <t>administration</t>
        </is>
      </c>
      <c r="C34" s="23" t="n">
        <v>185.17</v>
      </c>
    </row>
    <row r="35" ht="12" customHeight="1">
      <c r="A35" t="inlineStr">
        <is>
          <t>202611</t>
        </is>
      </c>
      <c r="B35" t="inlineStr">
        <is>
          <t>manufacturing</t>
        </is>
      </c>
      <c r="C35" s="23" t="n">
        <v>0</v>
      </c>
    </row>
    <row r="36" ht="12" customHeight="1">
      <c r="A36" t="inlineStr">
        <is>
          <t>202612</t>
        </is>
      </c>
      <c r="B36" t="inlineStr">
        <is>
          <t>administration</t>
        </is>
      </c>
      <c r="C36" s="23" t="n">
        <v>185.17</v>
      </c>
    </row>
    <row r="37" ht="12" customHeight="1">
      <c r="A37" t="inlineStr">
        <is>
          <t>202612</t>
        </is>
      </c>
      <c r="B37" t="inlineStr">
        <is>
          <t>manufacturing</t>
        </is>
      </c>
      <c r="C37" s="2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12" customHeight="1">
      <c r="A1" s="22" t="inlineStr">
        <is>
          <t>yyyymm</t>
        </is>
      </c>
      <c r="B1" s="22" t="inlineStr">
        <is>
          <t>line_key</t>
        </is>
      </c>
      <c r="C1" s="22" t="inlineStr">
        <is>
          <t>amount_usd</t>
        </is>
      </c>
    </row>
    <row r="2" ht="12" customHeight="1">
      <c r="A2" t="inlineStr">
        <is>
          <t>202601</t>
        </is>
      </c>
      <c r="B2" t="inlineStr">
        <is>
          <t>administration</t>
        </is>
      </c>
      <c r="C2" s="23" t="n">
        <v>1332.48</v>
      </c>
    </row>
    <row r="3" ht="12" customHeight="1">
      <c r="A3" t="inlineStr">
        <is>
          <t>202601</t>
        </is>
      </c>
      <c r="B3" t="inlineStr">
        <is>
          <t>logistics</t>
        </is>
      </c>
      <c r="C3" s="23" t="n">
        <v>2888.86</v>
      </c>
    </row>
    <row r="4" ht="12" customHeight="1">
      <c r="A4" t="inlineStr">
        <is>
          <t>202601</t>
        </is>
      </c>
      <c r="B4" t="inlineStr">
        <is>
          <t>manufacturing</t>
        </is>
      </c>
      <c r="C4" s="23" t="n">
        <v>4663.04</v>
      </c>
    </row>
    <row r="5" ht="12" customHeight="1">
      <c r="A5" t="inlineStr">
        <is>
          <t>202601</t>
        </is>
      </c>
      <c r="B5" t="inlineStr">
        <is>
          <t>payment_fees</t>
        </is>
      </c>
      <c r="C5" s="23" t="n">
        <v>293.05</v>
      </c>
    </row>
    <row r="6" ht="12" customHeight="1">
      <c r="A6" t="inlineStr">
        <is>
          <t>202601</t>
        </is>
      </c>
      <c r="B6" t="inlineStr">
        <is>
          <t>product_sales</t>
        </is>
      </c>
      <c r="C6" s="23" t="n">
        <v>10261.58</v>
      </c>
    </row>
    <row r="7" ht="12" customHeight="1">
      <c r="A7" t="inlineStr">
        <is>
          <t>202602</t>
        </is>
      </c>
      <c r="B7" t="inlineStr">
        <is>
          <t>administration</t>
        </is>
      </c>
      <c r="C7" s="23" t="n">
        <v>1332.48</v>
      </c>
    </row>
    <row r="8" ht="12" customHeight="1">
      <c r="A8" t="inlineStr">
        <is>
          <t>202602</t>
        </is>
      </c>
      <c r="B8" t="inlineStr">
        <is>
          <t>logistics</t>
        </is>
      </c>
      <c r="C8" s="23" t="n">
        <v>4445.62</v>
      </c>
    </row>
    <row r="9" ht="12" customHeight="1">
      <c r="A9" t="inlineStr">
        <is>
          <t>202602</t>
        </is>
      </c>
      <c r="B9" t="inlineStr">
        <is>
          <t>manufacturing</t>
        </is>
      </c>
      <c r="C9" s="23" t="n">
        <v>5066.36</v>
      </c>
    </row>
    <row r="10" ht="12" customHeight="1">
      <c r="A10" t="inlineStr">
        <is>
          <t>202602</t>
        </is>
      </c>
      <c r="B10" t="inlineStr">
        <is>
          <t>payment_fees</t>
        </is>
      </c>
      <c r="C10" s="23" t="n">
        <v>470.09</v>
      </c>
    </row>
    <row r="11" ht="12" customHeight="1">
      <c r="A11" t="inlineStr">
        <is>
          <t>202602</t>
        </is>
      </c>
      <c r="B11" t="inlineStr">
        <is>
          <t>product_sales</t>
        </is>
      </c>
      <c r="C11" s="23" t="n">
        <v>15549.06</v>
      </c>
    </row>
    <row r="12" ht="12" customHeight="1">
      <c r="A12" t="inlineStr">
        <is>
          <t>202603</t>
        </is>
      </c>
      <c r="B12" t="inlineStr">
        <is>
          <t>administration</t>
        </is>
      </c>
      <c r="C12" s="23" t="n">
        <v>1409.68</v>
      </c>
    </row>
    <row r="13" ht="12" customHeight="1">
      <c r="A13" t="inlineStr">
        <is>
          <t>202603</t>
        </is>
      </c>
      <c r="B13" t="inlineStr">
        <is>
          <t>manufacturing</t>
        </is>
      </c>
      <c r="C13" s="23" t="n">
        <v>2767.57</v>
      </c>
    </row>
    <row r="14" ht="12" customHeight="1">
      <c r="A14" t="inlineStr">
        <is>
          <t>202603</t>
        </is>
      </c>
      <c r="B14" t="inlineStr">
        <is>
          <t>payment_fees</t>
        </is>
      </c>
      <c r="C14" s="23" t="n">
        <v>520.41</v>
      </c>
    </row>
    <row r="15" ht="12" customHeight="1">
      <c r="A15" t="inlineStr">
        <is>
          <t>202603</t>
        </is>
      </c>
      <c r="B15" t="inlineStr">
        <is>
          <t>product_sales</t>
        </is>
      </c>
      <c r="C15" s="23" t="n">
        <v>16536.75</v>
      </c>
    </row>
    <row r="16" ht="12" customHeight="1">
      <c r="A16" t="inlineStr">
        <is>
          <t>202604</t>
        </is>
      </c>
      <c r="B16" t="inlineStr">
        <is>
          <t>administration</t>
        </is>
      </c>
      <c r="C16" s="23" t="n">
        <v>1257</v>
      </c>
    </row>
    <row r="17" ht="12" customHeight="1">
      <c r="A17" t="inlineStr">
        <is>
          <t>202604</t>
        </is>
      </c>
      <c r="B17" t="inlineStr">
        <is>
          <t>manufacturing</t>
        </is>
      </c>
      <c r="C17" s="23" t="n">
        <v>67.3</v>
      </c>
    </row>
    <row r="18" ht="12" customHeight="1">
      <c r="A18" t="inlineStr">
        <is>
          <t>202604</t>
        </is>
      </c>
      <c r="B18" t="inlineStr">
        <is>
          <t>payment_fees</t>
        </is>
      </c>
      <c r="C18" s="23" t="n">
        <v>101</v>
      </c>
    </row>
    <row r="19" ht="12" customHeight="1">
      <c r="A19" t="inlineStr">
        <is>
          <t>202604</t>
        </is>
      </c>
      <c r="B19" t="inlineStr">
        <is>
          <t>product_sales</t>
        </is>
      </c>
      <c r="C19" s="23" t="n">
        <v>4493.94</v>
      </c>
    </row>
    <row r="20" ht="12" customHeight="1">
      <c r="A20" t="inlineStr">
        <is>
          <t>202605</t>
        </is>
      </c>
      <c r="B20" t="inlineStr">
        <is>
          <t>manufacturing</t>
        </is>
      </c>
      <c r="C20" s="23" t="n">
        <v>0</v>
      </c>
    </row>
    <row r="21" ht="12" customHeight="1">
      <c r="A21" t="inlineStr">
        <is>
          <t>202606</t>
        </is>
      </c>
      <c r="B21" t="inlineStr">
        <is>
          <t>manufacturing</t>
        </is>
      </c>
      <c r="C21" s="23" t="n">
        <v>0</v>
      </c>
    </row>
    <row r="22" ht="12" customHeight="1">
      <c r="A22" t="inlineStr">
        <is>
          <t>202607</t>
        </is>
      </c>
      <c r="B22" t="inlineStr">
        <is>
          <t>manufacturing</t>
        </is>
      </c>
      <c r="C22" s="23" t="n">
        <v>0</v>
      </c>
    </row>
    <row r="23" ht="12" customHeight="1">
      <c r="A23" t="inlineStr">
        <is>
          <t>202608</t>
        </is>
      </c>
      <c r="B23" t="inlineStr">
        <is>
          <t>manufacturing</t>
        </is>
      </c>
      <c r="C23" s="23" t="n">
        <v>0</v>
      </c>
    </row>
    <row r="24" ht="12" customHeight="1">
      <c r="A24" t="inlineStr">
        <is>
          <t>202609</t>
        </is>
      </c>
      <c r="B24" t="inlineStr">
        <is>
          <t>manufacturing</t>
        </is>
      </c>
      <c r="C24" s="23" t="n">
        <v>0</v>
      </c>
    </row>
    <row r="25" ht="12" customHeight="1">
      <c r="A25" t="inlineStr">
        <is>
          <t>202610</t>
        </is>
      </c>
      <c r="B25" t="inlineStr">
        <is>
          <t>manufacturing</t>
        </is>
      </c>
      <c r="C25" s="23" t="n">
        <v>0</v>
      </c>
    </row>
    <row r="26" ht="12" customHeight="1">
      <c r="A26" t="inlineStr">
        <is>
          <t>202611</t>
        </is>
      </c>
      <c r="B26" t="inlineStr">
        <is>
          <t>manufacturing</t>
        </is>
      </c>
      <c r="C26" s="23" t="n">
        <v>0</v>
      </c>
    </row>
    <row r="27" ht="12" customHeight="1">
      <c r="A27" t="inlineStr">
        <is>
          <t>202612</t>
        </is>
      </c>
      <c r="B27" t="inlineStr">
        <is>
          <t>manufacturing</t>
        </is>
      </c>
      <c r="C27" s="2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</cols>
  <sheetData>
    <row r="1" ht="12" customHeight="1">
      <c r="A1" s="22" t="inlineStr">
        <is>
          <t>yyyymm</t>
        </is>
      </c>
      <c r="B1" s="22" t="inlineStr">
        <is>
          <t>currency</t>
        </is>
      </c>
      <c r="C1" s="22" t="inlineStr">
        <is>
          <t>reference_rate</t>
        </is>
      </c>
    </row>
    <row r="2" ht="12" customHeight="1">
      <c r="A2" t="inlineStr">
        <is>
          <t>202601</t>
        </is>
      </c>
      <c r="B2" t="inlineStr">
        <is>
          <t>GBP</t>
        </is>
      </c>
      <c r="C2" s="24" t="n">
        <v>0.8662</v>
      </c>
    </row>
    <row r="3" ht="12" customHeight="1">
      <c r="A3" t="inlineStr">
        <is>
          <t>202601</t>
        </is>
      </c>
      <c r="B3" t="inlineStr">
        <is>
          <t>USD</t>
        </is>
      </c>
      <c r="C3" s="24" t="n">
        <v>1.1919</v>
      </c>
    </row>
    <row r="4" ht="12" customHeight="1">
      <c r="A4" t="inlineStr">
        <is>
          <t>202602</t>
        </is>
      </c>
      <c r="B4" t="inlineStr">
        <is>
          <t>GBP</t>
        </is>
      </c>
      <c r="C4" s="24" t="n">
        <v>0.8763</v>
      </c>
    </row>
    <row r="5" ht="12" customHeight="1">
      <c r="A5" t="inlineStr">
        <is>
          <t>202602</t>
        </is>
      </c>
      <c r="B5" t="inlineStr">
        <is>
          <t>USD</t>
        </is>
      </c>
      <c r="C5" s="24" t="n">
        <v>1.1805</v>
      </c>
    </row>
    <row r="6" ht="12" customHeight="1">
      <c r="A6" t="inlineStr">
        <is>
          <t>202603</t>
        </is>
      </c>
      <c r="B6" t="inlineStr">
        <is>
          <t>GBP</t>
        </is>
      </c>
      <c r="C6" s="24" t="n">
        <v>0.86833</v>
      </c>
    </row>
    <row r="7" ht="12" customHeight="1">
      <c r="A7" t="inlineStr">
        <is>
          <t>202603</t>
        </is>
      </c>
      <c r="B7" t="inlineStr">
        <is>
          <t>USD</t>
        </is>
      </c>
      <c r="C7" s="24" t="n">
        <v>1.1498</v>
      </c>
    </row>
    <row r="8" ht="12" customHeight="1">
      <c r="A8" t="inlineStr">
        <is>
          <t>202604</t>
        </is>
      </c>
      <c r="B8" t="inlineStr">
        <is>
          <t>GBP</t>
        </is>
      </c>
      <c r="C8" s="24" t="n">
        <v>0.87053</v>
      </c>
    </row>
    <row r="9" ht="12" customHeight="1">
      <c r="A9" t="inlineStr">
        <is>
          <t>202604</t>
        </is>
      </c>
      <c r="B9" t="inlineStr">
        <is>
          <t>USD</t>
        </is>
      </c>
      <c r="C9" s="24" t="n">
        <v>1.1685</v>
      </c>
    </row>
    <row r="10" ht="12" customHeight="1">
      <c r="A10" t="inlineStr">
        <is>
          <t>202605</t>
        </is>
      </c>
      <c r="B10" t="inlineStr">
        <is>
          <t>GBP</t>
        </is>
      </c>
      <c r="C10" s="24" t="n">
        <v>0.87053</v>
      </c>
    </row>
    <row r="11" ht="12" customHeight="1">
      <c r="A11" t="inlineStr">
        <is>
          <t>202605</t>
        </is>
      </c>
      <c r="B11" t="inlineStr">
        <is>
          <t>USD</t>
        </is>
      </c>
      <c r="C11" s="24" t="n">
        <v>1.1685</v>
      </c>
    </row>
    <row r="12" ht="12" customHeight="1">
      <c r="A12" t="inlineStr">
        <is>
          <t>202606</t>
        </is>
      </c>
      <c r="B12" t="inlineStr">
        <is>
          <t>GBP</t>
        </is>
      </c>
      <c r="C12" s="24" t="n">
        <v>0.87053</v>
      </c>
    </row>
    <row r="13" ht="12" customHeight="1">
      <c r="A13" t="inlineStr">
        <is>
          <t>202606</t>
        </is>
      </c>
      <c r="B13" t="inlineStr">
        <is>
          <t>USD</t>
        </is>
      </c>
      <c r="C13" s="24" t="n">
        <v>1.1685</v>
      </c>
    </row>
    <row r="14" ht="12" customHeight="1">
      <c r="A14" t="inlineStr">
        <is>
          <t>202607</t>
        </is>
      </c>
      <c r="B14" t="inlineStr">
        <is>
          <t>GBP</t>
        </is>
      </c>
      <c r="C14" s="24" t="n">
        <v>0.87053</v>
      </c>
    </row>
    <row r="15" ht="12" customHeight="1">
      <c r="A15" t="inlineStr">
        <is>
          <t>202607</t>
        </is>
      </c>
      <c r="B15" t="inlineStr">
        <is>
          <t>USD</t>
        </is>
      </c>
      <c r="C15" s="24" t="n">
        <v>1.1685</v>
      </c>
    </row>
    <row r="16" ht="12" customHeight="1">
      <c r="A16" t="inlineStr">
        <is>
          <t>202608</t>
        </is>
      </c>
      <c r="B16" t="inlineStr">
        <is>
          <t>GBP</t>
        </is>
      </c>
      <c r="C16" s="24" t="n">
        <v>0.87053</v>
      </c>
    </row>
    <row r="17" ht="12" customHeight="1">
      <c r="A17" t="inlineStr">
        <is>
          <t>202608</t>
        </is>
      </c>
      <c r="B17" t="inlineStr">
        <is>
          <t>USD</t>
        </is>
      </c>
      <c r="C17" s="24" t="n">
        <v>1.1685</v>
      </c>
    </row>
    <row r="18" ht="12" customHeight="1">
      <c r="A18" t="inlineStr">
        <is>
          <t>202609</t>
        </is>
      </c>
      <c r="B18" t="inlineStr">
        <is>
          <t>GBP</t>
        </is>
      </c>
      <c r="C18" s="24" t="n">
        <v>0.87053</v>
      </c>
    </row>
    <row r="19" ht="12" customHeight="1">
      <c r="A19" t="inlineStr">
        <is>
          <t>202609</t>
        </is>
      </c>
      <c r="B19" t="inlineStr">
        <is>
          <t>USD</t>
        </is>
      </c>
      <c r="C19" s="24" t="n">
        <v>1.1685</v>
      </c>
    </row>
    <row r="20" ht="12" customHeight="1">
      <c r="A20" t="inlineStr">
        <is>
          <t>202610</t>
        </is>
      </c>
      <c r="B20" t="inlineStr">
        <is>
          <t>GBP</t>
        </is>
      </c>
      <c r="C20" s="24" t="n">
        <v>0.87053</v>
      </c>
    </row>
    <row r="21" ht="12" customHeight="1">
      <c r="A21" t="inlineStr">
        <is>
          <t>202610</t>
        </is>
      </c>
      <c r="B21" t="inlineStr">
        <is>
          <t>USD</t>
        </is>
      </c>
      <c r="C21" s="24" t="n">
        <v>1.1685</v>
      </c>
    </row>
    <row r="22" ht="12" customHeight="1">
      <c r="A22" t="inlineStr">
        <is>
          <t>202611</t>
        </is>
      </c>
      <c r="B22" t="inlineStr">
        <is>
          <t>GBP</t>
        </is>
      </c>
      <c r="C22" s="24" t="n">
        <v>0.87053</v>
      </c>
    </row>
    <row r="23" ht="12" customHeight="1">
      <c r="A23" t="inlineStr">
        <is>
          <t>202611</t>
        </is>
      </c>
      <c r="B23" t="inlineStr">
        <is>
          <t>USD</t>
        </is>
      </c>
      <c r="C23" s="24" t="n">
        <v>1.1685</v>
      </c>
    </row>
    <row r="24" ht="12" customHeight="1">
      <c r="A24" t="inlineStr">
        <is>
          <t>202612</t>
        </is>
      </c>
      <c r="B24" t="inlineStr">
        <is>
          <t>GBP</t>
        </is>
      </c>
      <c r="C24" s="24" t="n">
        <v>0.87053</v>
      </c>
    </row>
    <row r="25" ht="12" customHeight="1">
      <c r="A25" t="inlineStr">
        <is>
          <t>202612</t>
        </is>
      </c>
      <c r="B25" t="inlineStr">
        <is>
          <t>USD</t>
        </is>
      </c>
      <c r="C25" s="24" t="n">
        <v>1.1685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idden="1"/>
    <row r="2" ht="12" customHeight="1">
      <c r="A2" s="1" t="inlineStr">
        <is>
          <t>P&amp;G CONSOLIDADO TRIMESTRAL 2026 (EUR)</t>
        </is>
      </c>
      <c r="B2" s="2" t="inlineStr">
        <is>
          <t>Q1</t>
        </is>
      </c>
      <c r="C2" s="2" t="inlineStr">
        <is>
          <t>Q2</t>
        </is>
      </c>
      <c r="D2" s="2" t="inlineStr">
        <is>
          <t>Q3</t>
        </is>
      </c>
      <c r="E2" s="2" t="inlineStr">
        <is>
          <t>Q4</t>
        </is>
      </c>
      <c r="F2" s="2" t="inlineStr">
        <is>
          <t>Total</t>
        </is>
      </c>
    </row>
    <row r="3" ht="12" customHeight="1">
      <c r="A3" s="3">
        <f>'P&amp;G-CONSOLIDADO'!A3</f>
        <v/>
      </c>
    </row>
    <row r="4" ht="12" customHeight="1">
      <c r="A4" s="4" t="inlineStr">
        <is>
          <t>TURNOVER</t>
        </is>
      </c>
      <c r="B4" s="6">
        <f>SUM('P&amp;G-CONSOLIDADO'!D4:F4)</f>
        <v/>
      </c>
      <c r="C4" s="6">
        <f>SUM('P&amp;G-CONSOLIDADO'!G4:I4)</f>
        <v/>
      </c>
      <c r="D4" s="6">
        <f>SUM('P&amp;G-CONSOLIDADO'!J4:L4)</f>
        <v/>
      </c>
      <c r="E4" s="6">
        <f>SUM('P&amp;G-CONSOLIDADO'!M4:O4)</f>
        <v/>
      </c>
      <c r="F4" s="7">
        <f>'P&amp;G-CONSOLIDADO'!P4</f>
        <v/>
      </c>
    </row>
    <row r="5" ht="12" customHeight="1">
      <c r="A5" s="8" t="inlineStr">
        <is>
          <t>Product sales</t>
        </is>
      </c>
      <c r="B5" s="10">
        <f>SUM('P&amp;G-CONSOLIDADO'!D5:F5)</f>
        <v/>
      </c>
      <c r="C5" s="10">
        <f>SUM('P&amp;G-CONSOLIDADO'!G5:I5)</f>
        <v/>
      </c>
      <c r="D5" s="10">
        <f>SUM('P&amp;G-CONSOLIDADO'!J5:L5)</f>
        <v/>
      </c>
      <c r="E5" s="10">
        <f>SUM('P&amp;G-CONSOLIDADO'!M5:O5)</f>
        <v/>
      </c>
      <c r="F5" s="11">
        <f>'P&amp;G-CONSOLIDADO'!P5</f>
        <v/>
      </c>
    </row>
    <row r="6" ht="12" customHeight="1">
      <c r="A6" s="12" t="inlineStr">
        <is>
          <t>Shopify</t>
        </is>
      </c>
      <c r="B6" s="13">
        <f>SUM('P&amp;G-CONSOLIDADO'!D6:F6)</f>
        <v/>
      </c>
      <c r="C6" s="13">
        <f>SUM('P&amp;G-CONSOLIDADO'!G6:I6)</f>
        <v/>
      </c>
      <c r="D6" s="13">
        <f>SUM('P&amp;G-CONSOLIDADO'!J6:L6)</f>
        <v/>
      </c>
      <c r="E6" s="13">
        <f>SUM('P&amp;G-CONSOLIDADO'!M6:O6)</f>
        <v/>
      </c>
      <c r="F6" s="14">
        <f>'P&amp;G-CONSOLIDADO'!P6</f>
        <v/>
      </c>
    </row>
    <row r="7" ht="12" customHeight="1">
      <c r="A7" s="12" t="inlineStr">
        <is>
          <t>Marketplaces</t>
        </is>
      </c>
      <c r="B7" s="13">
        <f>SUM('P&amp;G-CONSOLIDADO'!D7:F7)</f>
        <v/>
      </c>
      <c r="C7" s="13">
        <f>SUM('P&amp;G-CONSOLIDADO'!G7:I7)</f>
        <v/>
      </c>
      <c r="D7" s="13">
        <f>SUM('P&amp;G-CONSOLIDADO'!J7:L7)</f>
        <v/>
      </c>
      <c r="E7" s="13">
        <f>SUM('P&amp;G-CONSOLIDADO'!M7:O7)</f>
        <v/>
      </c>
      <c r="F7" s="14">
        <f>'P&amp;G-CONSOLIDADO'!P7</f>
        <v/>
      </c>
    </row>
    <row r="8" ht="12" customHeight="1">
      <c r="A8" s="12" t="inlineStr">
        <is>
          <t>Rappels</t>
        </is>
      </c>
      <c r="B8" s="13">
        <f>SUM('P&amp;G-CONSOLIDADO'!D8:F8)</f>
        <v/>
      </c>
      <c r="C8" s="13">
        <f>SUM('P&amp;G-CONSOLIDADO'!G8:I8)</f>
        <v/>
      </c>
      <c r="D8" s="13">
        <f>SUM('P&amp;G-CONSOLIDADO'!J8:L8)</f>
        <v/>
      </c>
      <c r="E8" s="13">
        <f>SUM('P&amp;G-CONSOLIDADO'!M8:O8)</f>
        <v/>
      </c>
      <c r="F8" s="14">
        <f>'P&amp;G-CONSOLIDADO'!P8</f>
        <v/>
      </c>
    </row>
    <row r="9" ht="12" customHeight="1">
      <c r="A9" s="12" t="inlineStr">
        <is>
          <t>Supplies</t>
        </is>
      </c>
      <c r="B9" s="13">
        <f>SUM('P&amp;G-CONSOLIDADO'!D9:F9)</f>
        <v/>
      </c>
      <c r="C9" s="13">
        <f>SUM('P&amp;G-CONSOLIDADO'!G9:I9)</f>
        <v/>
      </c>
      <c r="D9" s="13">
        <f>SUM('P&amp;G-CONSOLIDADO'!J9:L9)</f>
        <v/>
      </c>
      <c r="E9" s="13">
        <f>SUM('P&amp;G-CONSOLIDADO'!M9:O9)</f>
        <v/>
      </c>
      <c r="F9" s="14">
        <f>'P&amp;G-CONSOLIDADO'!P9</f>
        <v/>
      </c>
    </row>
    <row r="10" ht="12" customHeight="1">
      <c r="A10" s="8" t="inlineStr">
        <is>
          <t>Services</t>
        </is>
      </c>
      <c r="B10" s="10">
        <f>SUM('P&amp;G-CONSOLIDADO'!D10:F10)</f>
        <v/>
      </c>
      <c r="C10" s="10">
        <f>SUM('P&amp;G-CONSOLIDADO'!G10:I10)</f>
        <v/>
      </c>
      <c r="D10" s="10">
        <f>SUM('P&amp;G-CONSOLIDADO'!J10:L10)</f>
        <v/>
      </c>
      <c r="E10" s="10">
        <f>SUM('P&amp;G-CONSOLIDADO'!M10:O10)</f>
        <v/>
      </c>
      <c r="F10" s="11">
        <f>'P&amp;G-CONSOLIDADO'!P10</f>
        <v/>
      </c>
    </row>
    <row r="11" ht="12" customHeight="1">
      <c r="A11" s="15" t="inlineStr">
        <is>
          <t>Uncategorized income</t>
        </is>
      </c>
      <c r="B11" s="13">
        <f>SUM('P&amp;G-CONSOLIDADO'!D11:F11)</f>
        <v/>
      </c>
      <c r="C11" s="13">
        <f>SUM('P&amp;G-CONSOLIDADO'!G11:I11)</f>
        <v/>
      </c>
      <c r="D11" s="13">
        <f>SUM('P&amp;G-CONSOLIDADO'!J11:L11)</f>
        <v/>
      </c>
      <c r="E11" s="13">
        <f>SUM('P&amp;G-CONSOLIDADO'!M11:O11)</f>
        <v/>
      </c>
      <c r="F11" s="14">
        <f>'P&amp;G-CONSOLIDADO'!P11</f>
        <v/>
      </c>
    </row>
    <row r="12" ht="12" customHeight="1">
      <c r="A12" s="4" t="inlineStr">
        <is>
          <t>EXPENSES</t>
        </is>
      </c>
      <c r="B12" s="6">
        <f>SUM('P&amp;G-CONSOLIDADO'!D12:F12)</f>
        <v/>
      </c>
      <c r="C12" s="6">
        <f>SUM('P&amp;G-CONSOLIDADO'!G12:I12)</f>
        <v/>
      </c>
      <c r="D12" s="6">
        <f>SUM('P&amp;G-CONSOLIDADO'!J12:L12)</f>
        <v/>
      </c>
      <c r="E12" s="6">
        <f>SUM('P&amp;G-CONSOLIDADO'!M12:O12)</f>
        <v/>
      </c>
      <c r="F12" s="7">
        <f>'P&amp;G-CONSOLIDADO'!P12</f>
        <v/>
      </c>
    </row>
    <row r="13" ht="12" customHeight="1">
      <c r="A13" s="8" t="inlineStr">
        <is>
          <t>COGS</t>
        </is>
      </c>
      <c r="B13" s="10">
        <f>SUM('P&amp;G-CONSOLIDADO'!D13:F13)</f>
        <v/>
      </c>
      <c r="C13" s="10">
        <f>SUM('P&amp;G-CONSOLIDADO'!G13:I13)</f>
        <v/>
      </c>
      <c r="D13" s="10">
        <f>SUM('P&amp;G-CONSOLIDADO'!J13:L13)</f>
        <v/>
      </c>
      <c r="E13" s="10">
        <f>SUM('P&amp;G-CONSOLIDADO'!M13:O13)</f>
        <v/>
      </c>
      <c r="F13" s="11">
        <f>'P&amp;G-CONSOLIDADO'!P13</f>
        <v/>
      </c>
    </row>
    <row r="14" ht="12" customHeight="1">
      <c r="A14" s="12" t="inlineStr">
        <is>
          <t>Manufacturing</t>
        </is>
      </c>
      <c r="B14" s="13">
        <f>SUM('P&amp;G-CONSOLIDADO'!D14:F14)</f>
        <v/>
      </c>
      <c r="C14" s="13">
        <f>SUM('P&amp;G-CONSOLIDADO'!G14:I14)</f>
        <v/>
      </c>
      <c r="D14" s="13">
        <f>SUM('P&amp;G-CONSOLIDADO'!J14:L14)</f>
        <v/>
      </c>
      <c r="E14" s="13">
        <f>SUM('P&amp;G-CONSOLIDADO'!M14:O14)</f>
        <v/>
      </c>
      <c r="F14" s="14">
        <f>'P&amp;G-CONSOLIDADO'!P14</f>
        <v/>
      </c>
    </row>
    <row r="15" ht="12" customHeight="1">
      <c r="A15" s="12" t="inlineStr">
        <is>
          <t>Logistics</t>
        </is>
      </c>
      <c r="B15" s="13">
        <f>SUM('P&amp;G-CONSOLIDADO'!D15:F15)</f>
        <v/>
      </c>
      <c r="C15" s="13">
        <f>SUM('P&amp;G-CONSOLIDADO'!G15:I15)</f>
        <v/>
      </c>
      <c r="D15" s="13">
        <f>SUM('P&amp;G-CONSOLIDADO'!J15:L15)</f>
        <v/>
      </c>
      <c r="E15" s="13">
        <f>SUM('P&amp;G-CONSOLIDADO'!M15:O15)</f>
        <v/>
      </c>
      <c r="F15" s="14">
        <f>'P&amp;G-CONSOLIDADO'!P15</f>
        <v/>
      </c>
    </row>
    <row r="16" ht="12" customHeight="1">
      <c r="A16" s="12" t="inlineStr">
        <is>
          <t>Royalties</t>
        </is>
      </c>
      <c r="B16" s="13">
        <f>SUM('P&amp;G-CONSOLIDADO'!D16:F16)</f>
        <v/>
      </c>
      <c r="C16" s="13">
        <f>SUM('P&amp;G-CONSOLIDADO'!G16:I16)</f>
        <v/>
      </c>
      <c r="D16" s="13">
        <f>SUM('P&amp;G-CONSOLIDADO'!J16:L16)</f>
        <v/>
      </c>
      <c r="E16" s="13">
        <f>SUM('P&amp;G-CONSOLIDADO'!M16:O16)</f>
        <v/>
      </c>
      <c r="F16" s="14">
        <f>'P&amp;G-CONSOLIDADO'!P16</f>
        <v/>
      </c>
    </row>
    <row r="17" ht="12" customHeight="1">
      <c r="A17" s="12" t="inlineStr">
        <is>
          <t>Payment fees</t>
        </is>
      </c>
      <c r="B17" s="13">
        <f>SUM('P&amp;G-CONSOLIDADO'!D17:F17)</f>
        <v/>
      </c>
      <c r="C17" s="13">
        <f>SUM('P&amp;G-CONSOLIDADO'!G17:I17)</f>
        <v/>
      </c>
      <c r="D17" s="13">
        <f>SUM('P&amp;G-CONSOLIDADO'!J17:L17)</f>
        <v/>
      </c>
      <c r="E17" s="13">
        <f>SUM('P&amp;G-CONSOLIDADO'!M17:O17)</f>
        <v/>
      </c>
      <c r="F17" s="14">
        <f>'P&amp;G-CONSOLIDADO'!P17</f>
        <v/>
      </c>
    </row>
    <row r="18" ht="12" customHeight="1">
      <c r="A18" s="16" t="inlineStr">
        <is>
          <t>GROSS MARGIN (SALES-MANUFACTURING)</t>
        </is>
      </c>
      <c r="B18" s="18">
        <f>SUM('P&amp;G-CONSOLIDADO'!D18:F18)</f>
        <v/>
      </c>
      <c r="C18" s="18">
        <f>SUM('P&amp;G-CONSOLIDADO'!G18:I18)</f>
        <v/>
      </c>
      <c r="D18" s="18">
        <f>SUM('P&amp;G-CONSOLIDADO'!J18:L18)</f>
        <v/>
      </c>
      <c r="E18" s="18">
        <f>SUM('P&amp;G-CONSOLIDADO'!M18:O18)</f>
        <v/>
      </c>
      <c r="F18" s="7">
        <f>'P&amp;G-CONSOLIDADO'!P18</f>
        <v/>
      </c>
    </row>
    <row r="19" ht="12" customHeight="1">
      <c r="A19" s="19" t="inlineStr">
        <is>
          <t>% gross margin</t>
        </is>
      </c>
      <c r="B19" s="20">
        <f>IFERROR(SUM('P&amp;G-CONSOLIDADO'!D18:F18)/SUM('P&amp;G-CONSOLIDADO'!D5:F5),0)</f>
        <v/>
      </c>
      <c r="C19" s="20">
        <f>IFERROR(SUM('P&amp;G-CONSOLIDADO'!G18:I18)/SUM('P&amp;G-CONSOLIDADO'!G5:I5),0)</f>
        <v/>
      </c>
      <c r="D19" s="20">
        <f>IFERROR(SUM('P&amp;G-CONSOLIDADO'!J18:L18)/SUM('P&amp;G-CONSOLIDADO'!J5:L5),0)</f>
        <v/>
      </c>
      <c r="E19" s="20">
        <f>IFERROR(SUM('P&amp;G-CONSOLIDADO'!M18:O18)/SUM('P&amp;G-CONSOLIDADO'!M5:O5),0)</f>
        <v/>
      </c>
      <c r="F19" s="21">
        <f>IFERROR('P&amp;G-CONSOLIDADO'!P18/'P&amp;G-CONSOLIDADO'!P5,0)</f>
        <v/>
      </c>
    </row>
    <row r="20" ht="12" customHeight="1">
      <c r="A20" s="16" t="inlineStr">
        <is>
          <t>Contributive margin (product sales-COGS)</t>
        </is>
      </c>
      <c r="B20" s="18">
        <f>SUM('P&amp;G-CONSOLIDADO'!D20:F20)</f>
        <v/>
      </c>
      <c r="C20" s="18">
        <f>SUM('P&amp;G-CONSOLIDADO'!G20:I20)</f>
        <v/>
      </c>
      <c r="D20" s="18">
        <f>SUM('P&amp;G-CONSOLIDADO'!J20:L20)</f>
        <v/>
      </c>
      <c r="E20" s="18">
        <f>SUM('P&amp;G-CONSOLIDADO'!M20:O20)</f>
        <v/>
      </c>
      <c r="F20" s="7">
        <f>'P&amp;G-CONSOLIDADO'!P20</f>
        <v/>
      </c>
    </row>
    <row r="21" ht="12" customHeight="1">
      <c r="A21" s="19" t="inlineStr">
        <is>
          <t>% contributive margin</t>
        </is>
      </c>
      <c r="B21" s="20">
        <f>IFERROR(SUM('P&amp;G-CONSOLIDADO'!D20:F20)/SUM('P&amp;G-CONSOLIDADO'!D5:F5),0)</f>
        <v/>
      </c>
      <c r="C21" s="20">
        <f>IFERROR(SUM('P&amp;G-CONSOLIDADO'!G20:I20)/SUM('P&amp;G-CONSOLIDADO'!G5:I5),0)</f>
        <v/>
      </c>
      <c r="D21" s="20">
        <f>IFERROR(SUM('P&amp;G-CONSOLIDADO'!J20:L20)/SUM('P&amp;G-CONSOLIDADO'!J5:L5),0)</f>
        <v/>
      </c>
      <c r="E21" s="20">
        <f>IFERROR(SUM('P&amp;G-CONSOLIDADO'!M20:O20)/SUM('P&amp;G-CONSOLIDADO'!M5:O5),0)</f>
        <v/>
      </c>
      <c r="F21" s="21">
        <f>IFERROR('P&amp;G-CONSOLIDADO'!P20/'P&amp;G-CONSOLIDADO'!P5,0)</f>
        <v/>
      </c>
    </row>
    <row r="22" ht="12" customHeight="1">
      <c r="A22" s="8" t="inlineStr">
        <is>
          <t>OPEX</t>
        </is>
      </c>
      <c r="B22" s="10">
        <f>SUM('P&amp;G-CONSOLIDADO'!D22:F22)</f>
        <v/>
      </c>
      <c r="C22" s="10">
        <f>SUM('P&amp;G-CONSOLIDADO'!G22:I22)</f>
        <v/>
      </c>
      <c r="D22" s="10">
        <f>SUM('P&amp;G-CONSOLIDADO'!J22:L22)</f>
        <v/>
      </c>
      <c r="E22" s="10">
        <f>SUM('P&amp;G-CONSOLIDADO'!M22:O22)</f>
        <v/>
      </c>
      <c r="F22" s="11">
        <f>'P&amp;G-CONSOLIDADO'!P22</f>
        <v/>
      </c>
    </row>
    <row r="23" ht="12" customHeight="1">
      <c r="A23" s="12" t="inlineStr">
        <is>
          <t>Marketing</t>
        </is>
      </c>
      <c r="B23" s="13">
        <f>SUM('P&amp;G-CONSOLIDADO'!D23:F23)</f>
        <v/>
      </c>
      <c r="C23" s="13">
        <f>SUM('P&amp;G-CONSOLIDADO'!G23:I23)</f>
        <v/>
      </c>
      <c r="D23" s="13">
        <f>SUM('P&amp;G-CONSOLIDADO'!J23:L23)</f>
        <v/>
      </c>
      <c r="E23" s="13">
        <f>SUM('P&amp;G-CONSOLIDADO'!M23:O23)</f>
        <v/>
      </c>
      <c r="F23" s="14">
        <f>'P&amp;G-CONSOLIDADO'!P23</f>
        <v/>
      </c>
    </row>
    <row r="24" ht="12" customHeight="1">
      <c r="A24" s="12" t="inlineStr">
        <is>
          <t>Staff</t>
        </is>
      </c>
      <c r="B24" s="13">
        <f>SUM('P&amp;G-CONSOLIDADO'!D24:F24)</f>
        <v/>
      </c>
      <c r="C24" s="13">
        <f>SUM('P&amp;G-CONSOLIDADO'!G24:I24)</f>
        <v/>
      </c>
      <c r="D24" s="13">
        <f>SUM('P&amp;G-CONSOLIDADO'!J24:L24)</f>
        <v/>
      </c>
      <c r="E24" s="13">
        <f>SUM('P&amp;G-CONSOLIDADO'!M24:O24)</f>
        <v/>
      </c>
      <c r="F24" s="14">
        <f>'P&amp;G-CONSOLIDADO'!P24</f>
        <v/>
      </c>
    </row>
    <row r="25" ht="12" customHeight="1">
      <c r="A25" s="12" t="inlineStr">
        <is>
          <t>Administration</t>
        </is>
      </c>
      <c r="B25" s="13">
        <f>SUM('P&amp;G-CONSOLIDADO'!D25:F25)</f>
        <v/>
      </c>
      <c r="C25" s="13">
        <f>SUM('P&amp;G-CONSOLIDADO'!G25:I25)</f>
        <v/>
      </c>
      <c r="D25" s="13">
        <f>SUM('P&amp;G-CONSOLIDADO'!J25:L25)</f>
        <v/>
      </c>
      <c r="E25" s="13">
        <f>SUM('P&amp;G-CONSOLIDADO'!M25:O25)</f>
        <v/>
      </c>
      <c r="F25" s="14">
        <f>'P&amp;G-CONSOLIDADO'!P25</f>
        <v/>
      </c>
    </row>
    <row r="26" ht="12" customHeight="1">
      <c r="A26" s="12" t="inlineStr">
        <is>
          <t>Technology</t>
        </is>
      </c>
      <c r="B26" s="13">
        <f>SUM('P&amp;G-CONSOLIDADO'!D26:F26)</f>
        <v/>
      </c>
      <c r="C26" s="13">
        <f>SUM('P&amp;G-CONSOLIDADO'!G26:I26)</f>
        <v/>
      </c>
      <c r="D26" s="13">
        <f>SUM('P&amp;G-CONSOLIDADO'!J26:L26)</f>
        <v/>
      </c>
      <c r="E26" s="13">
        <f>SUM('P&amp;G-CONSOLIDADO'!M26:O26)</f>
        <v/>
      </c>
      <c r="F26" s="14">
        <f>'P&amp;G-CONSOLIDADO'!P26</f>
        <v/>
      </c>
    </row>
    <row r="27" ht="12" customHeight="1">
      <c r="A27" s="12" t="inlineStr">
        <is>
          <t>Uncategorized Expenses</t>
        </is>
      </c>
      <c r="B27" s="13">
        <f>SUM('P&amp;G-CONSOLIDADO'!D27:F27)</f>
        <v/>
      </c>
      <c r="C27" s="13">
        <f>SUM('P&amp;G-CONSOLIDADO'!G27:I27)</f>
        <v/>
      </c>
      <c r="D27" s="13">
        <f>SUM('P&amp;G-CONSOLIDADO'!J27:L27)</f>
        <v/>
      </c>
      <c r="E27" s="13">
        <f>SUM('P&amp;G-CONSOLIDADO'!M27:O27)</f>
        <v/>
      </c>
      <c r="F27" s="14">
        <f>'P&amp;G-CONSOLIDADO'!P27</f>
        <v/>
      </c>
    </row>
    <row r="28" ht="12" customHeight="1">
      <c r="A28" s="15" t="inlineStr">
        <is>
          <t>Currency Adjustment</t>
        </is>
      </c>
      <c r="B28" s="13">
        <f>SUM('P&amp;G-CONSOLIDADO'!D28:F28)</f>
        <v/>
      </c>
      <c r="C28" s="13">
        <f>SUM('P&amp;G-CONSOLIDADO'!G28:I28)</f>
        <v/>
      </c>
      <c r="D28" s="13">
        <f>SUM('P&amp;G-CONSOLIDADO'!J28:L28)</f>
        <v/>
      </c>
      <c r="E28" s="13">
        <f>SUM('P&amp;G-CONSOLIDADO'!M28:O28)</f>
        <v/>
      </c>
      <c r="F28" s="14">
        <f>'P&amp;G-CONSOLIDADO'!P28</f>
        <v/>
      </c>
    </row>
    <row r="29" ht="12" customHeight="1">
      <c r="A29" s="16" t="inlineStr">
        <is>
          <t>PROFIT</t>
        </is>
      </c>
      <c r="B29" s="18">
        <f>SUM('P&amp;G-CONSOLIDADO'!D29:F29)</f>
        <v/>
      </c>
      <c r="C29" s="18">
        <f>SUM('P&amp;G-CONSOLIDADO'!G29:I29)</f>
        <v/>
      </c>
      <c r="D29" s="18">
        <f>SUM('P&amp;G-CONSOLIDADO'!J29:L29)</f>
        <v/>
      </c>
      <c r="E29" s="18">
        <f>SUM('P&amp;G-CONSOLIDADO'!M29:O29)</f>
        <v/>
      </c>
      <c r="F29" s="7">
        <f>'P&amp;G-CONSOLIDADO'!P29</f>
        <v/>
      </c>
    </row>
    <row r="30" ht="12" customHeight="1">
      <c r="A30" s="19" t="inlineStr">
        <is>
          <t>% profit / product sales</t>
        </is>
      </c>
      <c r="B30" s="20">
        <f>IFERROR(SUM('P&amp;G-CONSOLIDADO'!D29:F29)/SUM('P&amp;G-CONSOLIDADO'!D5:F5),0)</f>
        <v/>
      </c>
      <c r="C30" s="20">
        <f>IFERROR(SUM('P&amp;G-CONSOLIDADO'!G29:I29)/SUM('P&amp;G-CONSOLIDADO'!G5:I5),0)</f>
        <v/>
      </c>
      <c r="D30" s="20">
        <f>IFERROR(SUM('P&amp;G-CONSOLIDADO'!J29:L29)/SUM('P&amp;G-CONSOLIDADO'!J5:L5),0)</f>
        <v/>
      </c>
      <c r="E30" s="20">
        <f>IFERROR(SUM('P&amp;G-CONSOLIDADO'!M29:O29)/SUM('P&amp;G-CONSOLIDADO'!M5:O5),0)</f>
        <v/>
      </c>
      <c r="F30" s="21">
        <f>IFERROR('P&amp;G-CONSOLIDADO'!P29/'P&amp;G-CONSOLIDADO'!P5,0)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2026-04-10T09:48:11Z</dcterms:created>
  <dcterms:modified xsi:type="dcterms:W3CDTF">2026-04-10T09:48:11Z</dcterms:modified>
</cp:coreProperties>
</file>