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SL" sheetId="1" state="visible" r:id="rId1"/>
    <sheet name="params" sheetId="2" state="visible" r:id="rId2"/>
    <sheet name="i-shopify-sl" sheetId="3" state="visible" r:id="rId3"/>
    <sheet name="i-marketplaces-sl" sheetId="4" state="visible" r:id="rId4"/>
    <sheet name="i-rappels-sl" sheetId="5" state="visible" r:id="rId5"/>
    <sheet name="i-supplies-sl" sheetId="6" state="visible" r:id="rId6"/>
    <sheet name="i-services-sl" sheetId="7" state="visible" r:id="rId7"/>
    <sheet name="g-expenses-sl" sheetId="8" state="visible" r:id="rId8"/>
    <sheet name="g-payment-fees-sl" sheetId="9" state="visible" r:id="rId9"/>
    <sheet name="catalog-sl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%;[Red](0.0%);-"/>
    <numFmt numFmtId="166" formatCode="0.00;[Red](0.00);-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b val="1"/>
      <color rgb="00666666"/>
      <sz val="9"/>
    </font>
    <font>
      <color rgb="00666666"/>
    </font>
    <font>
      <b val="1"/>
      <color rgb="001F1F1F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2">
    <xf numFmtId="0" fontId="0" fillId="0" borderId="0"/>
    <xf numFmtId="0" fontId="11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5" fillId="8" borderId="2" applyAlignment="1" pivotButton="0" quotePrefix="0" xfId="0">
      <alignment horizontal="right" vertical="center"/>
    </xf>
    <xf numFmtId="164" fontId="9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3"/>
    </xf>
    <xf numFmtId="164" fontId="5" fillId="8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center" vertical="center"/>
    </xf>
    <xf numFmtId="164" fontId="9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right" vertical="center"/>
    </xf>
    <xf numFmtId="165" fontId="5" fillId="8" borderId="2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indent="2"/>
    </xf>
    <xf numFmtId="166" fontId="5" fillId="7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1" fillId="2" borderId="0" pivotButton="0" quotePrefix="0" xfId="0"/>
    <xf numFmtId="0" fontId="1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-shopify-sl'!A1" TargetMode="External" Id="rId1" /><Relationship Type="http://schemas.openxmlformats.org/officeDocument/2006/relationships/hyperlink" Target="#'i-shopify-sl'!A1" TargetMode="External" Id="rId2" /><Relationship Type="http://schemas.openxmlformats.org/officeDocument/2006/relationships/hyperlink" Target="#'i-shopify-sl'!A1" TargetMode="External" Id="rId3" /><Relationship Type="http://schemas.openxmlformats.org/officeDocument/2006/relationships/hyperlink" Target="#'i-shopify-sl'!A1" TargetMode="External" Id="rId4" /><Relationship Type="http://schemas.openxmlformats.org/officeDocument/2006/relationships/hyperlink" Target="#'i-shopify-sl'!A1" TargetMode="External" Id="rId5" /><Relationship Type="http://schemas.openxmlformats.org/officeDocument/2006/relationships/hyperlink" Target="#'i-shopify-sl'!A1" TargetMode="External" Id="rId6" /><Relationship Type="http://schemas.openxmlformats.org/officeDocument/2006/relationships/hyperlink" Target="#'i-shopify-sl'!A1" TargetMode="External" Id="rId7" /><Relationship Type="http://schemas.openxmlformats.org/officeDocument/2006/relationships/hyperlink" Target="#'i-shopify-sl'!A1" TargetMode="External" Id="rId8" /><Relationship Type="http://schemas.openxmlformats.org/officeDocument/2006/relationships/hyperlink" Target="#'i-shopify-sl'!A1" TargetMode="External" Id="rId9" /><Relationship Type="http://schemas.openxmlformats.org/officeDocument/2006/relationships/hyperlink" Target="#'i-shopify-sl'!A1" TargetMode="External" Id="rId10" /><Relationship Type="http://schemas.openxmlformats.org/officeDocument/2006/relationships/hyperlink" Target="#'i-marketplaces-sl'!A1" TargetMode="External" Id="rId11" /><Relationship Type="http://schemas.openxmlformats.org/officeDocument/2006/relationships/hyperlink" Target="#'i-marketplaces-sl'!A1" TargetMode="External" Id="rId12" /><Relationship Type="http://schemas.openxmlformats.org/officeDocument/2006/relationships/hyperlink" Target="#'i-marketplaces-sl'!A1" TargetMode="External" Id="rId13" /><Relationship Type="http://schemas.openxmlformats.org/officeDocument/2006/relationships/hyperlink" Target="#'i-marketplaces-sl'!A1" TargetMode="External" Id="rId14" /><Relationship Type="http://schemas.openxmlformats.org/officeDocument/2006/relationships/hyperlink" Target="#'i-rappels-sl'!A1" TargetMode="External" Id="rId15" /><Relationship Type="http://schemas.openxmlformats.org/officeDocument/2006/relationships/hyperlink" Target="#'i-rappels-sl'!A1" TargetMode="External" Id="rId16" /><Relationship Type="http://schemas.openxmlformats.org/officeDocument/2006/relationships/hyperlink" Target="#'i-supplies-sl'!A1" TargetMode="External" Id="rId17" /><Relationship Type="http://schemas.openxmlformats.org/officeDocument/2006/relationships/hyperlink" Target="#'i-supplies-sl'!A1" TargetMode="External" Id="rId18" /><Relationship Type="http://schemas.openxmlformats.org/officeDocument/2006/relationships/hyperlink" Target="#'i-services-sl'!A1" TargetMode="External" Id="rId19" /><Relationship Type="http://schemas.openxmlformats.org/officeDocument/2006/relationships/hyperlink" Target="#'i-services-sl'!A1" TargetMode="External" Id="rId20" /><Relationship Type="http://schemas.openxmlformats.org/officeDocument/2006/relationships/hyperlink" Target="#'i-services-sl'!A1" TargetMode="External" Id="rId21" /><Relationship Type="http://schemas.openxmlformats.org/officeDocument/2006/relationships/hyperlink" Target="#'i-services-sl'!A1" TargetMode="External" Id="rId22" /><Relationship Type="http://schemas.openxmlformats.org/officeDocument/2006/relationships/hyperlink" Target="#'i-services-sl'!A1" TargetMode="External" Id="rId23" /><Relationship Type="http://schemas.openxmlformats.org/officeDocument/2006/relationships/hyperlink" Target="#'g-expenses-sl'!A1" TargetMode="External" Id="rId24" /><Relationship Type="http://schemas.openxmlformats.org/officeDocument/2006/relationships/hyperlink" Target="#'g-expenses-sl'!A1" TargetMode="External" Id="rId25" /><Relationship Type="http://schemas.openxmlformats.org/officeDocument/2006/relationships/hyperlink" Target="#'g-expenses-sl'!A1" TargetMode="External" Id="rId26" /><Relationship Type="http://schemas.openxmlformats.org/officeDocument/2006/relationships/hyperlink" Target="#'g-expenses-sl'!A1" TargetMode="External" Id="rId27" /><Relationship Type="http://schemas.openxmlformats.org/officeDocument/2006/relationships/hyperlink" Target="#'g-expenses-sl'!A1" TargetMode="External" Id="rId28" /><Relationship Type="http://schemas.openxmlformats.org/officeDocument/2006/relationships/hyperlink" Target="#'g-expenses-sl'!A1" TargetMode="External" Id="rId29" /><Relationship Type="http://schemas.openxmlformats.org/officeDocument/2006/relationships/hyperlink" Target="#'g-expenses-sl'!A1" TargetMode="External" Id="rId30" /><Relationship Type="http://schemas.openxmlformats.org/officeDocument/2006/relationships/hyperlink" Target="#'g-expenses-sl'!A1" TargetMode="External" Id="rId31" /><Relationship Type="http://schemas.openxmlformats.org/officeDocument/2006/relationships/hyperlink" Target="#'g-expenses-sl'!A1" TargetMode="External" Id="rId32" /><Relationship Type="http://schemas.openxmlformats.org/officeDocument/2006/relationships/hyperlink" Target="#'g-expenses-sl'!A1" TargetMode="External" Id="rId33" /><Relationship Type="http://schemas.openxmlformats.org/officeDocument/2006/relationships/hyperlink" Target="#'g-expenses-sl'!A1" TargetMode="External" Id="rId34" /><Relationship Type="http://schemas.openxmlformats.org/officeDocument/2006/relationships/hyperlink" Target="#'g-expenses-sl'!A1" TargetMode="External" Id="rId35" /><Relationship Type="http://schemas.openxmlformats.org/officeDocument/2006/relationships/hyperlink" Target="#'g-expenses-sl'!A1" TargetMode="External" Id="rId36" /><Relationship Type="http://schemas.openxmlformats.org/officeDocument/2006/relationships/hyperlink" Target="#'g-expenses-sl'!A1" TargetMode="External" Id="rId37" /><Relationship Type="http://schemas.openxmlformats.org/officeDocument/2006/relationships/hyperlink" Target="#'g-payment-fees-sl'!A1" TargetMode="External" Id="rId38" /><Relationship Type="http://schemas.openxmlformats.org/officeDocument/2006/relationships/hyperlink" Target="#'g-payment-fees-sl'!A1" TargetMode="External" Id="rId39" /><Relationship Type="http://schemas.openxmlformats.org/officeDocument/2006/relationships/hyperlink" Target="#'g-payment-fees-sl'!A1" TargetMode="External" Id="rId40" /><Relationship Type="http://schemas.openxmlformats.org/officeDocument/2006/relationships/hyperlink" Target="#'g-expenses-sl'!A1" TargetMode="External" Id="rId41" /><Relationship Type="http://schemas.openxmlformats.org/officeDocument/2006/relationships/hyperlink" Target="#'g-expenses-sl'!A1" TargetMode="External" Id="rId42" /><Relationship Type="http://schemas.openxmlformats.org/officeDocument/2006/relationships/hyperlink" Target="#'g-expenses-sl'!A1" TargetMode="External" Id="rId43" /><Relationship Type="http://schemas.openxmlformats.org/officeDocument/2006/relationships/hyperlink" Target="#'g-expenses-sl'!A1" TargetMode="External" Id="rId44" /><Relationship Type="http://schemas.openxmlformats.org/officeDocument/2006/relationships/hyperlink" Target="#'g-expenses-sl'!A1" TargetMode="External" Id="rId45" /><Relationship Type="http://schemas.openxmlformats.org/officeDocument/2006/relationships/hyperlink" Target="#'g-expenses-sl'!A1" TargetMode="External" Id="rId46" /><Relationship Type="http://schemas.openxmlformats.org/officeDocument/2006/relationships/hyperlink" Target="#'g-expenses-sl'!A1" TargetMode="External" Id="rId47" /><Relationship Type="http://schemas.openxmlformats.org/officeDocument/2006/relationships/hyperlink" Target="#'g-expenses-sl'!A1" TargetMode="External" Id="rId48" /><Relationship Type="http://schemas.openxmlformats.org/officeDocument/2006/relationships/hyperlink" Target="#'g-expenses-sl'!A1" TargetMode="External" Id="rId49" /><Relationship Type="http://schemas.openxmlformats.org/officeDocument/2006/relationships/hyperlink" Target="#'g-expenses-sl'!A1" TargetMode="External" Id="rId50" /><Relationship Type="http://schemas.openxmlformats.org/officeDocument/2006/relationships/hyperlink" Target="#'g-expenses-sl'!A1" TargetMode="External" Id="rId51" /><Relationship Type="http://schemas.openxmlformats.org/officeDocument/2006/relationships/hyperlink" Target="#'g-expenses-sl'!A1" TargetMode="External" Id="rId52" /><Relationship Type="http://schemas.openxmlformats.org/officeDocument/2006/relationships/hyperlink" Target="#'g-expenses-sl'!A1" TargetMode="External" Id="rId53" /><Relationship Type="http://schemas.openxmlformats.org/officeDocument/2006/relationships/hyperlink" Target="#'g-expenses-sl'!A1" TargetMode="External" Id="rId54" /><Relationship Type="http://schemas.openxmlformats.org/officeDocument/2006/relationships/hyperlink" Target="#'g-expenses-sl'!A1" TargetMode="External" Id="rId55" /><Relationship Type="http://schemas.openxmlformats.org/officeDocument/2006/relationships/hyperlink" Target="#'g-expenses-sl'!A1" TargetMode="External" Id="rId56" /><Relationship Type="http://schemas.openxmlformats.org/officeDocument/2006/relationships/hyperlink" Target="#'g-expenses-sl'!A1" TargetMode="External" Id="rId57" /><Relationship Type="http://schemas.openxmlformats.org/officeDocument/2006/relationships/hyperlink" Target="#'g-expenses-sl'!A1" TargetMode="External" Id="rId58" /><Relationship Type="http://schemas.openxmlformats.org/officeDocument/2006/relationships/hyperlink" Target="#'g-expenses-sl'!A1" TargetMode="External" Id="rId59" /><Relationship Type="http://schemas.openxmlformats.org/officeDocument/2006/relationships/hyperlink" Target="#'g-expenses-sl'!A1" TargetMode="External" Id="rId60" /><Relationship Type="http://schemas.openxmlformats.org/officeDocument/2006/relationships/hyperlink" Target="#'g-expenses-sl'!A1" TargetMode="External" Id="rId61" /><Relationship Type="http://schemas.openxmlformats.org/officeDocument/2006/relationships/hyperlink" Target="#'g-expenses-sl'!A1" TargetMode="External" Id="rId62" /><Relationship Type="http://schemas.openxmlformats.org/officeDocument/2006/relationships/hyperlink" Target="#'g-expenses-sl'!A1" TargetMode="External" Id="rId63" /><Relationship Type="http://schemas.openxmlformats.org/officeDocument/2006/relationships/hyperlink" Target="#'g-expenses-sl'!A1" TargetMode="External" Id="rId64" /><Relationship Type="http://schemas.openxmlformats.org/officeDocument/2006/relationships/hyperlink" Target="#'g-expenses-sl'!A1" TargetMode="External" Id="rId65" /><Relationship Type="http://schemas.openxmlformats.org/officeDocument/2006/relationships/hyperlink" Target="#'g-expenses-sl'!A1" TargetMode="External" Id="rId66" /><Relationship Type="http://schemas.openxmlformats.org/officeDocument/2006/relationships/hyperlink" Target="#'g-expenses-sl'!A1" TargetMode="External" Id="rId67" /><Relationship Type="http://schemas.openxmlformats.org/officeDocument/2006/relationships/hyperlink" Target="#'g-expenses-sl'!A1" TargetMode="External" Id="rId68" /><Relationship Type="http://schemas.openxmlformats.org/officeDocument/2006/relationships/hyperlink" Target="#'g-expenses-sl'!A1" TargetMode="External" Id="rId69" /><Relationship Type="http://schemas.openxmlformats.org/officeDocument/2006/relationships/hyperlink" Target="#'g-expenses-sl'!A1" TargetMode="External" Id="rId70" /><Relationship Type="http://schemas.openxmlformats.org/officeDocument/2006/relationships/hyperlink" Target="#'g-expenses-sl'!A1" TargetMode="External" Id="rId71" /><Relationship Type="http://schemas.openxmlformats.org/officeDocument/2006/relationships/hyperlink" Target="#'g-expenses-sl'!A1" TargetMode="External" Id="rId72" /><Relationship Type="http://schemas.openxmlformats.org/officeDocument/2006/relationships/hyperlink" Target="#'g-expenses-sl'!A1" TargetMode="External" Id="rId73" /><Relationship Type="http://schemas.openxmlformats.org/officeDocument/2006/relationships/hyperlink" Target="#'g-expenses-sl'!A1" TargetMode="External" Id="rId74" /><Relationship Type="http://schemas.openxmlformats.org/officeDocument/2006/relationships/hyperlink" Target="#'g-expenses-sl'!A1" TargetMode="External" Id="rId75" /><Relationship Type="http://schemas.openxmlformats.org/officeDocument/2006/relationships/hyperlink" Target="#'g-expenses-sl'!A1" TargetMode="External" Id="rId76" /><Relationship Type="http://schemas.openxmlformats.org/officeDocument/2006/relationships/hyperlink" Target="#'g-expenses-sl'!A1" TargetMode="External" Id="rId77" /></Relationships>
</file>

<file path=xl/worksheets/_rels/sheet2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SRHb07OiC_DmTMCjAnZJpaif5amIl7Fl/view?usp=drivesdk" TargetMode="External" Id="rId2" /><Relationship Type="http://schemas.openxmlformats.org/officeDocument/2006/relationships/hyperlink" Target="https://drive.google.com/file/d/1CmAISLBvUVe78NnGfNvevigmLiHzSEsg/view?usp=drivesdk" TargetMode="External" Id="rId3" /><Relationship Type="http://schemas.openxmlformats.org/officeDocument/2006/relationships/hyperlink" Target="https://drive.google.com/file/d/1Caf6SbLhjNsliYTmwyaOj9tn_dQke6Ff/view?usp=drivesdk" TargetMode="External" Id="rId4" /><Relationship Type="http://schemas.openxmlformats.org/officeDocument/2006/relationships/hyperlink" Target="https://drive.google.com/file/d/18nd9g2717srK8fdaeAjNuV-HtW9zUU3A/view?usp=drivesdk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TatcT909r9lQss48nnCsBt5kjo76SoJK/view?usp=drivesdk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fcDMocaa4cpTPjITHzeqYj2_zqO3NWYG/view?usp=drivesdk" TargetMode="External" Id="rId2" /><Relationship Type="http://schemas.openxmlformats.org/officeDocument/2006/relationships/hyperlink" Target="https://drive.google.com/file/d/1JrhdQBAxThJrJre0y6m_O_546LXVrueL/view?usp=drivesdk" TargetMode="External" Id="rId3" /><Relationship Type="http://schemas.openxmlformats.org/officeDocument/2006/relationships/hyperlink" Target="https://drive.google.com/file/d/1P7U8R2vW7HJBpC4dFcTfQ6Fl5v7lZf-T/view?usp=drivesdk" TargetMode="External" Id="rId4" /></Relationships>
</file>

<file path=xl/worksheets/_rels/sheet7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ZNEswgq6fNRQmQBRT6GcjgdY_sepQuvN/view?usp=drivesdk" TargetMode="External" Id="rId2" /><Relationship Type="http://schemas.openxmlformats.org/officeDocument/2006/relationships/hyperlink" Target="https://drive.google.com/file/d/1NSgOhocDqu_GBFUbkAHX1ly92CIuLykN/view?usp=drivesdk" TargetMode="External" Id="rId3" /><Relationship Type="http://schemas.openxmlformats.org/officeDocument/2006/relationships/hyperlink" Target="https://drive.google.com/file/d/1f0y-ak8qjEua6xrzfcweFpWZqOtA8h9C/view?usp=drivesdk" TargetMode="External" Id="rId4" /><Relationship Type="http://schemas.openxmlformats.org/officeDocument/2006/relationships/hyperlink" Target="https://drive.google.com/file/d/1DVbcrKI34TY_XRmPCWYxFfktOzy1Bqmr/view?usp=drivesdk" TargetMode="External" Id="rId5" /><Relationship Type="http://schemas.openxmlformats.org/officeDocument/2006/relationships/hyperlink" Target="https://drive.google.com/file/d/1il-dTsdyMbUZFKcN_lnqoNWLpAFjKN7A/view?usp=drivesdk" TargetMode="External" Id="rId6" /><Relationship Type="http://schemas.openxmlformats.org/officeDocument/2006/relationships/hyperlink" Target="https://drive.google.com/file/d/1rlqcAuJUaWxt0Udjbpq3E6fP_lfRq58_/view?usp=drivesdk" TargetMode="External" Id="rId7" /><Relationship Type="http://schemas.openxmlformats.org/officeDocument/2006/relationships/hyperlink" Target="https://drive.google.com/file/d/1pNRISEZAlDdg2kXsh98mNhDndQFk42mV/view?usp=drivesdk" TargetMode="External" Id="rId8" /><Relationship Type="http://schemas.openxmlformats.org/officeDocument/2006/relationships/hyperlink" Target="https://drive.google.com/file/d/1m_ONfUFq-mhxCI2SVs0iWw4Ss3ohvEPU/view?usp=drivesdk" TargetMode="External" Id="rId9" /></Relationships>
</file>

<file path=xl/worksheets/_rels/sheet8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ih8AMHNM7ZQvhfJOhpZ3dpM0Bv3oyAA-/view?usp=drivesdk" TargetMode="External" Id="rId2" /><Relationship Type="http://schemas.openxmlformats.org/officeDocument/2006/relationships/hyperlink" Target="https://drive.google.com/file/d/1nql7QpcMxbeNk-s_Ku_8yFOrf0x8QVss/view?usp=drivesdk" TargetMode="External" Id="rId3" /><Relationship Type="http://schemas.openxmlformats.org/officeDocument/2006/relationships/hyperlink" Target="https://drive.google.com/file/d/1bfLhUT5wi1Zga5-YKV-y_tFqtaYvhqG_/view?usp=drivesdk" TargetMode="External" Id="rId4" /><Relationship Type="http://schemas.openxmlformats.org/officeDocument/2006/relationships/hyperlink" Target="https://drive.google.com/file/d/1R3F1S4DkkMdWjQCije5h6JcXrv2oanjz/view?usp=drivesdk" TargetMode="External" Id="rId5" /><Relationship Type="http://schemas.openxmlformats.org/officeDocument/2006/relationships/hyperlink" Target="https://drive.google.com/file/d/1WUqPHPgca1EQI6FEQ45b4g1OBJLlBFy7/view?usp=drivesdk" TargetMode="External" Id="rId6" /><Relationship Type="http://schemas.openxmlformats.org/officeDocument/2006/relationships/hyperlink" Target="https://drive.google.com/file/d/1HSHnKuD3wT5VaYKRyqQtc1Kn3jvbtI5z/view?usp=drivesdk" TargetMode="External" Id="rId7" /><Relationship Type="http://schemas.openxmlformats.org/officeDocument/2006/relationships/hyperlink" Target="https://drive.google.com/file/d/1QiOFa-Pu55ImYk1EgtLQ-1AJeKteGKKN/view?usp=drivesdk" TargetMode="External" Id="rId8" /><Relationship Type="http://schemas.openxmlformats.org/officeDocument/2006/relationships/hyperlink" Target="https://drive.google.com/file/d/1Nv_kf16K0jbiVtLvDOdsF2s81ubDK86-/view?usp=drivesdk" TargetMode="External" Id="rId9" /><Relationship Type="http://schemas.openxmlformats.org/officeDocument/2006/relationships/hyperlink" Target="https://drive.google.com/file/d/1F1T1ZbmwTiAvZymdmK5UN5ILkYzAcyjE/view?usp=drivesdk" TargetMode="External" Id="rId10" /><Relationship Type="http://schemas.openxmlformats.org/officeDocument/2006/relationships/hyperlink" Target="https://drive.google.com/file/d/1sZGtXApoakTTNvLB9pud8pMEBdr3FgDZ/view?usp=drivesdk" TargetMode="External" Id="rId11" /><Relationship Type="http://schemas.openxmlformats.org/officeDocument/2006/relationships/hyperlink" Target="https://drive.google.com/file/d/13rt7yQ8sQuRvlpYE9WCitcMHEZMp3m_O/view?usp=drivesdk" TargetMode="External" Id="rId12" /><Relationship Type="http://schemas.openxmlformats.org/officeDocument/2006/relationships/hyperlink" Target="https://drive.google.com/file/d/19fXXs3bT9JRPi6FOU7JWx3Antd-__jQl/view?usp=drivesdk" TargetMode="External" Id="rId13" /><Relationship Type="http://schemas.openxmlformats.org/officeDocument/2006/relationships/hyperlink" Target="https://drive.google.com/file/d/1CyeswzB650BIBblZ0j3XZapFNejIKlS7/view?usp=drivesdk" TargetMode="External" Id="rId14" /><Relationship Type="http://schemas.openxmlformats.org/officeDocument/2006/relationships/hyperlink" Target="https://drive.google.com/file/d/1bFtmiVMoUJHrjmSz3_aAWbUn5HmF4v7t/view?usp=drivesdk" TargetMode="External" Id="rId15" /><Relationship Type="http://schemas.openxmlformats.org/officeDocument/2006/relationships/hyperlink" Target="https://drive.google.com/file/d/1KknDEkSlyPD0Pdkhf322Awt1eAP1q8Gk/view?usp=drivesdk" TargetMode="External" Id="rId16" /><Relationship Type="http://schemas.openxmlformats.org/officeDocument/2006/relationships/hyperlink" Target="https://drive.google.com/file/d/1RtCS-MVwMjJZx5mk-fbeVnp34j-MJNaK/view?usp=drivesdk" TargetMode="External" Id="rId17" /><Relationship Type="http://schemas.openxmlformats.org/officeDocument/2006/relationships/hyperlink" Target="https://drive.google.com/file/d/1Gm9gJDGHIBXQ_WXv2YkF4lyQ6EIMS-DA/view?usp=drivesdk" TargetMode="External" Id="rId18" /><Relationship Type="http://schemas.openxmlformats.org/officeDocument/2006/relationships/hyperlink" Target="https://drive.google.com/file/d/1wr9Nejy--4BUDpyg8riD4WzBFOQ_RYAA/view?usp=drivesdk" TargetMode="External" Id="rId19" /><Relationship Type="http://schemas.openxmlformats.org/officeDocument/2006/relationships/hyperlink" Target="https://drive.google.com/file/d/18pxQbj0cm3VVE381utczsaBPUOMg2_rE/view?usp=drivesdk" TargetMode="External" Id="rId20" /><Relationship Type="http://schemas.openxmlformats.org/officeDocument/2006/relationships/hyperlink" Target="https://drive.google.com/file/d/18pxQbj0cm3VVE381utczsaBPUOMg2_rE/view?usp=drivesdk" TargetMode="External" Id="rId21" /><Relationship Type="http://schemas.openxmlformats.org/officeDocument/2006/relationships/hyperlink" Target="https://drive.google.com/file/d/18pxQbj0cm3VVE381utczsaBPUOMg2_rE/view?usp=drivesdk" TargetMode="External" Id="rId22" /><Relationship Type="http://schemas.openxmlformats.org/officeDocument/2006/relationships/hyperlink" Target="https://drive.google.com/file/d/1iux2hxJTx8pApkdRTQ8TxrWAycKskSLW/view?usp=drivesdk" TargetMode="External" Id="rId23" /><Relationship Type="http://schemas.openxmlformats.org/officeDocument/2006/relationships/hyperlink" Target="https://drive.google.com/file/d/1cCVWMZjXH5GZ4KJ7Owu69neJD3Mu8nhQ/view?usp=drivesdk" TargetMode="External" Id="rId24" /><Relationship Type="http://schemas.openxmlformats.org/officeDocument/2006/relationships/hyperlink" Target="https://drive.google.com/file/d/1mtjFeFve-rSAPTA0bq7zwh6FvresB1tx/view?usp=drivesdk" TargetMode="External" Id="rId25" /><Relationship Type="http://schemas.openxmlformats.org/officeDocument/2006/relationships/hyperlink" Target="https://drive.google.com/file/d/1FvjQkV9yZwLwYyh31yDEv4r6Ws9x-Gee/view?usp=drivesdk" TargetMode="External" Id="rId26" /><Relationship Type="http://schemas.openxmlformats.org/officeDocument/2006/relationships/hyperlink" Target="https://drive.google.com/file/d/1saa91nUMC9fiC166aUrnROE5ZHw8d_r6/view?usp=drivesdk" TargetMode="External" Id="rId27" /><Relationship Type="http://schemas.openxmlformats.org/officeDocument/2006/relationships/hyperlink" Target="https://drive.google.com/file/d/1Dqpxqnn8K6M513jJX6b-_iaNJoHc9CRf/view?usp=drivesdk" TargetMode="External" Id="rId28" /><Relationship Type="http://schemas.openxmlformats.org/officeDocument/2006/relationships/hyperlink" Target="https://drive.google.com/file/d/18umjaalA1qWOFkhllNu22AbrnmcOGohV/view?usp=drivesdk" TargetMode="External" Id="rId29" /><Relationship Type="http://schemas.openxmlformats.org/officeDocument/2006/relationships/hyperlink" Target="https://drive.google.com/file/d/18umjaalA1qWOFkhllNu22AbrnmcOGohV/view?usp=drivesdk" TargetMode="External" Id="rId30" /><Relationship Type="http://schemas.openxmlformats.org/officeDocument/2006/relationships/hyperlink" Target="https://drive.google.com/file/d/18umjaalA1qWOFkhllNu22AbrnmcOGohV/view?usp=drivesdk" TargetMode="External" Id="rId31" /><Relationship Type="http://schemas.openxmlformats.org/officeDocument/2006/relationships/hyperlink" Target="https://drive.google.com/file/d/1YkkVd0CygsXrJ-x-3pub1Sw9g6ZsG1la/view?usp=drivesdk" TargetMode="External" Id="rId32" /><Relationship Type="http://schemas.openxmlformats.org/officeDocument/2006/relationships/hyperlink" Target="https://drive.google.com/file/d/1c_a7u0uC_WNkVQzPENEHHzZf2GoRgYzp/view?usp=drivesdk" TargetMode="External" Id="rId33" /><Relationship Type="http://schemas.openxmlformats.org/officeDocument/2006/relationships/hyperlink" Target="https://drive.google.com/file/d/1Z8crn0ZC5tm2cibuFjiaNGAUQ32eDz4H/view?usp=drivesdk" TargetMode="External" Id="rId34" /><Relationship Type="http://schemas.openxmlformats.org/officeDocument/2006/relationships/hyperlink" Target="https://drive.google.com/file/d/1OUc0Fa83_INuKCsZQC_juJA8WSWOmU7e/view?usp=drivesdk" TargetMode="External" Id="rId35" /><Relationship Type="http://schemas.openxmlformats.org/officeDocument/2006/relationships/hyperlink" Target="https://drive.google.com/file/d/14DyM0O39wOTD_wOQwkZ2nqk44A4Xr0Pd/view?usp=drivesdk" TargetMode="External" Id="rId36" /><Relationship Type="http://schemas.openxmlformats.org/officeDocument/2006/relationships/hyperlink" Target="https://drive.google.com/file/d/1MOlMl6uaY6n-XUO8ZDVih0oyxqYCdtvw/view?usp=drivesdk" TargetMode="External" Id="rId37" /><Relationship Type="http://schemas.openxmlformats.org/officeDocument/2006/relationships/hyperlink" Target="https://drive.google.com/file/d/15PYo6Nf9Rs0V66jula2uxmSQ1q_sREm9/view?usp=drivesdk" TargetMode="External" Id="rId38" /><Relationship Type="http://schemas.openxmlformats.org/officeDocument/2006/relationships/hyperlink" Target="https://drive.google.com/file/d/1xcXRJuhK0s-9Giwr-lbqS68FlhkSzTWB/view?usp=drivesdk" TargetMode="External" Id="rId39" /><Relationship Type="http://schemas.openxmlformats.org/officeDocument/2006/relationships/hyperlink" Target="https://drive.google.com/file/d/1VbeIR7bk7enIlMQGnI8ZlR-KDaMoHDKn/view?usp=drivesdk" TargetMode="External" Id="rId40" /><Relationship Type="http://schemas.openxmlformats.org/officeDocument/2006/relationships/hyperlink" Target="https://drive.google.com/file/d/1PKaZMRQ1ZsO4JALcKcucZLVdRyUxpOON/view?usp=drivesdk" TargetMode="External" Id="rId41" /><Relationship Type="http://schemas.openxmlformats.org/officeDocument/2006/relationships/hyperlink" Target="https://drive.google.com/file/d/1j2ya4FHybtMpbOwe_dwCTFuK0BuXysGa/view?usp=drivesdk" TargetMode="External" Id="rId42" /><Relationship Type="http://schemas.openxmlformats.org/officeDocument/2006/relationships/hyperlink" Target="https://drive.google.com/file/d/1zXVkELtv1Sfm3Hs-3PVSAH4pEWbvWaOX/view?usp=drivesdk" TargetMode="External" Id="rId43" /><Relationship Type="http://schemas.openxmlformats.org/officeDocument/2006/relationships/hyperlink" Target="https://drive.google.com/file/d/1icRXW3dXluuRK-dzvuDcN-maR8sKfRW3/view?usp=drivesdk" TargetMode="External" Id="rId44" /><Relationship Type="http://schemas.openxmlformats.org/officeDocument/2006/relationships/hyperlink" Target="https://drive.google.com/file/d/148ysN83vJtMLS2_lbKu7r5cH1NMHbVNL/view?usp=drivesdk" TargetMode="External" Id="rId45" /><Relationship Type="http://schemas.openxmlformats.org/officeDocument/2006/relationships/hyperlink" Target="https://drive.google.com/file/d/1P3C1c_Df7dkPtnnAevEEMApNVP550O_O/view?usp=drivesdk" TargetMode="External" Id="rId46" /><Relationship Type="http://schemas.openxmlformats.org/officeDocument/2006/relationships/hyperlink" Target="https://drive.google.com/file/d/1I3WwwPF0JqyQdA18mDR4k4jmM8MZ-34b/view?usp=drivesdk" TargetMode="External" Id="rId47" /><Relationship Type="http://schemas.openxmlformats.org/officeDocument/2006/relationships/hyperlink" Target="https://drive.google.com/file/d/1iayAhp3nvlv4ajwf9Cp6C3s4OQi-rpMN/view?usp=drivesdk" TargetMode="External" Id="rId48" /><Relationship Type="http://schemas.openxmlformats.org/officeDocument/2006/relationships/hyperlink" Target="https://drive.google.com/file/d/11mh2NdZI0VULVE09eg0fTaW_8G7fyWkg/view?usp=drivesdk" TargetMode="External" Id="rId49" /><Relationship Type="http://schemas.openxmlformats.org/officeDocument/2006/relationships/hyperlink" Target="https://drive.google.com/file/d/1Hk8kIqp-95Akk1GsQde0mmkisvp1vUic/view?usp=drivesdk" TargetMode="External" Id="rId50" /><Relationship Type="http://schemas.openxmlformats.org/officeDocument/2006/relationships/hyperlink" Target="https://drive.google.com/file/d/1p1JLbXly83gPcOqdBiZfX0WvuqP5ZBhv/view?usp=drivesdk" TargetMode="External" Id="rId51" /><Relationship Type="http://schemas.openxmlformats.org/officeDocument/2006/relationships/hyperlink" Target="https://drive.google.com/file/d/1rom4VLbflbUgw0GzIGfwfWAceAGqsDve/view?usp=drivesdk" TargetMode="External" Id="rId52" /><Relationship Type="http://schemas.openxmlformats.org/officeDocument/2006/relationships/hyperlink" Target="https://drive.google.com/file/d/1la8-DKsyw-txh4_Z2nzrkJVhivR6U6M2/view?usp=drivesdk" TargetMode="External" Id="rId53" /><Relationship Type="http://schemas.openxmlformats.org/officeDocument/2006/relationships/hyperlink" Target="https://drive.google.com/file/d/1CkpniiuuecmyeP38MmkWhzUPj8iF7tyN/view?usp=drivesdk" TargetMode="External" Id="rId54" /><Relationship Type="http://schemas.openxmlformats.org/officeDocument/2006/relationships/hyperlink" Target="https://drive.google.com/file/d/1U-mcMTxSs8WKlovQ9_HAwLEU39hou9sQ/view?usp=drivesdk" TargetMode="External" Id="rId55" /><Relationship Type="http://schemas.openxmlformats.org/officeDocument/2006/relationships/hyperlink" Target="https://drive.google.com/file/d/1i1KIDpqSuLOk5KfVZf0GwoQN3ddbzHi4/view?usp=drivesdk" TargetMode="External" Id="rId56" /><Relationship Type="http://schemas.openxmlformats.org/officeDocument/2006/relationships/hyperlink" Target="https://drive.google.com/file/d/1aVT0Kp1FXhiwKuldPvpR5jmS_HrroAcz/view?usp=drivesdk" TargetMode="External" Id="rId57" /><Relationship Type="http://schemas.openxmlformats.org/officeDocument/2006/relationships/hyperlink" Target="https://drive.google.com/file/d/1c3rAE8MZ72DBnTA6LZZqeHMMgZkJtDwC/view?usp=drivesdk" TargetMode="External" Id="rId58" /><Relationship Type="http://schemas.openxmlformats.org/officeDocument/2006/relationships/hyperlink" Target="https://drive.google.com/file/d/1hZiPKVEudy0sryGytMftZTSO75OBheV_/view?usp=drivesdk" TargetMode="External" Id="rId59" /><Relationship Type="http://schemas.openxmlformats.org/officeDocument/2006/relationships/hyperlink" Target="https://drive.google.com/file/d/1aXemXVZg0sBlWBgHV0_QAg0jVjv1bksN/view?usp=drivesdk" TargetMode="External" Id="rId60" /><Relationship Type="http://schemas.openxmlformats.org/officeDocument/2006/relationships/hyperlink" Target="https://drive.google.com/file/d/1vWJy2P4bu0ZZHbeutrY9ydZYIScfPKex/view?usp=drivesdk" TargetMode="External" Id="rId61" /><Relationship Type="http://schemas.openxmlformats.org/officeDocument/2006/relationships/hyperlink" Target="https://drive.google.com/file/d/1OPWZpghAzzfVFLFx4iBRHO4-0daxuz20/view?usp=drivesdk" TargetMode="External" Id="rId62" /><Relationship Type="http://schemas.openxmlformats.org/officeDocument/2006/relationships/hyperlink" Target="https://drive.google.com/file/d/1dEu5a12XOSJxoPOd8AIxLplDtcRjC5z9/view?usp=drivesdk" TargetMode="External" Id="rId63" /><Relationship Type="http://schemas.openxmlformats.org/officeDocument/2006/relationships/hyperlink" Target="https://drive.google.com/file/d/1wkA555zHmi_P1F3K0yzi2R1ybg40M_IH/view?usp=drivesdk" TargetMode="External" Id="rId64" /><Relationship Type="http://schemas.openxmlformats.org/officeDocument/2006/relationships/hyperlink" Target="https://drive.google.com/file/d/1Bu6kn877nOS0BSzL7ECg9Z62seXoHaCe/view?usp=drivesdk" TargetMode="External" Id="rId65" /><Relationship Type="http://schemas.openxmlformats.org/officeDocument/2006/relationships/hyperlink" Target="https://drive.google.com/file/d/1eD4nKiQgwGYnGZ5fv7hh4V3unZ6MIKqH/view?usp=drivesdk" TargetMode="External" Id="rId66" /><Relationship Type="http://schemas.openxmlformats.org/officeDocument/2006/relationships/hyperlink" Target="https://drive.google.com/file/d/1H2ikEjq_KT22RCYpKdLTU6AyxE-eiIW-/view?usp=drivesdk" TargetMode="External" Id="rId67" /><Relationship Type="http://schemas.openxmlformats.org/officeDocument/2006/relationships/hyperlink" Target="https://drive.google.com/file/d/1YrSUC_u5-Y5IQ7Aslne-0xU3mQfg3jDp/view?usp=drivesdk" TargetMode="External" Id="rId68" /><Relationship Type="http://schemas.openxmlformats.org/officeDocument/2006/relationships/hyperlink" Target="https://drive.google.com/file/d/109-KgtoaX4vV_BNFkqOESzhRasVQ1S_Q/view?usp=drivesdk" TargetMode="External" Id="rId69" /><Relationship Type="http://schemas.openxmlformats.org/officeDocument/2006/relationships/hyperlink" Target="https://drive.google.com/file/d/1KY46ho8xsJpWU6Q3w32ZWRQ8btywV8Ax/view?usp=drivesdk" TargetMode="External" Id="rId70" /><Relationship Type="http://schemas.openxmlformats.org/officeDocument/2006/relationships/hyperlink" Target="https://drive.google.com/file/d/192ghVBMKOyFtFrKk5lPoccixcsZlK4GH/view?usp=drivesdk" TargetMode="External" Id="rId71" /><Relationship Type="http://schemas.openxmlformats.org/officeDocument/2006/relationships/hyperlink" Target="https://drive.google.com/file/d/192ghVBMKOyFtFrKk5lPoccixcsZlK4GH/view?usp=drivesdk" TargetMode="External" Id="rId72" /><Relationship Type="http://schemas.openxmlformats.org/officeDocument/2006/relationships/hyperlink" Target="https://drive.google.com/file/d/192ghVBMKOyFtFrKk5lPoccixcsZlK4GH/view?usp=drivesdk" TargetMode="External" Id="rId73" /><Relationship Type="http://schemas.openxmlformats.org/officeDocument/2006/relationships/hyperlink" Target="https://drive.google.com/file/d/1_odcqxdXxEYZNzgQx5UzslhIG3hh5krH/view?usp=drivesdk" TargetMode="External" Id="rId74" /><Relationship Type="http://schemas.openxmlformats.org/officeDocument/2006/relationships/hyperlink" Target="https://drive.google.com/file/d/1tAciOjLJ3-E_udDrY3cL0A7b-CfOvIlm/view?usp=drivesdk" TargetMode="External" Id="rId75" /><Relationship Type="http://schemas.openxmlformats.org/officeDocument/2006/relationships/hyperlink" Target="https://drive.google.com/file/d/1FAnrtU5R53FcPCbpc94bYjpEq0clb5Pm/view?usp=drivesdk" TargetMode="External" Id="rId76" /><Relationship Type="http://schemas.openxmlformats.org/officeDocument/2006/relationships/hyperlink" Target="https://drive.google.com/file/d/1E8JfN7YXvjRIfPjaLKj_8zJSQJ-990YT/view?usp=drivesdk" TargetMode="External" Id="rId77" /><Relationship Type="http://schemas.openxmlformats.org/officeDocument/2006/relationships/hyperlink" Target="https://drive.google.com/file/d/1r2Hw0N7VZ6vvloF4IqY4SxfuvX_2VozE/view?usp=drivesdk" TargetMode="External" Id="rId78" /><Relationship Type="http://schemas.openxmlformats.org/officeDocument/2006/relationships/hyperlink" Target="https://drive.google.com/file/d/1PRJ__aaxThVGTbIcvHAJI7pgUFchpvsa/view?usp=drivesdk" TargetMode="External" Id="rId79" /><Relationship Type="http://schemas.openxmlformats.org/officeDocument/2006/relationships/hyperlink" Target="https://drive.google.com/file/d/1HgIvIqgrCSyQY0-INtfhp-GPqb5Et1eA/view?usp=drivesdk" TargetMode="External" Id="rId80" /><Relationship Type="http://schemas.openxmlformats.org/officeDocument/2006/relationships/hyperlink" Target="https://drive.google.com/file/d/1bMdMTYSXLytnvUKxINvo3C-fdr43SmgJ/view?usp=drivesdk" TargetMode="External" Id="rId81" /><Relationship Type="http://schemas.openxmlformats.org/officeDocument/2006/relationships/hyperlink" Target="https://drive.google.com/file/d/1n2bq_tMI3rNE2XsFpxvWnwo1ZZV6_K21/view?usp=drivesdk" TargetMode="External" Id="rId82" /><Relationship Type="http://schemas.openxmlformats.org/officeDocument/2006/relationships/hyperlink" Target="https://drive.google.com/file/d/1Mbfxr1V40xsgbj8F0soExM05QND6zjoa/view?usp=drivesdk" TargetMode="External" Id="rId83" /><Relationship Type="http://schemas.openxmlformats.org/officeDocument/2006/relationships/hyperlink" Target="https://drive.google.com/file/d/1WOvzAAmEygTW3UfGCE2EpvFGcNYl4yVq/view?usp=drivesdk" TargetMode="External" Id="rId84" /><Relationship Type="http://schemas.openxmlformats.org/officeDocument/2006/relationships/hyperlink" Target="https://drive.google.com/file/d/1fDDyyoah7JlWMHXzqFDIqm2howZDBJMq/view?usp=drivesdk" TargetMode="External" Id="rId85" /><Relationship Type="http://schemas.openxmlformats.org/officeDocument/2006/relationships/hyperlink" Target="https://drive.google.com/file/d/1fDDyyoah7JlWMHXzqFDIqm2howZDBJMq/view?usp=drivesdk" TargetMode="External" Id="rId86" /><Relationship Type="http://schemas.openxmlformats.org/officeDocument/2006/relationships/hyperlink" Target="https://drive.google.com/file/d/1fDDyyoah7JlWMHXzqFDIqm2howZDBJMq/view?usp=drivesdk" TargetMode="External" Id="rId87" /><Relationship Type="http://schemas.openxmlformats.org/officeDocument/2006/relationships/hyperlink" Target="https://drive.google.com/file/d/1IS2fSxolw6pxcI9vC65EJRYlFK7zyUTY/view?usp=drivesdk" TargetMode="External" Id="rId88" /><Relationship Type="http://schemas.openxmlformats.org/officeDocument/2006/relationships/hyperlink" Target="https://drive.google.com/file/d/1bbYR8-vHGj7nUKVcEnARnepPzYzNIFVw/view?usp=drivesdk" TargetMode="External" Id="rId89" /><Relationship Type="http://schemas.openxmlformats.org/officeDocument/2006/relationships/hyperlink" Target="https://drive.google.com/file/d/1s-Ni6ccpvcuZUGwwhFepiSbUNzPwXVDG/view?usp=drivesdk" TargetMode="External" Id="rId90" /><Relationship Type="http://schemas.openxmlformats.org/officeDocument/2006/relationships/hyperlink" Target="https://drive.google.com/file/d/1j0GTnf9iA8T0YG7zocdvmE1v-yFf-dmk/view?usp=drivesdk" TargetMode="External" Id="rId91" /><Relationship Type="http://schemas.openxmlformats.org/officeDocument/2006/relationships/hyperlink" Target="https://drive.google.com/file/d/1kgfYW187O8CHpqvovwje1T5Vb0O1df6d/view?usp=drivesdk" TargetMode="External" Id="rId92" /><Relationship Type="http://schemas.openxmlformats.org/officeDocument/2006/relationships/hyperlink" Target="https://drive.google.com/file/d/1ylJiskEHkRFsuhK4EXI9Mv5Hk31tTSeX/view?usp=drivesdk" TargetMode="External" Id="rId93" /><Relationship Type="http://schemas.openxmlformats.org/officeDocument/2006/relationships/hyperlink" Target="https://drive.google.com/file/d/1Ht3FP9y_KBG3F1Wui0f7dj36Nz4gORY9/view?usp=drivesdk" TargetMode="External" Id="rId94" /><Relationship Type="http://schemas.openxmlformats.org/officeDocument/2006/relationships/hyperlink" Target="https://drive.google.com/file/d/1axe5iqNHDnZKEyTVyAhJ5hBtI1BR5ejL/view?usp=drivesdk" TargetMode="External" Id="rId95" /><Relationship Type="http://schemas.openxmlformats.org/officeDocument/2006/relationships/hyperlink" Target="https://drive.google.com/file/d/1D3oOwMbnoMx_ZwdzSUQ07lRdDelVCXX6/view?usp=drivesdk" TargetMode="External" Id="rId96" /><Relationship Type="http://schemas.openxmlformats.org/officeDocument/2006/relationships/hyperlink" Target="https://drive.google.com/file/d/1FNZalAzXj8a7ZNUt2CefEIFu_sLZ6iOY/view?usp=drivesdk" TargetMode="External" Id="rId97" /><Relationship Type="http://schemas.openxmlformats.org/officeDocument/2006/relationships/hyperlink" Target="https://drive.google.com/file/d/1ryYPmeaeN0WBdXxhk4O9pmdF4BlNsACt/view?usp=drivesdk" TargetMode="External" Id="rId98" /><Relationship Type="http://schemas.openxmlformats.org/officeDocument/2006/relationships/hyperlink" Target="https://drive.google.com/file/d/1FyBHZEA9qWMwRhMfdTuL7ySwcplaqQc2/view?usp=drivesdk" TargetMode="External" Id="rId99" /><Relationship Type="http://schemas.openxmlformats.org/officeDocument/2006/relationships/hyperlink" Target="https://drive.google.com/file/d/1iPkhcnUQ6IlOI2t9Y4lt6fcN9NoE8559/view?usp=drivesdk" TargetMode="External" Id="rId100" /><Relationship Type="http://schemas.openxmlformats.org/officeDocument/2006/relationships/hyperlink" Target="https://drive.google.com/file/d/1nrrH_8TfwdiHGNLlFgfu6hEx8mBDTA67/view?usp=drivesdk" TargetMode="External" Id="rId101" /><Relationship Type="http://schemas.openxmlformats.org/officeDocument/2006/relationships/hyperlink" Target="https://drive.google.com/file/d/1Lq08NNbxsMBp7B7MMjUiEknDIr3kxPc0/view?usp=drivesdk" TargetMode="External" Id="rId102" /><Relationship Type="http://schemas.openxmlformats.org/officeDocument/2006/relationships/hyperlink" Target="https://drive.google.com/file/d/1y53mv0-BjFCp7Z4Tp9mguo1WuS7RRlVK/view?usp=drivesdk" TargetMode="External" Id="rId103" /><Relationship Type="http://schemas.openxmlformats.org/officeDocument/2006/relationships/hyperlink" Target="https://drive.google.com/file/d/1n1TdGRm0xbbUrhiWxso3ucgcPhj4jbzx/view?usp=drivesdk" TargetMode="External" Id="rId104" /><Relationship Type="http://schemas.openxmlformats.org/officeDocument/2006/relationships/hyperlink" Target="https://drive.google.com/file/d/1ao5r16qm7GhBSrW3YeiF3erPmxlcHELA/view?usp=drivesdk" TargetMode="External" Id="rId105" /><Relationship Type="http://schemas.openxmlformats.org/officeDocument/2006/relationships/hyperlink" Target="https://drive.google.com/file/d/1OXbTejlLlT9SzZTWZP1D7tU57XBkfsLB/view?usp=drivesdk" TargetMode="External" Id="rId106" /><Relationship Type="http://schemas.openxmlformats.org/officeDocument/2006/relationships/hyperlink" Target="https://drive.google.com/file/d/1-0D2m0NVI4A5J-ddmlF3nafsBa8vGWBd/view?usp=drivesdk" TargetMode="External" Id="rId107" /><Relationship Type="http://schemas.openxmlformats.org/officeDocument/2006/relationships/hyperlink" Target="https://drive.google.com/file/d/109FoRS20p6fG5cg4HRHkxTwOGMiEB3AH/view?usp=drivesdk" TargetMode="External" Id="rId108" /><Relationship Type="http://schemas.openxmlformats.org/officeDocument/2006/relationships/hyperlink" Target="https://drive.google.com/file/d/1md630rqHnAw6S5fnMiH86ktIGL9wAfgF/view?usp=drivesdk" TargetMode="External" Id="rId109" /><Relationship Type="http://schemas.openxmlformats.org/officeDocument/2006/relationships/hyperlink" Target="https://drive.google.com/file/d/1MkhCT3OZenS4bJf5_J2qB8oGGw8oFzkf/view?usp=drivesdk" TargetMode="External" Id="rId110" /><Relationship Type="http://schemas.openxmlformats.org/officeDocument/2006/relationships/hyperlink" Target="https://drive.google.com/file/d/1cfzsuLvXSAtRD2pLnRBZ59veQeIWQKjQ/view?usp=drivesdk" TargetMode="External" Id="rId111" /><Relationship Type="http://schemas.openxmlformats.org/officeDocument/2006/relationships/hyperlink" Target="https://drive.google.com/file/d/194sPXt7bz4RYudtr1LLnRSTHRD3IRfX_/view?usp=drivesdk" TargetMode="External" Id="rId112" /><Relationship Type="http://schemas.openxmlformats.org/officeDocument/2006/relationships/hyperlink" Target="https://drive.google.com/file/d/1d9bGOdNerfRkG8hm-9tNwNLOClNoUKV1/view?usp=drivesdk" TargetMode="External" Id="rId113" /><Relationship Type="http://schemas.openxmlformats.org/officeDocument/2006/relationships/hyperlink" Target="https://drive.google.com/file/d/1r5NeAkt6BuK7stM77wMD2GmwfOkmyuaE/view?usp=drivesdk" TargetMode="External" Id="rId114" /><Relationship Type="http://schemas.openxmlformats.org/officeDocument/2006/relationships/hyperlink" Target="https://drive.google.com/file/d/1jBhJD7kS5_SPwJKWbOaHjrF8mX4mpiT8/view?usp=drivesdk" TargetMode="External" Id="rId115" /><Relationship Type="http://schemas.openxmlformats.org/officeDocument/2006/relationships/hyperlink" Target="https://drive.google.com/file/d/14mLVYewapKRBwsNP7f6wLOc4WRmROQLm/view?usp=drivesdk" TargetMode="External" Id="rId116" /><Relationship Type="http://schemas.openxmlformats.org/officeDocument/2006/relationships/hyperlink" Target="https://drive.google.com/file/d/1_zSaGhAEICAUBmqreT7FKVxXgv2-r3jW/view?usp=drivesdk" TargetMode="External" Id="rId117" /><Relationship Type="http://schemas.openxmlformats.org/officeDocument/2006/relationships/hyperlink" Target="https://drive.google.com/file/d/1qLKvi2Ja2apUNKYZBiLqZTt00IfYF7J2/view?usp=drivesdk" TargetMode="External" Id="rId118" /><Relationship Type="http://schemas.openxmlformats.org/officeDocument/2006/relationships/hyperlink" Target="https://drive.google.com/file/d/1YylC1UsF8Mmxn_K1BFQWDm5IBpU5pT4S/view?usp=drivesdk" TargetMode="External" Id="rId119" /><Relationship Type="http://schemas.openxmlformats.org/officeDocument/2006/relationships/hyperlink" Target="https://drive.google.com/file/d/1Dfe3TUTMjwwXhP0sW7OA-brj3bzdreVa/view?usp=drivesdk" TargetMode="External" Id="rId120" /></Relationships>
</file>

<file path=xl/worksheets/_rels/sheet9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10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>
        <is>
          <t>TOTAL</t>
        </is>
      </c>
      <c r="Q1" s="1" t="inlineStr"/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  <c r="Q2" s="1" t="inlineStr"/>
    </row>
    <row r="3" ht="12" customHeight="1">
      <c r="A3" s="3" t="inlineStr">
        <is>
          <t>Actualizado: 23/03/2026 09:23 h</t>
        </is>
      </c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D5+D25</f>
        <v/>
      </c>
      <c r="E4" s="8">
        <f>E5+E25</f>
        <v/>
      </c>
      <c r="F4" s="8">
        <f>F5+F25</f>
        <v/>
      </c>
      <c r="G4" s="8">
        <f>G5+G25</f>
        <v/>
      </c>
      <c r="H4" s="8">
        <f>H5+H25</f>
        <v/>
      </c>
      <c r="I4" s="8">
        <f>I5+I25</f>
        <v/>
      </c>
      <c r="J4" s="8">
        <f>J5+J25</f>
        <v/>
      </c>
      <c r="K4" s="8">
        <f>K5+K25</f>
        <v/>
      </c>
      <c r="L4" s="8">
        <f>L5+L25</f>
        <v/>
      </c>
      <c r="M4" s="8">
        <f>M5+M25</f>
        <v/>
      </c>
      <c r="N4" s="8">
        <f>N5+N25</f>
        <v/>
      </c>
      <c r="O4" s="8">
        <f>O5+O25</f>
        <v/>
      </c>
      <c r="P4" s="9">
        <f>SUM(D4:O4)</f>
        <v/>
      </c>
      <c r="Q4" s="10" t="n"/>
    </row>
    <row r="5" ht="12" customHeight="1">
      <c r="A5" s="11" t="inlineStr">
        <is>
          <t xml:space="preserve">    Product sales</t>
        </is>
      </c>
      <c r="B5" s="12" t="inlineStr">
        <is>
          <t>Product sales</t>
        </is>
      </c>
      <c r="C5" s="13" t="n"/>
      <c r="D5" s="14">
        <f>D6+D16+D20+D22</f>
        <v/>
      </c>
      <c r="E5" s="14">
        <f>E6+E16+E20+E22</f>
        <v/>
      </c>
      <c r="F5" s="14">
        <f>F6+F16+F20+F22</f>
        <v/>
      </c>
      <c r="G5" s="14">
        <f>G6+G16+G20+G22</f>
        <v/>
      </c>
      <c r="H5" s="14">
        <f>H6+H16+H20+H22</f>
        <v/>
      </c>
      <c r="I5" s="14">
        <f>I6+I16+I20+I22</f>
        <v/>
      </c>
      <c r="J5" s="14">
        <f>J6+J16+J20+J22</f>
        <v/>
      </c>
      <c r="K5" s="14">
        <f>K6+K16+K20+K22</f>
        <v/>
      </c>
      <c r="L5" s="14">
        <f>L6+L16+L20+L22</f>
        <v/>
      </c>
      <c r="M5" s="14">
        <f>M6+M16+M20+M22</f>
        <v/>
      </c>
      <c r="N5" s="14">
        <f>N6+N16+N20+N22</f>
        <v/>
      </c>
      <c r="O5" s="14">
        <f>O6+O16+O20+O22</f>
        <v/>
      </c>
      <c r="P5" s="15">
        <f>SUM(D5:O5)</f>
        <v/>
      </c>
      <c r="Q5" s="16" t="n"/>
    </row>
    <row r="6" ht="12" customHeight="1">
      <c r="A6" s="17" t="inlineStr">
        <is>
          <t xml:space="preserve">        Shopify</t>
        </is>
      </c>
      <c r="B6" s="18" t="n"/>
      <c r="C6" s="19" t="inlineStr">
        <is>
          <t>Shopify</t>
        </is>
      </c>
      <c r="D6" s="20">
        <f>SUM(D7:D15)</f>
        <v/>
      </c>
      <c r="E6" s="20">
        <f>SUM(E7:E15)</f>
        <v/>
      </c>
      <c r="F6" s="20">
        <f>SUM(F7:F15)</f>
        <v/>
      </c>
      <c r="G6" s="20">
        <f>SUM(G7:G15)</f>
        <v/>
      </c>
      <c r="H6" s="20">
        <f>SUM(H7:H15)</f>
        <v/>
      </c>
      <c r="I6" s="20">
        <f>SUM(I7:I15)</f>
        <v/>
      </c>
      <c r="J6" s="20">
        <f>SUM(J7:J15)</f>
        <v/>
      </c>
      <c r="K6" s="20">
        <f>SUM(K7:K15)</f>
        <v/>
      </c>
      <c r="L6" s="20">
        <f>SUM(L7:L15)</f>
        <v/>
      </c>
      <c r="M6" s="20">
        <f>SUM(M7:M15)</f>
        <v/>
      </c>
      <c r="N6" s="20">
        <f>SUM(N7:N15)</f>
        <v/>
      </c>
      <c r="O6" s="20">
        <f>SUM(O7:O15)</f>
        <v/>
      </c>
      <c r="P6" s="21">
        <f>SUM(D6:O6)</f>
        <v/>
      </c>
      <c r="Q6" s="22" t="inlineStr">
        <is>
          <t>-&gt;</t>
        </is>
      </c>
    </row>
    <row r="7" hidden="1" outlineLevel="1" ht="12" customHeight="1">
      <c r="A7" s="23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SUMIFS('i-shopify-sl'!$E:$E,'i-shopify-sl'!$A:$A,D$1,'i-shopify-sl'!$C:$C,$C7)</f>
        <v/>
      </c>
      <c r="E7" s="5">
        <f>SUMIFS('i-shopify-sl'!$E:$E,'i-shopify-sl'!$A:$A,E$1,'i-shopify-sl'!$C:$C,$C7)</f>
        <v/>
      </c>
      <c r="F7" s="5">
        <f>SUMIFS('i-shopify-sl'!$E:$E,'i-shopify-sl'!$A:$A,F$1,'i-shopify-sl'!$C:$C,$C7)</f>
        <v/>
      </c>
      <c r="G7" s="5">
        <f>SUMIFS('i-shopify-sl'!$E:$E,'i-shopify-sl'!$A:$A,G$1,'i-shopify-sl'!$C:$C,$C7)</f>
        <v/>
      </c>
      <c r="H7" s="5">
        <f>SUMIFS('i-shopify-sl'!$E:$E,'i-shopify-sl'!$A:$A,H$1,'i-shopify-sl'!$C:$C,$C7)</f>
        <v/>
      </c>
      <c r="I7" s="5">
        <f>SUMIFS('i-shopify-sl'!$E:$E,'i-shopify-sl'!$A:$A,I$1,'i-shopify-sl'!$C:$C,$C7)</f>
        <v/>
      </c>
      <c r="J7" s="5">
        <f>SUMIFS('i-shopify-sl'!$E:$E,'i-shopify-sl'!$A:$A,J$1,'i-shopify-sl'!$C:$C,$C7)</f>
        <v/>
      </c>
      <c r="K7" s="5">
        <f>SUMIFS('i-shopify-sl'!$E:$E,'i-shopify-sl'!$A:$A,K$1,'i-shopify-sl'!$C:$C,$C7)</f>
        <v/>
      </c>
      <c r="L7" s="5">
        <f>SUMIFS('i-shopify-sl'!$E:$E,'i-shopify-sl'!$A:$A,L$1,'i-shopify-sl'!$C:$C,$C7)</f>
        <v/>
      </c>
      <c r="M7" s="5">
        <f>SUMIFS('i-shopify-sl'!$E:$E,'i-shopify-sl'!$A:$A,M$1,'i-shopify-sl'!$C:$C,$C7)</f>
        <v/>
      </c>
      <c r="N7" s="5">
        <f>SUMIFS('i-shopify-sl'!$E:$E,'i-shopify-sl'!$A:$A,N$1,'i-shopify-sl'!$C:$C,$C7)</f>
        <v/>
      </c>
      <c r="O7" s="5">
        <f>SUMIFS('i-shopify-sl'!$E:$E,'i-shopify-sl'!$A:$A,O$1,'i-shopify-sl'!$C:$C,$C7)</f>
        <v/>
      </c>
      <c r="P7" s="24">
        <f>SUM(D7:O7)</f>
        <v/>
      </c>
      <c r="Q7" s="25" t="inlineStr">
        <is>
          <t>-&gt;</t>
        </is>
      </c>
    </row>
    <row r="8" hidden="1" outlineLevel="1" ht="12" customHeight="1">
      <c r="A8" s="23" t="inlineStr">
        <is>
          <t xml:space="preserve">            FR</t>
        </is>
      </c>
      <c r="B8" s="4" t="n"/>
      <c r="C8" s="4" t="inlineStr">
        <is>
          <t>FR</t>
        </is>
      </c>
      <c r="D8" s="5">
        <f>SUMIFS('i-shopify-sl'!$E:$E,'i-shopify-sl'!$A:$A,D$1,'i-shopify-sl'!$C:$C,$C8)</f>
        <v/>
      </c>
      <c r="E8" s="5">
        <f>SUMIFS('i-shopify-sl'!$E:$E,'i-shopify-sl'!$A:$A,E$1,'i-shopify-sl'!$C:$C,$C8)</f>
        <v/>
      </c>
      <c r="F8" s="5">
        <f>SUMIFS('i-shopify-sl'!$E:$E,'i-shopify-sl'!$A:$A,F$1,'i-shopify-sl'!$C:$C,$C8)</f>
        <v/>
      </c>
      <c r="G8" s="5">
        <f>SUMIFS('i-shopify-sl'!$E:$E,'i-shopify-sl'!$A:$A,G$1,'i-shopify-sl'!$C:$C,$C8)</f>
        <v/>
      </c>
      <c r="H8" s="5">
        <f>SUMIFS('i-shopify-sl'!$E:$E,'i-shopify-sl'!$A:$A,H$1,'i-shopify-sl'!$C:$C,$C8)</f>
        <v/>
      </c>
      <c r="I8" s="5">
        <f>SUMIFS('i-shopify-sl'!$E:$E,'i-shopify-sl'!$A:$A,I$1,'i-shopify-sl'!$C:$C,$C8)</f>
        <v/>
      </c>
      <c r="J8" s="5">
        <f>SUMIFS('i-shopify-sl'!$E:$E,'i-shopify-sl'!$A:$A,J$1,'i-shopify-sl'!$C:$C,$C8)</f>
        <v/>
      </c>
      <c r="K8" s="5">
        <f>SUMIFS('i-shopify-sl'!$E:$E,'i-shopify-sl'!$A:$A,K$1,'i-shopify-sl'!$C:$C,$C8)</f>
        <v/>
      </c>
      <c r="L8" s="5">
        <f>SUMIFS('i-shopify-sl'!$E:$E,'i-shopify-sl'!$A:$A,L$1,'i-shopify-sl'!$C:$C,$C8)</f>
        <v/>
      </c>
      <c r="M8" s="5">
        <f>SUMIFS('i-shopify-sl'!$E:$E,'i-shopify-sl'!$A:$A,M$1,'i-shopify-sl'!$C:$C,$C8)</f>
        <v/>
      </c>
      <c r="N8" s="5">
        <f>SUMIFS('i-shopify-sl'!$E:$E,'i-shopify-sl'!$A:$A,N$1,'i-shopify-sl'!$C:$C,$C8)</f>
        <v/>
      </c>
      <c r="O8" s="5">
        <f>SUMIFS('i-shopify-sl'!$E:$E,'i-shopify-sl'!$A:$A,O$1,'i-shopify-sl'!$C:$C,$C8)</f>
        <v/>
      </c>
      <c r="P8" s="24">
        <f>SUM(D8:O8)</f>
        <v/>
      </c>
      <c r="Q8" s="25" t="inlineStr">
        <is>
          <t>-&gt;</t>
        </is>
      </c>
    </row>
    <row r="9" hidden="1" outlineLevel="1" ht="12" customHeight="1">
      <c r="A9" s="23" t="inlineStr">
        <is>
          <t xml:space="preserve">            DE</t>
        </is>
      </c>
      <c r="B9" s="4" t="n"/>
      <c r="C9" s="4" t="inlineStr">
        <is>
          <t>DE</t>
        </is>
      </c>
      <c r="D9" s="5">
        <f>SUMIFS('i-shopify-sl'!$E:$E,'i-shopify-sl'!$A:$A,D$1,'i-shopify-sl'!$C:$C,$C9)</f>
        <v/>
      </c>
      <c r="E9" s="5">
        <f>SUMIFS('i-shopify-sl'!$E:$E,'i-shopify-sl'!$A:$A,E$1,'i-shopify-sl'!$C:$C,$C9)</f>
        <v/>
      </c>
      <c r="F9" s="5">
        <f>SUMIFS('i-shopify-sl'!$E:$E,'i-shopify-sl'!$A:$A,F$1,'i-shopify-sl'!$C:$C,$C9)</f>
        <v/>
      </c>
      <c r="G9" s="5">
        <f>SUMIFS('i-shopify-sl'!$E:$E,'i-shopify-sl'!$A:$A,G$1,'i-shopify-sl'!$C:$C,$C9)</f>
        <v/>
      </c>
      <c r="H9" s="5">
        <f>SUMIFS('i-shopify-sl'!$E:$E,'i-shopify-sl'!$A:$A,H$1,'i-shopify-sl'!$C:$C,$C9)</f>
        <v/>
      </c>
      <c r="I9" s="5">
        <f>SUMIFS('i-shopify-sl'!$E:$E,'i-shopify-sl'!$A:$A,I$1,'i-shopify-sl'!$C:$C,$C9)</f>
        <v/>
      </c>
      <c r="J9" s="5">
        <f>SUMIFS('i-shopify-sl'!$E:$E,'i-shopify-sl'!$A:$A,J$1,'i-shopify-sl'!$C:$C,$C9)</f>
        <v/>
      </c>
      <c r="K9" s="5">
        <f>SUMIFS('i-shopify-sl'!$E:$E,'i-shopify-sl'!$A:$A,K$1,'i-shopify-sl'!$C:$C,$C9)</f>
        <v/>
      </c>
      <c r="L9" s="5">
        <f>SUMIFS('i-shopify-sl'!$E:$E,'i-shopify-sl'!$A:$A,L$1,'i-shopify-sl'!$C:$C,$C9)</f>
        <v/>
      </c>
      <c r="M9" s="5">
        <f>SUMIFS('i-shopify-sl'!$E:$E,'i-shopify-sl'!$A:$A,M$1,'i-shopify-sl'!$C:$C,$C9)</f>
        <v/>
      </c>
      <c r="N9" s="5">
        <f>SUMIFS('i-shopify-sl'!$E:$E,'i-shopify-sl'!$A:$A,N$1,'i-shopify-sl'!$C:$C,$C9)</f>
        <v/>
      </c>
      <c r="O9" s="5">
        <f>SUMIFS('i-shopify-sl'!$E:$E,'i-shopify-sl'!$A:$A,O$1,'i-shopify-sl'!$C:$C,$C9)</f>
        <v/>
      </c>
      <c r="P9" s="24">
        <f>SUM(D9:O9)</f>
        <v/>
      </c>
      <c r="Q9" s="25" t="inlineStr">
        <is>
          <t>-&gt;</t>
        </is>
      </c>
    </row>
    <row r="10" hidden="1" outlineLevel="1" ht="12" customHeight="1">
      <c r="A10" s="23" t="inlineStr">
        <is>
          <t xml:space="preserve">            IT</t>
        </is>
      </c>
      <c r="B10" s="4" t="n"/>
      <c r="C10" s="4" t="inlineStr">
        <is>
          <t>IT</t>
        </is>
      </c>
      <c r="D10" s="5">
        <f>SUMIFS('i-shopify-sl'!$E:$E,'i-shopify-sl'!$A:$A,D$1,'i-shopify-sl'!$C:$C,$C10)</f>
        <v/>
      </c>
      <c r="E10" s="5">
        <f>SUMIFS('i-shopify-sl'!$E:$E,'i-shopify-sl'!$A:$A,E$1,'i-shopify-sl'!$C:$C,$C10)</f>
        <v/>
      </c>
      <c r="F10" s="5">
        <f>SUMIFS('i-shopify-sl'!$E:$E,'i-shopify-sl'!$A:$A,F$1,'i-shopify-sl'!$C:$C,$C10)</f>
        <v/>
      </c>
      <c r="G10" s="5">
        <f>SUMIFS('i-shopify-sl'!$E:$E,'i-shopify-sl'!$A:$A,G$1,'i-shopify-sl'!$C:$C,$C10)</f>
        <v/>
      </c>
      <c r="H10" s="5">
        <f>SUMIFS('i-shopify-sl'!$E:$E,'i-shopify-sl'!$A:$A,H$1,'i-shopify-sl'!$C:$C,$C10)</f>
        <v/>
      </c>
      <c r="I10" s="5">
        <f>SUMIFS('i-shopify-sl'!$E:$E,'i-shopify-sl'!$A:$A,I$1,'i-shopify-sl'!$C:$C,$C10)</f>
        <v/>
      </c>
      <c r="J10" s="5">
        <f>SUMIFS('i-shopify-sl'!$E:$E,'i-shopify-sl'!$A:$A,J$1,'i-shopify-sl'!$C:$C,$C10)</f>
        <v/>
      </c>
      <c r="K10" s="5">
        <f>SUMIFS('i-shopify-sl'!$E:$E,'i-shopify-sl'!$A:$A,K$1,'i-shopify-sl'!$C:$C,$C10)</f>
        <v/>
      </c>
      <c r="L10" s="5">
        <f>SUMIFS('i-shopify-sl'!$E:$E,'i-shopify-sl'!$A:$A,L$1,'i-shopify-sl'!$C:$C,$C10)</f>
        <v/>
      </c>
      <c r="M10" s="5">
        <f>SUMIFS('i-shopify-sl'!$E:$E,'i-shopify-sl'!$A:$A,M$1,'i-shopify-sl'!$C:$C,$C10)</f>
        <v/>
      </c>
      <c r="N10" s="5">
        <f>SUMIFS('i-shopify-sl'!$E:$E,'i-shopify-sl'!$A:$A,N$1,'i-shopify-sl'!$C:$C,$C10)</f>
        <v/>
      </c>
      <c r="O10" s="5">
        <f>SUMIFS('i-shopify-sl'!$E:$E,'i-shopify-sl'!$A:$A,O$1,'i-shopify-sl'!$C:$C,$C10)</f>
        <v/>
      </c>
      <c r="P10" s="24">
        <f>SUM(D10:O10)</f>
        <v/>
      </c>
      <c r="Q10" s="25" t="inlineStr">
        <is>
          <t>-&gt;</t>
        </is>
      </c>
    </row>
    <row r="11" hidden="1" outlineLevel="1" ht="12" customHeight="1">
      <c r="A11" s="23" t="inlineStr">
        <is>
          <t xml:space="preserve">            AT</t>
        </is>
      </c>
      <c r="B11" s="4" t="n"/>
      <c r="C11" s="4" t="inlineStr">
        <is>
          <t>AT</t>
        </is>
      </c>
      <c r="D11" s="5">
        <f>SUMIFS('i-shopify-sl'!$E:$E,'i-shopify-sl'!$A:$A,D$1,'i-shopify-sl'!$C:$C,$C11)</f>
        <v/>
      </c>
      <c r="E11" s="5">
        <f>SUMIFS('i-shopify-sl'!$E:$E,'i-shopify-sl'!$A:$A,E$1,'i-shopify-sl'!$C:$C,$C11)</f>
        <v/>
      </c>
      <c r="F11" s="5">
        <f>SUMIFS('i-shopify-sl'!$E:$E,'i-shopify-sl'!$A:$A,F$1,'i-shopify-sl'!$C:$C,$C11)</f>
        <v/>
      </c>
      <c r="G11" s="5">
        <f>SUMIFS('i-shopify-sl'!$E:$E,'i-shopify-sl'!$A:$A,G$1,'i-shopify-sl'!$C:$C,$C11)</f>
        <v/>
      </c>
      <c r="H11" s="5">
        <f>SUMIFS('i-shopify-sl'!$E:$E,'i-shopify-sl'!$A:$A,H$1,'i-shopify-sl'!$C:$C,$C11)</f>
        <v/>
      </c>
      <c r="I11" s="5">
        <f>SUMIFS('i-shopify-sl'!$E:$E,'i-shopify-sl'!$A:$A,I$1,'i-shopify-sl'!$C:$C,$C11)</f>
        <v/>
      </c>
      <c r="J11" s="5">
        <f>SUMIFS('i-shopify-sl'!$E:$E,'i-shopify-sl'!$A:$A,J$1,'i-shopify-sl'!$C:$C,$C11)</f>
        <v/>
      </c>
      <c r="K11" s="5">
        <f>SUMIFS('i-shopify-sl'!$E:$E,'i-shopify-sl'!$A:$A,K$1,'i-shopify-sl'!$C:$C,$C11)</f>
        <v/>
      </c>
      <c r="L11" s="5">
        <f>SUMIFS('i-shopify-sl'!$E:$E,'i-shopify-sl'!$A:$A,L$1,'i-shopify-sl'!$C:$C,$C11)</f>
        <v/>
      </c>
      <c r="M11" s="5">
        <f>SUMIFS('i-shopify-sl'!$E:$E,'i-shopify-sl'!$A:$A,M$1,'i-shopify-sl'!$C:$C,$C11)</f>
        <v/>
      </c>
      <c r="N11" s="5">
        <f>SUMIFS('i-shopify-sl'!$E:$E,'i-shopify-sl'!$A:$A,N$1,'i-shopify-sl'!$C:$C,$C11)</f>
        <v/>
      </c>
      <c r="O11" s="5">
        <f>SUMIFS('i-shopify-sl'!$E:$E,'i-shopify-sl'!$A:$A,O$1,'i-shopify-sl'!$C:$C,$C11)</f>
        <v/>
      </c>
      <c r="P11" s="24">
        <f>SUM(D11:O11)</f>
        <v/>
      </c>
      <c r="Q11" s="25" t="inlineStr">
        <is>
          <t>-&gt;</t>
        </is>
      </c>
    </row>
    <row r="12" hidden="1" outlineLevel="1" ht="12" customHeight="1">
      <c r="A12" s="23" t="inlineStr">
        <is>
          <t xml:space="preserve">            BE</t>
        </is>
      </c>
      <c r="B12" s="4" t="n"/>
      <c r="C12" s="4" t="inlineStr">
        <is>
          <t>BE</t>
        </is>
      </c>
      <c r="D12" s="5">
        <f>SUMIFS('i-shopify-sl'!$E:$E,'i-shopify-sl'!$A:$A,D$1,'i-shopify-sl'!$C:$C,$C12)</f>
        <v/>
      </c>
      <c r="E12" s="5">
        <f>SUMIFS('i-shopify-sl'!$E:$E,'i-shopify-sl'!$A:$A,E$1,'i-shopify-sl'!$C:$C,$C12)</f>
        <v/>
      </c>
      <c r="F12" s="5">
        <f>SUMIFS('i-shopify-sl'!$E:$E,'i-shopify-sl'!$A:$A,F$1,'i-shopify-sl'!$C:$C,$C12)</f>
        <v/>
      </c>
      <c r="G12" s="5">
        <f>SUMIFS('i-shopify-sl'!$E:$E,'i-shopify-sl'!$A:$A,G$1,'i-shopify-sl'!$C:$C,$C12)</f>
        <v/>
      </c>
      <c r="H12" s="5">
        <f>SUMIFS('i-shopify-sl'!$E:$E,'i-shopify-sl'!$A:$A,H$1,'i-shopify-sl'!$C:$C,$C12)</f>
        <v/>
      </c>
      <c r="I12" s="5">
        <f>SUMIFS('i-shopify-sl'!$E:$E,'i-shopify-sl'!$A:$A,I$1,'i-shopify-sl'!$C:$C,$C12)</f>
        <v/>
      </c>
      <c r="J12" s="5">
        <f>SUMIFS('i-shopify-sl'!$E:$E,'i-shopify-sl'!$A:$A,J$1,'i-shopify-sl'!$C:$C,$C12)</f>
        <v/>
      </c>
      <c r="K12" s="5">
        <f>SUMIFS('i-shopify-sl'!$E:$E,'i-shopify-sl'!$A:$A,K$1,'i-shopify-sl'!$C:$C,$C12)</f>
        <v/>
      </c>
      <c r="L12" s="5">
        <f>SUMIFS('i-shopify-sl'!$E:$E,'i-shopify-sl'!$A:$A,L$1,'i-shopify-sl'!$C:$C,$C12)</f>
        <v/>
      </c>
      <c r="M12" s="5">
        <f>SUMIFS('i-shopify-sl'!$E:$E,'i-shopify-sl'!$A:$A,M$1,'i-shopify-sl'!$C:$C,$C12)</f>
        <v/>
      </c>
      <c r="N12" s="5">
        <f>SUMIFS('i-shopify-sl'!$E:$E,'i-shopify-sl'!$A:$A,N$1,'i-shopify-sl'!$C:$C,$C12)</f>
        <v/>
      </c>
      <c r="O12" s="5">
        <f>SUMIFS('i-shopify-sl'!$E:$E,'i-shopify-sl'!$A:$A,O$1,'i-shopify-sl'!$C:$C,$C12)</f>
        <v/>
      </c>
      <c r="P12" s="24">
        <f>SUM(D12:O12)</f>
        <v/>
      </c>
      <c r="Q12" s="25" t="inlineStr">
        <is>
          <t>-&gt;</t>
        </is>
      </c>
    </row>
    <row r="13" hidden="1" outlineLevel="1" ht="12" customHeight="1">
      <c r="A13" s="23" t="inlineStr">
        <is>
          <t xml:space="preserve">            NL</t>
        </is>
      </c>
      <c r="B13" s="4" t="n"/>
      <c r="C13" s="4" t="inlineStr">
        <is>
          <t>NL</t>
        </is>
      </c>
      <c r="D13" s="5">
        <f>SUMIFS('i-shopify-sl'!$E:$E,'i-shopify-sl'!$A:$A,D$1,'i-shopify-sl'!$C:$C,$C13)</f>
        <v/>
      </c>
      <c r="E13" s="5">
        <f>SUMIFS('i-shopify-sl'!$E:$E,'i-shopify-sl'!$A:$A,E$1,'i-shopify-sl'!$C:$C,$C13)</f>
        <v/>
      </c>
      <c r="F13" s="5">
        <f>SUMIFS('i-shopify-sl'!$E:$E,'i-shopify-sl'!$A:$A,F$1,'i-shopify-sl'!$C:$C,$C13)</f>
        <v/>
      </c>
      <c r="G13" s="5">
        <f>SUMIFS('i-shopify-sl'!$E:$E,'i-shopify-sl'!$A:$A,G$1,'i-shopify-sl'!$C:$C,$C13)</f>
        <v/>
      </c>
      <c r="H13" s="5">
        <f>SUMIFS('i-shopify-sl'!$E:$E,'i-shopify-sl'!$A:$A,H$1,'i-shopify-sl'!$C:$C,$C13)</f>
        <v/>
      </c>
      <c r="I13" s="5">
        <f>SUMIFS('i-shopify-sl'!$E:$E,'i-shopify-sl'!$A:$A,I$1,'i-shopify-sl'!$C:$C,$C13)</f>
        <v/>
      </c>
      <c r="J13" s="5">
        <f>SUMIFS('i-shopify-sl'!$E:$E,'i-shopify-sl'!$A:$A,J$1,'i-shopify-sl'!$C:$C,$C13)</f>
        <v/>
      </c>
      <c r="K13" s="5">
        <f>SUMIFS('i-shopify-sl'!$E:$E,'i-shopify-sl'!$A:$A,K$1,'i-shopify-sl'!$C:$C,$C13)</f>
        <v/>
      </c>
      <c r="L13" s="5">
        <f>SUMIFS('i-shopify-sl'!$E:$E,'i-shopify-sl'!$A:$A,L$1,'i-shopify-sl'!$C:$C,$C13)</f>
        <v/>
      </c>
      <c r="M13" s="5">
        <f>SUMIFS('i-shopify-sl'!$E:$E,'i-shopify-sl'!$A:$A,M$1,'i-shopify-sl'!$C:$C,$C13)</f>
        <v/>
      </c>
      <c r="N13" s="5">
        <f>SUMIFS('i-shopify-sl'!$E:$E,'i-shopify-sl'!$A:$A,N$1,'i-shopify-sl'!$C:$C,$C13)</f>
        <v/>
      </c>
      <c r="O13" s="5">
        <f>SUMIFS('i-shopify-sl'!$E:$E,'i-shopify-sl'!$A:$A,O$1,'i-shopify-sl'!$C:$C,$C13)</f>
        <v/>
      </c>
      <c r="P13" s="24">
        <f>SUM(D13:O13)</f>
        <v/>
      </c>
      <c r="Q13" s="25" t="inlineStr">
        <is>
          <t>-&gt;</t>
        </is>
      </c>
    </row>
    <row r="14" hidden="1" outlineLevel="1" ht="12" customHeight="1">
      <c r="A14" s="23" t="inlineStr">
        <is>
          <t xml:space="preserve">            PT</t>
        </is>
      </c>
      <c r="B14" s="4" t="n"/>
      <c r="C14" s="4" t="inlineStr">
        <is>
          <t>PT</t>
        </is>
      </c>
      <c r="D14" s="5">
        <f>SUMIFS('i-shopify-sl'!$E:$E,'i-shopify-sl'!$A:$A,D$1,'i-shopify-sl'!$C:$C,$C14)</f>
        <v/>
      </c>
      <c r="E14" s="5">
        <f>SUMIFS('i-shopify-sl'!$E:$E,'i-shopify-sl'!$A:$A,E$1,'i-shopify-sl'!$C:$C,$C14)</f>
        <v/>
      </c>
      <c r="F14" s="5">
        <f>SUMIFS('i-shopify-sl'!$E:$E,'i-shopify-sl'!$A:$A,F$1,'i-shopify-sl'!$C:$C,$C14)</f>
        <v/>
      </c>
      <c r="G14" s="5">
        <f>SUMIFS('i-shopify-sl'!$E:$E,'i-shopify-sl'!$A:$A,G$1,'i-shopify-sl'!$C:$C,$C14)</f>
        <v/>
      </c>
      <c r="H14" s="5">
        <f>SUMIFS('i-shopify-sl'!$E:$E,'i-shopify-sl'!$A:$A,H$1,'i-shopify-sl'!$C:$C,$C14)</f>
        <v/>
      </c>
      <c r="I14" s="5">
        <f>SUMIFS('i-shopify-sl'!$E:$E,'i-shopify-sl'!$A:$A,I$1,'i-shopify-sl'!$C:$C,$C14)</f>
        <v/>
      </c>
      <c r="J14" s="5">
        <f>SUMIFS('i-shopify-sl'!$E:$E,'i-shopify-sl'!$A:$A,J$1,'i-shopify-sl'!$C:$C,$C14)</f>
        <v/>
      </c>
      <c r="K14" s="5">
        <f>SUMIFS('i-shopify-sl'!$E:$E,'i-shopify-sl'!$A:$A,K$1,'i-shopify-sl'!$C:$C,$C14)</f>
        <v/>
      </c>
      <c r="L14" s="5">
        <f>SUMIFS('i-shopify-sl'!$E:$E,'i-shopify-sl'!$A:$A,L$1,'i-shopify-sl'!$C:$C,$C14)</f>
        <v/>
      </c>
      <c r="M14" s="5">
        <f>SUMIFS('i-shopify-sl'!$E:$E,'i-shopify-sl'!$A:$A,M$1,'i-shopify-sl'!$C:$C,$C14)</f>
        <v/>
      </c>
      <c r="N14" s="5">
        <f>SUMIFS('i-shopify-sl'!$E:$E,'i-shopify-sl'!$A:$A,N$1,'i-shopify-sl'!$C:$C,$C14)</f>
        <v/>
      </c>
      <c r="O14" s="5">
        <f>SUMIFS('i-shopify-sl'!$E:$E,'i-shopify-sl'!$A:$A,O$1,'i-shopify-sl'!$C:$C,$C14)</f>
        <v/>
      </c>
      <c r="P14" s="24">
        <f>SUM(D14:O14)</f>
        <v/>
      </c>
      <c r="Q14" s="25" t="inlineStr">
        <is>
          <t>-&gt;</t>
        </is>
      </c>
    </row>
    <row r="15" hidden="1" outlineLevel="1" collapsed="1" ht="12" customHeight="1">
      <c r="A15" s="23" t="inlineStr">
        <is>
          <t xml:space="preserve">            XX</t>
        </is>
      </c>
      <c r="B15" s="4" t="n"/>
      <c r="C15" s="4" t="inlineStr">
        <is>
          <t>XX</t>
        </is>
      </c>
      <c r="D15" s="5">
        <f>SUMIFS('i-shopify-sl'!$E:$E,'i-shopify-sl'!$A:$A,D$1,'i-shopify-sl'!$C:$C,$C15)</f>
        <v/>
      </c>
      <c r="E15" s="5">
        <f>SUMIFS('i-shopify-sl'!$E:$E,'i-shopify-sl'!$A:$A,E$1,'i-shopify-sl'!$C:$C,$C15)</f>
        <v/>
      </c>
      <c r="F15" s="5">
        <f>SUMIFS('i-shopify-sl'!$E:$E,'i-shopify-sl'!$A:$A,F$1,'i-shopify-sl'!$C:$C,$C15)</f>
        <v/>
      </c>
      <c r="G15" s="5">
        <f>SUMIFS('i-shopify-sl'!$E:$E,'i-shopify-sl'!$A:$A,G$1,'i-shopify-sl'!$C:$C,$C15)</f>
        <v/>
      </c>
      <c r="H15" s="5">
        <f>SUMIFS('i-shopify-sl'!$E:$E,'i-shopify-sl'!$A:$A,H$1,'i-shopify-sl'!$C:$C,$C15)</f>
        <v/>
      </c>
      <c r="I15" s="5">
        <f>SUMIFS('i-shopify-sl'!$E:$E,'i-shopify-sl'!$A:$A,I$1,'i-shopify-sl'!$C:$C,$C15)</f>
        <v/>
      </c>
      <c r="J15" s="5">
        <f>SUMIFS('i-shopify-sl'!$E:$E,'i-shopify-sl'!$A:$A,J$1,'i-shopify-sl'!$C:$C,$C15)</f>
        <v/>
      </c>
      <c r="K15" s="5">
        <f>SUMIFS('i-shopify-sl'!$E:$E,'i-shopify-sl'!$A:$A,K$1,'i-shopify-sl'!$C:$C,$C15)</f>
        <v/>
      </c>
      <c r="L15" s="5">
        <f>SUMIFS('i-shopify-sl'!$E:$E,'i-shopify-sl'!$A:$A,L$1,'i-shopify-sl'!$C:$C,$C15)</f>
        <v/>
      </c>
      <c r="M15" s="5">
        <f>SUMIFS('i-shopify-sl'!$E:$E,'i-shopify-sl'!$A:$A,M$1,'i-shopify-sl'!$C:$C,$C15)</f>
        <v/>
      </c>
      <c r="N15" s="5">
        <f>SUMIFS('i-shopify-sl'!$E:$E,'i-shopify-sl'!$A:$A,N$1,'i-shopify-sl'!$C:$C,$C15)</f>
        <v/>
      </c>
      <c r="O15" s="5">
        <f>SUMIFS('i-shopify-sl'!$E:$E,'i-shopify-sl'!$A:$A,O$1,'i-shopify-sl'!$C:$C,$C15)</f>
        <v/>
      </c>
      <c r="P15" s="24">
        <f>SUM(D15:O15)</f>
        <v/>
      </c>
      <c r="Q15" s="25" t="inlineStr">
        <is>
          <t>-&gt;</t>
        </is>
      </c>
    </row>
    <row r="16" ht="12" customHeight="1">
      <c r="A16" s="17" t="inlineStr">
        <is>
          <t xml:space="preserve">        Marketplaces</t>
        </is>
      </c>
      <c r="B16" s="18" t="n"/>
      <c r="C16" s="19" t="inlineStr">
        <is>
          <t>Marketplaces</t>
        </is>
      </c>
      <c r="D16" s="20">
        <f>SUM(D17:D19)</f>
        <v/>
      </c>
      <c r="E16" s="20">
        <f>SUM(E17:E19)</f>
        <v/>
      </c>
      <c r="F16" s="20">
        <f>SUM(F17:F19)</f>
        <v/>
      </c>
      <c r="G16" s="20">
        <f>SUM(G17:G19)</f>
        <v/>
      </c>
      <c r="H16" s="20">
        <f>SUM(H17:H19)</f>
        <v/>
      </c>
      <c r="I16" s="20">
        <f>SUM(I17:I19)</f>
        <v/>
      </c>
      <c r="J16" s="20">
        <f>SUM(J17:J19)</f>
        <v/>
      </c>
      <c r="K16" s="20">
        <f>SUM(K17:K19)</f>
        <v/>
      </c>
      <c r="L16" s="20">
        <f>SUM(L17:L19)</f>
        <v/>
      </c>
      <c r="M16" s="20">
        <f>SUM(M17:M19)</f>
        <v/>
      </c>
      <c r="N16" s="20">
        <f>SUM(N17:N19)</f>
        <v/>
      </c>
      <c r="O16" s="20">
        <f>SUM(O17:O19)</f>
        <v/>
      </c>
      <c r="P16" s="21">
        <f>SUM(D16:O16)</f>
        <v/>
      </c>
      <c r="Q16" s="22" t="inlineStr">
        <is>
          <t>-&gt;</t>
        </is>
      </c>
    </row>
    <row r="17" hidden="1" outlineLevel="1" ht="12" customHeight="1">
      <c r="A17" s="23" t="inlineStr">
        <is>
          <t xml:space="preserve">            HANNUN</t>
        </is>
      </c>
      <c r="B17" s="4" t="n"/>
      <c r="C17" s="4" t="inlineStr">
        <is>
          <t>HANNUN</t>
        </is>
      </c>
      <c r="D17" s="5">
        <f>SUMIFS('i-marketplaces-sl'!$E:$E,'i-marketplaces-sl'!$A:$A,D$1,'i-marketplaces-sl'!$C:$C,$C17)</f>
        <v/>
      </c>
      <c r="E17" s="5">
        <f>SUMIFS('i-marketplaces-sl'!$E:$E,'i-marketplaces-sl'!$A:$A,E$1,'i-marketplaces-sl'!$C:$C,$C17)</f>
        <v/>
      </c>
      <c r="F17" s="5">
        <f>SUMIFS('i-marketplaces-sl'!$E:$E,'i-marketplaces-sl'!$A:$A,F$1,'i-marketplaces-sl'!$C:$C,$C17)</f>
        <v/>
      </c>
      <c r="G17" s="5">
        <f>SUMIFS('i-marketplaces-sl'!$E:$E,'i-marketplaces-sl'!$A:$A,G$1,'i-marketplaces-sl'!$C:$C,$C17)</f>
        <v/>
      </c>
      <c r="H17" s="5">
        <f>SUMIFS('i-marketplaces-sl'!$E:$E,'i-marketplaces-sl'!$A:$A,H$1,'i-marketplaces-sl'!$C:$C,$C17)</f>
        <v/>
      </c>
      <c r="I17" s="5">
        <f>SUMIFS('i-marketplaces-sl'!$E:$E,'i-marketplaces-sl'!$A:$A,I$1,'i-marketplaces-sl'!$C:$C,$C17)</f>
        <v/>
      </c>
      <c r="J17" s="5">
        <f>SUMIFS('i-marketplaces-sl'!$E:$E,'i-marketplaces-sl'!$A:$A,J$1,'i-marketplaces-sl'!$C:$C,$C17)</f>
        <v/>
      </c>
      <c r="K17" s="5">
        <f>SUMIFS('i-marketplaces-sl'!$E:$E,'i-marketplaces-sl'!$A:$A,K$1,'i-marketplaces-sl'!$C:$C,$C17)</f>
        <v/>
      </c>
      <c r="L17" s="5">
        <f>SUMIFS('i-marketplaces-sl'!$E:$E,'i-marketplaces-sl'!$A:$A,L$1,'i-marketplaces-sl'!$C:$C,$C17)</f>
        <v/>
      </c>
      <c r="M17" s="5">
        <f>SUMIFS('i-marketplaces-sl'!$E:$E,'i-marketplaces-sl'!$A:$A,M$1,'i-marketplaces-sl'!$C:$C,$C17)</f>
        <v/>
      </c>
      <c r="N17" s="5">
        <f>SUMIFS('i-marketplaces-sl'!$E:$E,'i-marketplaces-sl'!$A:$A,N$1,'i-marketplaces-sl'!$C:$C,$C17)</f>
        <v/>
      </c>
      <c r="O17" s="5">
        <f>SUMIFS('i-marketplaces-sl'!$E:$E,'i-marketplaces-sl'!$A:$A,O$1,'i-marketplaces-sl'!$C:$C,$C17)</f>
        <v/>
      </c>
      <c r="P17" s="24">
        <f>SUM(D17:O17)</f>
        <v/>
      </c>
      <c r="Q17" s="25" t="inlineStr">
        <is>
          <t>-&gt;</t>
        </is>
      </c>
    </row>
    <row r="18" hidden="1" outlineLevel="1" ht="12" customHeight="1">
      <c r="A18" s="23" t="inlineStr">
        <is>
          <t xml:space="preserve">            TOASTY</t>
        </is>
      </c>
      <c r="B18" s="4" t="n"/>
      <c r="C18" s="4" t="inlineStr">
        <is>
          <t>TOASTY</t>
        </is>
      </c>
      <c r="D18" s="5">
        <f>SUMIFS('i-marketplaces-sl'!$E:$E,'i-marketplaces-sl'!$A:$A,D$1,'i-marketplaces-sl'!$C:$C,$C18)</f>
        <v/>
      </c>
      <c r="E18" s="5">
        <f>SUMIFS('i-marketplaces-sl'!$E:$E,'i-marketplaces-sl'!$A:$A,E$1,'i-marketplaces-sl'!$C:$C,$C18)</f>
        <v/>
      </c>
      <c r="F18" s="5">
        <f>SUMIFS('i-marketplaces-sl'!$E:$E,'i-marketplaces-sl'!$A:$A,F$1,'i-marketplaces-sl'!$C:$C,$C18)</f>
        <v/>
      </c>
      <c r="G18" s="5">
        <f>SUMIFS('i-marketplaces-sl'!$E:$E,'i-marketplaces-sl'!$A:$A,G$1,'i-marketplaces-sl'!$C:$C,$C18)</f>
        <v/>
      </c>
      <c r="H18" s="5">
        <f>SUMIFS('i-marketplaces-sl'!$E:$E,'i-marketplaces-sl'!$A:$A,H$1,'i-marketplaces-sl'!$C:$C,$C18)</f>
        <v/>
      </c>
      <c r="I18" s="5">
        <f>SUMIFS('i-marketplaces-sl'!$E:$E,'i-marketplaces-sl'!$A:$A,I$1,'i-marketplaces-sl'!$C:$C,$C18)</f>
        <v/>
      </c>
      <c r="J18" s="5">
        <f>SUMIFS('i-marketplaces-sl'!$E:$E,'i-marketplaces-sl'!$A:$A,J$1,'i-marketplaces-sl'!$C:$C,$C18)</f>
        <v/>
      </c>
      <c r="K18" s="5">
        <f>SUMIFS('i-marketplaces-sl'!$E:$E,'i-marketplaces-sl'!$A:$A,K$1,'i-marketplaces-sl'!$C:$C,$C18)</f>
        <v/>
      </c>
      <c r="L18" s="5">
        <f>SUMIFS('i-marketplaces-sl'!$E:$E,'i-marketplaces-sl'!$A:$A,L$1,'i-marketplaces-sl'!$C:$C,$C18)</f>
        <v/>
      </c>
      <c r="M18" s="5">
        <f>SUMIFS('i-marketplaces-sl'!$E:$E,'i-marketplaces-sl'!$A:$A,M$1,'i-marketplaces-sl'!$C:$C,$C18)</f>
        <v/>
      </c>
      <c r="N18" s="5">
        <f>SUMIFS('i-marketplaces-sl'!$E:$E,'i-marketplaces-sl'!$A:$A,N$1,'i-marketplaces-sl'!$C:$C,$C18)</f>
        <v/>
      </c>
      <c r="O18" s="5">
        <f>SUMIFS('i-marketplaces-sl'!$E:$E,'i-marketplaces-sl'!$A:$A,O$1,'i-marketplaces-sl'!$C:$C,$C18)</f>
        <v/>
      </c>
      <c r="P18" s="24">
        <f>SUM(D18:O18)</f>
        <v/>
      </c>
      <c r="Q18" s="25" t="inlineStr">
        <is>
          <t>-&gt;</t>
        </is>
      </c>
    </row>
    <row r="19" hidden="1" outlineLevel="1" collapsed="1" ht="12" customHeight="1">
      <c r="A19" s="23" t="inlineStr">
        <is>
          <t xml:space="preserve">            CHOOSE</t>
        </is>
      </c>
      <c r="B19" s="4" t="n"/>
      <c r="C19" s="4" t="inlineStr">
        <is>
          <t>CHOOSE</t>
        </is>
      </c>
      <c r="D19" s="5">
        <f>SUMIFS('i-marketplaces-sl'!$E:$E,'i-marketplaces-sl'!$A:$A,D$1,'i-marketplaces-sl'!$C:$C,$C19)</f>
        <v/>
      </c>
      <c r="E19" s="5">
        <f>SUMIFS('i-marketplaces-sl'!$E:$E,'i-marketplaces-sl'!$A:$A,E$1,'i-marketplaces-sl'!$C:$C,$C19)</f>
        <v/>
      </c>
      <c r="F19" s="5">
        <f>SUMIFS('i-marketplaces-sl'!$E:$E,'i-marketplaces-sl'!$A:$A,F$1,'i-marketplaces-sl'!$C:$C,$C19)</f>
        <v/>
      </c>
      <c r="G19" s="5">
        <f>SUMIFS('i-marketplaces-sl'!$E:$E,'i-marketplaces-sl'!$A:$A,G$1,'i-marketplaces-sl'!$C:$C,$C19)</f>
        <v/>
      </c>
      <c r="H19" s="5">
        <f>SUMIFS('i-marketplaces-sl'!$E:$E,'i-marketplaces-sl'!$A:$A,H$1,'i-marketplaces-sl'!$C:$C,$C19)</f>
        <v/>
      </c>
      <c r="I19" s="5">
        <f>SUMIFS('i-marketplaces-sl'!$E:$E,'i-marketplaces-sl'!$A:$A,I$1,'i-marketplaces-sl'!$C:$C,$C19)</f>
        <v/>
      </c>
      <c r="J19" s="5">
        <f>SUMIFS('i-marketplaces-sl'!$E:$E,'i-marketplaces-sl'!$A:$A,J$1,'i-marketplaces-sl'!$C:$C,$C19)</f>
        <v/>
      </c>
      <c r="K19" s="5">
        <f>SUMIFS('i-marketplaces-sl'!$E:$E,'i-marketplaces-sl'!$A:$A,K$1,'i-marketplaces-sl'!$C:$C,$C19)</f>
        <v/>
      </c>
      <c r="L19" s="5">
        <f>SUMIFS('i-marketplaces-sl'!$E:$E,'i-marketplaces-sl'!$A:$A,L$1,'i-marketplaces-sl'!$C:$C,$C19)</f>
        <v/>
      </c>
      <c r="M19" s="5">
        <f>SUMIFS('i-marketplaces-sl'!$E:$E,'i-marketplaces-sl'!$A:$A,M$1,'i-marketplaces-sl'!$C:$C,$C19)</f>
        <v/>
      </c>
      <c r="N19" s="5">
        <f>SUMIFS('i-marketplaces-sl'!$E:$E,'i-marketplaces-sl'!$A:$A,N$1,'i-marketplaces-sl'!$C:$C,$C19)</f>
        <v/>
      </c>
      <c r="O19" s="5">
        <f>SUMIFS('i-marketplaces-sl'!$E:$E,'i-marketplaces-sl'!$A:$A,O$1,'i-marketplaces-sl'!$C:$C,$C19)</f>
        <v/>
      </c>
      <c r="P19" s="24">
        <f>SUM(D19:O19)</f>
        <v/>
      </c>
      <c r="Q19" s="25" t="inlineStr">
        <is>
          <t>-&gt;</t>
        </is>
      </c>
    </row>
    <row r="20" ht="12" customHeight="1">
      <c r="A20" s="17" t="inlineStr">
        <is>
          <t xml:space="preserve">        Rappels</t>
        </is>
      </c>
      <c r="B20" s="18" t="n"/>
      <c r="C20" s="19" t="inlineStr">
        <is>
          <t>Rappels</t>
        </is>
      </c>
      <c r="D20" s="20">
        <f>D21</f>
        <v/>
      </c>
      <c r="E20" s="20">
        <f>E21</f>
        <v/>
      </c>
      <c r="F20" s="20">
        <f>F21</f>
        <v/>
      </c>
      <c r="G20" s="20">
        <f>G21</f>
        <v/>
      </c>
      <c r="H20" s="20">
        <f>H21</f>
        <v/>
      </c>
      <c r="I20" s="20">
        <f>I21</f>
        <v/>
      </c>
      <c r="J20" s="20">
        <f>J21</f>
        <v/>
      </c>
      <c r="K20" s="20">
        <f>K21</f>
        <v/>
      </c>
      <c r="L20" s="20">
        <f>L21</f>
        <v/>
      </c>
      <c r="M20" s="20">
        <f>M21</f>
        <v/>
      </c>
      <c r="N20" s="20">
        <f>N21</f>
        <v/>
      </c>
      <c r="O20" s="20">
        <f>O21</f>
        <v/>
      </c>
      <c r="P20" s="21">
        <f>SUM(D20:O20)</f>
        <v/>
      </c>
      <c r="Q20" s="22" t="inlineStr">
        <is>
          <t>-&gt;</t>
        </is>
      </c>
    </row>
    <row r="21" hidden="1" outlineLevel="1" collapsed="1" ht="12" customHeight="1">
      <c r="A21" s="23" t="inlineStr">
        <is>
          <t xml:space="preserve">            LIVITUM</t>
        </is>
      </c>
      <c r="B21" s="4" t="n"/>
      <c r="C21" s="4" t="inlineStr">
        <is>
          <t>LIVITUM</t>
        </is>
      </c>
      <c r="D21" s="5">
        <f>SUMIFS('i-rappels-sl'!$E:$E,'i-rappels-sl'!$A:$A,D$1,'i-rappels-sl'!$C:$C,$C21)</f>
        <v/>
      </c>
      <c r="E21" s="5">
        <f>SUMIFS('i-rappels-sl'!$E:$E,'i-rappels-sl'!$A:$A,E$1,'i-rappels-sl'!$C:$C,$C21)</f>
        <v/>
      </c>
      <c r="F21" s="5">
        <f>SUMIFS('i-rappels-sl'!$E:$E,'i-rappels-sl'!$A:$A,F$1,'i-rappels-sl'!$C:$C,$C21)</f>
        <v/>
      </c>
      <c r="G21" s="5">
        <f>SUMIFS('i-rappels-sl'!$E:$E,'i-rappels-sl'!$A:$A,G$1,'i-rappels-sl'!$C:$C,$C21)</f>
        <v/>
      </c>
      <c r="H21" s="5">
        <f>SUMIFS('i-rappels-sl'!$E:$E,'i-rappels-sl'!$A:$A,H$1,'i-rappels-sl'!$C:$C,$C21)</f>
        <v/>
      </c>
      <c r="I21" s="5">
        <f>SUMIFS('i-rappels-sl'!$E:$E,'i-rappels-sl'!$A:$A,I$1,'i-rappels-sl'!$C:$C,$C21)</f>
        <v/>
      </c>
      <c r="J21" s="5">
        <f>SUMIFS('i-rappels-sl'!$E:$E,'i-rappels-sl'!$A:$A,J$1,'i-rappels-sl'!$C:$C,$C21)</f>
        <v/>
      </c>
      <c r="K21" s="5">
        <f>SUMIFS('i-rappels-sl'!$E:$E,'i-rappels-sl'!$A:$A,K$1,'i-rappels-sl'!$C:$C,$C21)</f>
        <v/>
      </c>
      <c r="L21" s="5">
        <f>SUMIFS('i-rappels-sl'!$E:$E,'i-rappels-sl'!$A:$A,L$1,'i-rappels-sl'!$C:$C,$C21)</f>
        <v/>
      </c>
      <c r="M21" s="5">
        <f>SUMIFS('i-rappels-sl'!$E:$E,'i-rappels-sl'!$A:$A,M$1,'i-rappels-sl'!$C:$C,$C21)</f>
        <v/>
      </c>
      <c r="N21" s="5">
        <f>SUMIFS('i-rappels-sl'!$E:$E,'i-rappels-sl'!$A:$A,N$1,'i-rappels-sl'!$C:$C,$C21)</f>
        <v/>
      </c>
      <c r="O21" s="5">
        <f>SUMIFS('i-rappels-sl'!$E:$E,'i-rappels-sl'!$A:$A,O$1,'i-rappels-sl'!$C:$C,$C21)</f>
        <v/>
      </c>
      <c r="P21" s="24">
        <f>SUM(D21:O21)</f>
        <v/>
      </c>
      <c r="Q21" s="25" t="inlineStr">
        <is>
          <t>-&gt;</t>
        </is>
      </c>
    </row>
    <row r="22" ht="12" customHeight="1">
      <c r="A22" s="17" t="inlineStr">
        <is>
          <t xml:space="preserve">        Supplies</t>
        </is>
      </c>
      <c r="B22" s="18" t="n"/>
      <c r="C22" s="19" t="inlineStr">
        <is>
          <t>Supplies</t>
        </is>
      </c>
      <c r="D22" s="20">
        <f>D23</f>
        <v/>
      </c>
      <c r="E22" s="20">
        <f>E23</f>
        <v/>
      </c>
      <c r="F22" s="20">
        <f>F23</f>
        <v/>
      </c>
      <c r="G22" s="20">
        <f>G23</f>
        <v/>
      </c>
      <c r="H22" s="20">
        <f>H23</f>
        <v/>
      </c>
      <c r="I22" s="20">
        <f>I23</f>
        <v/>
      </c>
      <c r="J22" s="20">
        <f>J23</f>
        <v/>
      </c>
      <c r="K22" s="20">
        <f>K23</f>
        <v/>
      </c>
      <c r="L22" s="20">
        <f>L23</f>
        <v/>
      </c>
      <c r="M22" s="20">
        <f>M23</f>
        <v/>
      </c>
      <c r="N22" s="20">
        <f>N23</f>
        <v/>
      </c>
      <c r="O22" s="20">
        <f>O23</f>
        <v/>
      </c>
      <c r="P22" s="21">
        <f>SUM(D22:O22)</f>
        <v/>
      </c>
      <c r="Q22" s="22" t="inlineStr">
        <is>
          <t>-&gt;</t>
        </is>
      </c>
    </row>
    <row r="23" hidden="1" outlineLevel="1" collapsed="1" ht="12" customHeight="1">
      <c r="A23" s="23" t="inlineStr">
        <is>
          <t xml:space="preserve">            REVER</t>
        </is>
      </c>
      <c r="B23" s="4" t="n"/>
      <c r="C23" s="4" t="inlineStr">
        <is>
          <t>REVER</t>
        </is>
      </c>
      <c r="D23" s="5">
        <f>SUMIFS('i-supplies-sl'!$E:$E,'i-supplies-sl'!$A:$A,D$1,'i-supplies-sl'!$C:$C,$C23)</f>
        <v/>
      </c>
      <c r="E23" s="5">
        <f>SUMIFS('i-supplies-sl'!$E:$E,'i-supplies-sl'!$A:$A,E$1,'i-supplies-sl'!$C:$C,$C23)</f>
        <v/>
      </c>
      <c r="F23" s="5">
        <f>SUMIFS('i-supplies-sl'!$E:$E,'i-supplies-sl'!$A:$A,F$1,'i-supplies-sl'!$C:$C,$C23)</f>
        <v/>
      </c>
      <c r="G23" s="5">
        <f>SUMIFS('i-supplies-sl'!$E:$E,'i-supplies-sl'!$A:$A,G$1,'i-supplies-sl'!$C:$C,$C23)</f>
        <v/>
      </c>
      <c r="H23" s="5">
        <f>SUMIFS('i-supplies-sl'!$E:$E,'i-supplies-sl'!$A:$A,H$1,'i-supplies-sl'!$C:$C,$C23)</f>
        <v/>
      </c>
      <c r="I23" s="5">
        <f>SUMIFS('i-supplies-sl'!$E:$E,'i-supplies-sl'!$A:$A,I$1,'i-supplies-sl'!$C:$C,$C23)</f>
        <v/>
      </c>
      <c r="J23" s="5">
        <f>SUMIFS('i-supplies-sl'!$E:$E,'i-supplies-sl'!$A:$A,J$1,'i-supplies-sl'!$C:$C,$C23)</f>
        <v/>
      </c>
      <c r="K23" s="5">
        <f>SUMIFS('i-supplies-sl'!$E:$E,'i-supplies-sl'!$A:$A,K$1,'i-supplies-sl'!$C:$C,$C23)</f>
        <v/>
      </c>
      <c r="L23" s="5">
        <f>SUMIFS('i-supplies-sl'!$E:$E,'i-supplies-sl'!$A:$A,L$1,'i-supplies-sl'!$C:$C,$C23)</f>
        <v/>
      </c>
      <c r="M23" s="5">
        <f>SUMIFS('i-supplies-sl'!$E:$E,'i-supplies-sl'!$A:$A,M$1,'i-supplies-sl'!$C:$C,$C23)</f>
        <v/>
      </c>
      <c r="N23" s="5">
        <f>SUMIFS('i-supplies-sl'!$E:$E,'i-supplies-sl'!$A:$A,N$1,'i-supplies-sl'!$C:$C,$C23)</f>
        <v/>
      </c>
      <c r="O23" s="5">
        <f>SUMIFS('i-supplies-sl'!$E:$E,'i-supplies-sl'!$A:$A,O$1,'i-supplies-sl'!$C:$C,$C23)</f>
        <v/>
      </c>
      <c r="P23" s="24">
        <f>SUM(D23:O23)</f>
        <v/>
      </c>
      <c r="Q23" s="25" t="inlineStr">
        <is>
          <t>-&gt;</t>
        </is>
      </c>
    </row>
    <row r="24" ht="12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24">
        <f>SUM(D24:O24)</f>
        <v/>
      </c>
      <c r="Q24" s="5" t="n"/>
    </row>
    <row r="25" ht="12" customHeight="1">
      <c r="A25" s="11" t="inlineStr">
        <is>
          <t xml:space="preserve">    Services</t>
        </is>
      </c>
      <c r="B25" s="12" t="inlineStr">
        <is>
          <t>Services</t>
        </is>
      </c>
      <c r="C25" s="13" t="n"/>
      <c r="D25" s="14">
        <f>SUM(D26:D29)</f>
        <v/>
      </c>
      <c r="E25" s="14">
        <f>SUM(E26:E29)</f>
        <v/>
      </c>
      <c r="F25" s="14">
        <f>SUM(F26:F29)</f>
        <v/>
      </c>
      <c r="G25" s="14">
        <f>SUM(G26:G29)</f>
        <v/>
      </c>
      <c r="H25" s="14">
        <f>SUM(H26:H29)</f>
        <v/>
      </c>
      <c r="I25" s="14">
        <f>SUM(I26:I29)</f>
        <v/>
      </c>
      <c r="J25" s="14">
        <f>SUM(J26:J29)</f>
        <v/>
      </c>
      <c r="K25" s="14">
        <f>SUM(K26:K29)</f>
        <v/>
      </c>
      <c r="L25" s="14">
        <f>SUM(L26:L29)</f>
        <v/>
      </c>
      <c r="M25" s="14">
        <f>SUM(M26:M29)</f>
        <v/>
      </c>
      <c r="N25" s="14">
        <f>SUM(N26:N29)</f>
        <v/>
      </c>
      <c r="O25" s="14">
        <f>SUM(O26:O29)</f>
        <v/>
      </c>
      <c r="P25" s="15">
        <f>SUM(D25:O25)</f>
        <v/>
      </c>
      <c r="Q25" s="26" t="inlineStr">
        <is>
          <t>-&gt;</t>
        </is>
      </c>
    </row>
    <row r="26" hidden="1" outlineLevel="1" ht="12" customHeight="1">
      <c r="A26" s="23" t="inlineStr">
        <is>
          <t xml:space="preserve">            HANNUN</t>
        </is>
      </c>
      <c r="B26" s="4" t="n"/>
      <c r="C26" s="4" t="inlineStr">
        <is>
          <t>HANNUN</t>
        </is>
      </c>
      <c r="D26" s="5">
        <f>SUMIFS('i-services-sl'!$E:$E,'i-services-sl'!$A:$A,D$1,'i-services-sl'!$C:$C,$C26)</f>
        <v/>
      </c>
      <c r="E26" s="5">
        <f>SUMIFS('i-services-sl'!$E:$E,'i-services-sl'!$A:$A,E$1,'i-services-sl'!$C:$C,$C26)</f>
        <v/>
      </c>
      <c r="F26" s="5">
        <f>SUMIFS('i-services-sl'!$E:$E,'i-services-sl'!$A:$A,F$1,'i-services-sl'!$C:$C,$C26)</f>
        <v/>
      </c>
      <c r="G26" s="5">
        <f>SUMIFS('i-services-sl'!$E:$E,'i-services-sl'!$A:$A,G$1,'i-services-sl'!$C:$C,$C26)</f>
        <v/>
      </c>
      <c r="H26" s="5">
        <f>SUMIFS('i-services-sl'!$E:$E,'i-services-sl'!$A:$A,H$1,'i-services-sl'!$C:$C,$C26)</f>
        <v/>
      </c>
      <c r="I26" s="5">
        <f>SUMIFS('i-services-sl'!$E:$E,'i-services-sl'!$A:$A,I$1,'i-services-sl'!$C:$C,$C26)</f>
        <v/>
      </c>
      <c r="J26" s="5">
        <f>SUMIFS('i-services-sl'!$E:$E,'i-services-sl'!$A:$A,J$1,'i-services-sl'!$C:$C,$C26)</f>
        <v/>
      </c>
      <c r="K26" s="5">
        <f>SUMIFS('i-services-sl'!$E:$E,'i-services-sl'!$A:$A,K$1,'i-services-sl'!$C:$C,$C26)</f>
        <v/>
      </c>
      <c r="L26" s="5">
        <f>SUMIFS('i-services-sl'!$E:$E,'i-services-sl'!$A:$A,L$1,'i-services-sl'!$C:$C,$C26)</f>
        <v/>
      </c>
      <c r="M26" s="5">
        <f>SUMIFS('i-services-sl'!$E:$E,'i-services-sl'!$A:$A,M$1,'i-services-sl'!$C:$C,$C26)</f>
        <v/>
      </c>
      <c r="N26" s="5">
        <f>SUMIFS('i-services-sl'!$E:$E,'i-services-sl'!$A:$A,N$1,'i-services-sl'!$C:$C,$C26)</f>
        <v/>
      </c>
      <c r="O26" s="5">
        <f>SUMIFS('i-services-sl'!$E:$E,'i-services-sl'!$A:$A,O$1,'i-services-sl'!$C:$C,$C26)</f>
        <v/>
      </c>
      <c r="P26" s="24">
        <f>SUM(D26:O26)</f>
        <v/>
      </c>
      <c r="Q26" s="25" t="inlineStr">
        <is>
          <t>-&gt;</t>
        </is>
      </c>
    </row>
    <row r="27" hidden="1" outlineLevel="1" ht="12" customHeight="1">
      <c r="A27" s="23" t="inlineStr">
        <is>
          <t xml:space="preserve">            QHANDS</t>
        </is>
      </c>
      <c r="B27" s="4" t="n"/>
      <c r="C27" s="4" t="inlineStr">
        <is>
          <t>QHANDS</t>
        </is>
      </c>
      <c r="D27" s="5">
        <f>SUMIFS('i-services-sl'!$E:$E,'i-services-sl'!$A:$A,D$1,'i-services-sl'!$C:$C,$C27)</f>
        <v/>
      </c>
      <c r="E27" s="5">
        <f>SUMIFS('i-services-sl'!$E:$E,'i-services-sl'!$A:$A,E$1,'i-services-sl'!$C:$C,$C27)</f>
        <v/>
      </c>
      <c r="F27" s="5">
        <f>SUMIFS('i-services-sl'!$E:$E,'i-services-sl'!$A:$A,F$1,'i-services-sl'!$C:$C,$C27)</f>
        <v/>
      </c>
      <c r="G27" s="5">
        <f>SUMIFS('i-services-sl'!$E:$E,'i-services-sl'!$A:$A,G$1,'i-services-sl'!$C:$C,$C27)</f>
        <v/>
      </c>
      <c r="H27" s="5">
        <f>SUMIFS('i-services-sl'!$E:$E,'i-services-sl'!$A:$A,H$1,'i-services-sl'!$C:$C,$C27)</f>
        <v/>
      </c>
      <c r="I27" s="5">
        <f>SUMIFS('i-services-sl'!$E:$E,'i-services-sl'!$A:$A,I$1,'i-services-sl'!$C:$C,$C27)</f>
        <v/>
      </c>
      <c r="J27" s="5">
        <f>SUMIFS('i-services-sl'!$E:$E,'i-services-sl'!$A:$A,J$1,'i-services-sl'!$C:$C,$C27)</f>
        <v/>
      </c>
      <c r="K27" s="5">
        <f>SUMIFS('i-services-sl'!$E:$E,'i-services-sl'!$A:$A,K$1,'i-services-sl'!$C:$C,$C27)</f>
        <v/>
      </c>
      <c r="L27" s="5">
        <f>SUMIFS('i-services-sl'!$E:$E,'i-services-sl'!$A:$A,L$1,'i-services-sl'!$C:$C,$C27)</f>
        <v/>
      </c>
      <c r="M27" s="5">
        <f>SUMIFS('i-services-sl'!$E:$E,'i-services-sl'!$A:$A,M$1,'i-services-sl'!$C:$C,$C27)</f>
        <v/>
      </c>
      <c r="N27" s="5">
        <f>SUMIFS('i-services-sl'!$E:$E,'i-services-sl'!$A:$A,N$1,'i-services-sl'!$C:$C,$C27)</f>
        <v/>
      </c>
      <c r="O27" s="5">
        <f>SUMIFS('i-services-sl'!$E:$E,'i-services-sl'!$A:$A,O$1,'i-services-sl'!$C:$C,$C27)</f>
        <v/>
      </c>
      <c r="P27" s="24">
        <f>SUM(D27:O27)</f>
        <v/>
      </c>
      <c r="Q27" s="25" t="inlineStr">
        <is>
          <t>-&gt;</t>
        </is>
      </c>
    </row>
    <row r="28" hidden="1" outlineLevel="1" ht="12" customHeight="1">
      <c r="A28" s="23" t="inlineStr">
        <is>
          <t xml:space="preserve">            Ltd</t>
        </is>
      </c>
      <c r="B28" s="4" t="n"/>
      <c r="C28" s="4" t="inlineStr">
        <is>
          <t>Ltd</t>
        </is>
      </c>
      <c r="D28" s="5">
        <f>SUMIFS('i-services-sl'!$E:$E,'i-services-sl'!$A:$A,D$1,'i-services-sl'!$C:$C,$C28)</f>
        <v/>
      </c>
      <c r="E28" s="5">
        <f>SUMIFS('i-services-sl'!$E:$E,'i-services-sl'!$A:$A,E$1,'i-services-sl'!$C:$C,$C28)</f>
        <v/>
      </c>
      <c r="F28" s="5">
        <f>SUMIFS('i-services-sl'!$E:$E,'i-services-sl'!$A:$A,F$1,'i-services-sl'!$C:$C,$C28)</f>
        <v/>
      </c>
      <c r="G28" s="5">
        <f>SUMIFS('i-services-sl'!$E:$E,'i-services-sl'!$A:$A,G$1,'i-services-sl'!$C:$C,$C28)</f>
        <v/>
      </c>
      <c r="H28" s="5">
        <f>SUMIFS('i-services-sl'!$E:$E,'i-services-sl'!$A:$A,H$1,'i-services-sl'!$C:$C,$C28)</f>
        <v/>
      </c>
      <c r="I28" s="5">
        <f>SUMIFS('i-services-sl'!$E:$E,'i-services-sl'!$A:$A,I$1,'i-services-sl'!$C:$C,$C28)</f>
        <v/>
      </c>
      <c r="J28" s="5">
        <f>SUMIFS('i-services-sl'!$E:$E,'i-services-sl'!$A:$A,J$1,'i-services-sl'!$C:$C,$C28)</f>
        <v/>
      </c>
      <c r="K28" s="5">
        <f>SUMIFS('i-services-sl'!$E:$E,'i-services-sl'!$A:$A,K$1,'i-services-sl'!$C:$C,$C28)</f>
        <v/>
      </c>
      <c r="L28" s="5">
        <f>SUMIFS('i-services-sl'!$E:$E,'i-services-sl'!$A:$A,L$1,'i-services-sl'!$C:$C,$C28)</f>
        <v/>
      </c>
      <c r="M28" s="5">
        <f>SUMIFS('i-services-sl'!$E:$E,'i-services-sl'!$A:$A,M$1,'i-services-sl'!$C:$C,$C28)</f>
        <v/>
      </c>
      <c r="N28" s="5">
        <f>SUMIFS('i-services-sl'!$E:$E,'i-services-sl'!$A:$A,N$1,'i-services-sl'!$C:$C,$C28)</f>
        <v/>
      </c>
      <c r="O28" s="5">
        <f>SUMIFS('i-services-sl'!$E:$E,'i-services-sl'!$A:$A,O$1,'i-services-sl'!$C:$C,$C28)</f>
        <v/>
      </c>
      <c r="P28" s="24">
        <f>SUM(D28:O28)</f>
        <v/>
      </c>
      <c r="Q28" s="25" t="inlineStr">
        <is>
          <t>-&gt;</t>
        </is>
      </c>
    </row>
    <row r="29" hidden="1" outlineLevel="1" collapsed="1" ht="12" customHeight="1">
      <c r="A29" s="23" t="inlineStr">
        <is>
          <t xml:space="preserve">            Inc</t>
        </is>
      </c>
      <c r="B29" s="4" t="n"/>
      <c r="C29" s="4" t="inlineStr">
        <is>
          <t>Inc</t>
        </is>
      </c>
      <c r="D29" s="5">
        <f>SUMIFS('i-services-sl'!$E:$E,'i-services-sl'!$A:$A,D$1,'i-services-sl'!$C:$C,$C29)</f>
        <v/>
      </c>
      <c r="E29" s="5">
        <f>SUMIFS('i-services-sl'!$E:$E,'i-services-sl'!$A:$A,E$1,'i-services-sl'!$C:$C,$C29)</f>
        <v/>
      </c>
      <c r="F29" s="5">
        <f>SUMIFS('i-services-sl'!$E:$E,'i-services-sl'!$A:$A,F$1,'i-services-sl'!$C:$C,$C29)</f>
        <v/>
      </c>
      <c r="G29" s="5">
        <f>SUMIFS('i-services-sl'!$E:$E,'i-services-sl'!$A:$A,G$1,'i-services-sl'!$C:$C,$C29)</f>
        <v/>
      </c>
      <c r="H29" s="5">
        <f>SUMIFS('i-services-sl'!$E:$E,'i-services-sl'!$A:$A,H$1,'i-services-sl'!$C:$C,$C29)</f>
        <v/>
      </c>
      <c r="I29" s="5">
        <f>SUMIFS('i-services-sl'!$E:$E,'i-services-sl'!$A:$A,I$1,'i-services-sl'!$C:$C,$C29)</f>
        <v/>
      </c>
      <c r="J29" s="5">
        <f>SUMIFS('i-services-sl'!$E:$E,'i-services-sl'!$A:$A,J$1,'i-services-sl'!$C:$C,$C29)</f>
        <v/>
      </c>
      <c r="K29" s="5">
        <f>SUMIFS('i-services-sl'!$E:$E,'i-services-sl'!$A:$A,K$1,'i-services-sl'!$C:$C,$C29)</f>
        <v/>
      </c>
      <c r="L29" s="5">
        <f>SUMIFS('i-services-sl'!$E:$E,'i-services-sl'!$A:$A,L$1,'i-services-sl'!$C:$C,$C29)</f>
        <v/>
      </c>
      <c r="M29" s="5">
        <f>SUMIFS('i-services-sl'!$E:$E,'i-services-sl'!$A:$A,M$1,'i-services-sl'!$C:$C,$C29)</f>
        <v/>
      </c>
      <c r="N29" s="5">
        <f>SUMIFS('i-services-sl'!$E:$E,'i-services-sl'!$A:$A,N$1,'i-services-sl'!$C:$C,$C29)</f>
        <v/>
      </c>
      <c r="O29" s="5">
        <f>SUMIFS('i-services-sl'!$E:$E,'i-services-sl'!$A:$A,O$1,'i-services-sl'!$C:$C,$C29)</f>
        <v/>
      </c>
      <c r="P29" s="24">
        <f>SUM(D29:O29)</f>
        <v/>
      </c>
      <c r="Q29" s="25" t="inlineStr">
        <is>
          <t>-&gt;</t>
        </is>
      </c>
    </row>
    <row r="30" ht="12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24">
        <f>SUM(D30:O30)</f>
        <v/>
      </c>
      <c r="Q30" s="5" t="n"/>
    </row>
    <row r="31" ht="12" customHeight="1">
      <c r="A31" s="6" t="inlineStr">
        <is>
          <t>Expenses</t>
        </is>
      </c>
      <c r="B31" s="7" t="n"/>
      <c r="C31" s="7" t="n"/>
      <c r="D31" s="8">
        <f>D32+D60</f>
        <v/>
      </c>
      <c r="E31" s="8">
        <f>E32+E60</f>
        <v/>
      </c>
      <c r="F31" s="8">
        <f>F32+F60</f>
        <v/>
      </c>
      <c r="G31" s="8">
        <f>G32+G60</f>
        <v/>
      </c>
      <c r="H31" s="8">
        <f>H32+H60</f>
        <v/>
      </c>
      <c r="I31" s="8">
        <f>I32+I60</f>
        <v/>
      </c>
      <c r="J31" s="8">
        <f>J32+J60</f>
        <v/>
      </c>
      <c r="K31" s="8">
        <f>K32+K60</f>
        <v/>
      </c>
      <c r="L31" s="8">
        <f>L32+L60</f>
        <v/>
      </c>
      <c r="M31" s="8">
        <f>M32+M60</f>
        <v/>
      </c>
      <c r="N31" s="8">
        <f>N32+N60</f>
        <v/>
      </c>
      <c r="O31" s="8">
        <f>O32+O60</f>
        <v/>
      </c>
      <c r="P31" s="9">
        <f>SUM(D31:O31)</f>
        <v/>
      </c>
      <c r="Q31" s="10" t="n"/>
    </row>
    <row r="32" ht="12" customHeight="1">
      <c r="A32" s="11" t="inlineStr">
        <is>
          <t xml:space="preserve">    COGS</t>
        </is>
      </c>
      <c r="B32" s="12" t="inlineStr">
        <is>
          <t>COGS</t>
        </is>
      </c>
      <c r="C32" s="13" t="n"/>
      <c r="D32" s="14">
        <f>D33+D40+D47+D50</f>
        <v/>
      </c>
      <c r="E32" s="14">
        <f>E33+E40+E47+E50</f>
        <v/>
      </c>
      <c r="F32" s="14">
        <f>F33+F40+F47+F50</f>
        <v/>
      </c>
      <c r="G32" s="14">
        <f>G33+G40+G47+G50</f>
        <v/>
      </c>
      <c r="H32" s="14">
        <f>H33+H40+H47+H50</f>
        <v/>
      </c>
      <c r="I32" s="14">
        <f>I33+I40+I47+I50</f>
        <v/>
      </c>
      <c r="J32" s="14">
        <f>J33+J40+J47+J50</f>
        <v/>
      </c>
      <c r="K32" s="14">
        <f>K33+K40+K47+K50</f>
        <v/>
      </c>
      <c r="L32" s="14">
        <f>L33+L40+L47+L50</f>
        <v/>
      </c>
      <c r="M32" s="14">
        <f>M33+M40+M47+M50</f>
        <v/>
      </c>
      <c r="N32" s="14">
        <f>N33+N40+N47+N50</f>
        <v/>
      </c>
      <c r="O32" s="14">
        <f>O33+O40+O47+O50</f>
        <v/>
      </c>
      <c r="P32" s="15">
        <f>SUM(D32:O32)</f>
        <v/>
      </c>
      <c r="Q32" s="16" t="n"/>
    </row>
    <row r="33" ht="12" customHeight="1">
      <c r="A33" s="17" t="inlineStr">
        <is>
          <t xml:space="preserve">        Manufacturing (% sales)</t>
        </is>
      </c>
      <c r="B33" s="18" t="n"/>
      <c r="C33" s="19" t="inlineStr">
        <is>
          <t>Manufacturing (% sales)</t>
        </is>
      </c>
      <c r="D33" s="20">
        <f>SUM(D34:D38)</f>
        <v/>
      </c>
      <c r="E33" s="20">
        <f>SUM(E34:E38)</f>
        <v/>
      </c>
      <c r="F33" s="20">
        <f>SUM(F34:F38)</f>
        <v/>
      </c>
      <c r="G33" s="20">
        <f>SUM(G34:G38)</f>
        <v/>
      </c>
      <c r="H33" s="20">
        <f>SUM(H34:H38)</f>
        <v/>
      </c>
      <c r="I33" s="20">
        <f>SUM(I34:I38)</f>
        <v/>
      </c>
      <c r="J33" s="20">
        <f>SUM(J34:J38)</f>
        <v/>
      </c>
      <c r="K33" s="20">
        <f>SUM(K34:K38)</f>
        <v/>
      </c>
      <c r="L33" s="20">
        <f>SUM(L34:L38)</f>
        <v/>
      </c>
      <c r="M33" s="20">
        <f>SUM(M34:M38)</f>
        <v/>
      </c>
      <c r="N33" s="20">
        <f>SUM(N34:N38)</f>
        <v/>
      </c>
      <c r="O33" s="20">
        <f>SUM(O34:O38)</f>
        <v/>
      </c>
      <c r="P33" s="21">
        <f>SUM(D33:O33)</f>
        <v/>
      </c>
      <c r="Q33" s="22" t="inlineStr">
        <is>
          <t>-&gt;</t>
        </is>
      </c>
    </row>
    <row r="34" hidden="1" outlineLevel="1" ht="12" customHeight="1">
      <c r="A34" s="23" t="inlineStr">
        <is>
          <t xml:space="preserve">            APPHOTOCAN</t>
        </is>
      </c>
      <c r="B34" s="4" t="n"/>
      <c r="C34" s="4" t="inlineStr">
        <is>
          <t>APPHOTOCAN</t>
        </is>
      </c>
      <c r="D34" s="5">
        <f>SUMIFS('g-expenses-sl'!$G:$G,'g-expenses-sl'!$A:$A,D$1,'g-expenses-sl'!$D:$D,"manufacturing",'g-expenses-sl'!$E:$E,$C34)</f>
        <v/>
      </c>
      <c r="E34" s="5">
        <f>SUMIFS('g-expenses-sl'!$G:$G,'g-expenses-sl'!$A:$A,E$1,'g-expenses-sl'!$D:$D,"manufacturing",'g-expenses-sl'!$E:$E,$C34)</f>
        <v/>
      </c>
      <c r="F34" s="5">
        <f>SUMIFS('g-expenses-sl'!$G:$G,'g-expenses-sl'!$A:$A,F$1,'g-expenses-sl'!$D:$D,"manufacturing",'g-expenses-sl'!$E:$E,$C34)</f>
        <v/>
      </c>
      <c r="G34" s="5">
        <f>SUMIFS('g-expenses-sl'!$G:$G,'g-expenses-sl'!$A:$A,G$1,'g-expenses-sl'!$D:$D,"manufacturing",'g-expenses-sl'!$E:$E,$C34)</f>
        <v/>
      </c>
      <c r="H34" s="5">
        <f>SUMIFS('g-expenses-sl'!$G:$G,'g-expenses-sl'!$A:$A,H$1,'g-expenses-sl'!$D:$D,"manufacturing",'g-expenses-sl'!$E:$E,$C34)</f>
        <v/>
      </c>
      <c r="I34" s="5">
        <f>SUMIFS('g-expenses-sl'!$G:$G,'g-expenses-sl'!$A:$A,I$1,'g-expenses-sl'!$D:$D,"manufacturing",'g-expenses-sl'!$E:$E,$C34)</f>
        <v/>
      </c>
      <c r="J34" s="5">
        <f>SUMIFS('g-expenses-sl'!$G:$G,'g-expenses-sl'!$A:$A,J$1,'g-expenses-sl'!$D:$D,"manufacturing",'g-expenses-sl'!$E:$E,$C34)</f>
        <v/>
      </c>
      <c r="K34" s="5">
        <f>SUMIFS('g-expenses-sl'!$G:$G,'g-expenses-sl'!$A:$A,K$1,'g-expenses-sl'!$D:$D,"manufacturing",'g-expenses-sl'!$E:$E,$C34)</f>
        <v/>
      </c>
      <c r="L34" s="5">
        <f>SUMIFS('g-expenses-sl'!$G:$G,'g-expenses-sl'!$A:$A,L$1,'g-expenses-sl'!$D:$D,"manufacturing",'g-expenses-sl'!$E:$E,$C34)</f>
        <v/>
      </c>
      <c r="M34" s="5">
        <f>SUMIFS('g-expenses-sl'!$G:$G,'g-expenses-sl'!$A:$A,M$1,'g-expenses-sl'!$D:$D,"manufacturing",'g-expenses-sl'!$E:$E,$C34)</f>
        <v/>
      </c>
      <c r="N34" s="5">
        <f>SUMIFS('g-expenses-sl'!$G:$G,'g-expenses-sl'!$A:$A,N$1,'g-expenses-sl'!$D:$D,"manufacturing",'g-expenses-sl'!$E:$E,$C34)</f>
        <v/>
      </c>
      <c r="O34" s="5">
        <f>SUMIFS('g-expenses-sl'!$G:$G,'g-expenses-sl'!$A:$A,O$1,'g-expenses-sl'!$D:$D,"manufacturing",'g-expenses-sl'!$E:$E,$C34)</f>
        <v/>
      </c>
      <c r="P34" s="24">
        <f>SUM(D34:O34)</f>
        <v/>
      </c>
      <c r="Q34" s="25" t="inlineStr">
        <is>
          <t>-&gt;</t>
        </is>
      </c>
    </row>
    <row r="35" hidden="1" outlineLevel="1" ht="12" customHeight="1">
      <c r="A35" s="23" t="inlineStr">
        <is>
          <t xml:space="preserve">            APPHOTOES</t>
        </is>
      </c>
      <c r="B35" s="4" t="n"/>
      <c r="C35" s="4" t="inlineStr">
        <is>
          <t>APPHOTOES</t>
        </is>
      </c>
      <c r="D35" s="5">
        <f>SUMIFS('g-expenses-sl'!$G:$G,'g-expenses-sl'!$A:$A,D$1,'g-expenses-sl'!$D:$D,"manufacturing",'g-expenses-sl'!$E:$E,$C35)</f>
        <v/>
      </c>
      <c r="E35" s="5">
        <f>SUMIFS('g-expenses-sl'!$G:$G,'g-expenses-sl'!$A:$A,E$1,'g-expenses-sl'!$D:$D,"manufacturing",'g-expenses-sl'!$E:$E,$C35)</f>
        <v/>
      </c>
      <c r="F35" s="5">
        <f>SUMIFS('g-expenses-sl'!$G:$G,'g-expenses-sl'!$A:$A,F$1,'g-expenses-sl'!$D:$D,"manufacturing",'g-expenses-sl'!$E:$E,$C35)</f>
        <v/>
      </c>
      <c r="G35" s="5">
        <f>SUMIFS('g-expenses-sl'!$G:$G,'g-expenses-sl'!$A:$A,G$1,'g-expenses-sl'!$D:$D,"manufacturing",'g-expenses-sl'!$E:$E,$C35)</f>
        <v/>
      </c>
      <c r="H35" s="5">
        <f>SUMIFS('g-expenses-sl'!$G:$G,'g-expenses-sl'!$A:$A,H$1,'g-expenses-sl'!$D:$D,"manufacturing",'g-expenses-sl'!$E:$E,$C35)</f>
        <v/>
      </c>
      <c r="I35" s="5">
        <f>SUMIFS('g-expenses-sl'!$G:$G,'g-expenses-sl'!$A:$A,I$1,'g-expenses-sl'!$D:$D,"manufacturing",'g-expenses-sl'!$E:$E,$C35)</f>
        <v/>
      </c>
      <c r="J35" s="5">
        <f>SUMIFS('g-expenses-sl'!$G:$G,'g-expenses-sl'!$A:$A,J$1,'g-expenses-sl'!$D:$D,"manufacturing",'g-expenses-sl'!$E:$E,$C35)</f>
        <v/>
      </c>
      <c r="K35" s="5">
        <f>SUMIFS('g-expenses-sl'!$G:$G,'g-expenses-sl'!$A:$A,K$1,'g-expenses-sl'!$D:$D,"manufacturing",'g-expenses-sl'!$E:$E,$C35)</f>
        <v/>
      </c>
      <c r="L35" s="5">
        <f>SUMIFS('g-expenses-sl'!$G:$G,'g-expenses-sl'!$A:$A,L$1,'g-expenses-sl'!$D:$D,"manufacturing",'g-expenses-sl'!$E:$E,$C35)</f>
        <v/>
      </c>
      <c r="M35" s="5">
        <f>SUMIFS('g-expenses-sl'!$G:$G,'g-expenses-sl'!$A:$A,M$1,'g-expenses-sl'!$D:$D,"manufacturing",'g-expenses-sl'!$E:$E,$C35)</f>
        <v/>
      </c>
      <c r="N35" s="5">
        <f>SUMIFS('g-expenses-sl'!$G:$G,'g-expenses-sl'!$A:$A,N$1,'g-expenses-sl'!$D:$D,"manufacturing",'g-expenses-sl'!$E:$E,$C35)</f>
        <v/>
      </c>
      <c r="O35" s="5">
        <f>SUMIFS('g-expenses-sl'!$G:$G,'g-expenses-sl'!$A:$A,O$1,'g-expenses-sl'!$D:$D,"manufacturing",'g-expenses-sl'!$E:$E,$C35)</f>
        <v/>
      </c>
      <c r="P35" s="24">
        <f>SUM(D35:O35)</f>
        <v/>
      </c>
      <c r="Q35" s="25" t="inlineStr">
        <is>
          <t>-&gt;</t>
        </is>
      </c>
    </row>
    <row r="36" hidden="1" outlineLevel="1" ht="12" customHeight="1">
      <c r="A36" s="23" t="inlineStr">
        <is>
          <t xml:space="preserve">            ARTLINK</t>
        </is>
      </c>
      <c r="B36" s="4" t="n"/>
      <c r="C36" s="4" t="inlineStr">
        <is>
          <t>ARTLINK</t>
        </is>
      </c>
      <c r="D36" s="5">
        <f>SUMIFS('g-expenses-sl'!$G:$G,'g-expenses-sl'!$A:$A,D$1,'g-expenses-sl'!$D:$D,"manufacturing",'g-expenses-sl'!$E:$E,$C36)</f>
        <v/>
      </c>
      <c r="E36" s="5">
        <f>SUMIFS('g-expenses-sl'!$G:$G,'g-expenses-sl'!$A:$A,E$1,'g-expenses-sl'!$D:$D,"manufacturing",'g-expenses-sl'!$E:$E,$C36)</f>
        <v/>
      </c>
      <c r="F36" s="5">
        <f>SUMIFS('g-expenses-sl'!$G:$G,'g-expenses-sl'!$A:$A,F$1,'g-expenses-sl'!$D:$D,"manufacturing",'g-expenses-sl'!$E:$E,$C36)</f>
        <v/>
      </c>
      <c r="G36" s="5">
        <f>SUMIFS('g-expenses-sl'!$G:$G,'g-expenses-sl'!$A:$A,G$1,'g-expenses-sl'!$D:$D,"manufacturing",'g-expenses-sl'!$E:$E,$C36)</f>
        <v/>
      </c>
      <c r="H36" s="5">
        <f>SUMIFS('g-expenses-sl'!$G:$G,'g-expenses-sl'!$A:$A,H$1,'g-expenses-sl'!$D:$D,"manufacturing",'g-expenses-sl'!$E:$E,$C36)</f>
        <v/>
      </c>
      <c r="I36" s="5">
        <f>SUMIFS('g-expenses-sl'!$G:$G,'g-expenses-sl'!$A:$A,I$1,'g-expenses-sl'!$D:$D,"manufacturing",'g-expenses-sl'!$E:$E,$C36)</f>
        <v/>
      </c>
      <c r="J36" s="5">
        <f>SUMIFS('g-expenses-sl'!$G:$G,'g-expenses-sl'!$A:$A,J$1,'g-expenses-sl'!$D:$D,"manufacturing",'g-expenses-sl'!$E:$E,$C36)</f>
        <v/>
      </c>
      <c r="K36" s="5">
        <f>SUMIFS('g-expenses-sl'!$G:$G,'g-expenses-sl'!$A:$A,K$1,'g-expenses-sl'!$D:$D,"manufacturing",'g-expenses-sl'!$E:$E,$C36)</f>
        <v/>
      </c>
      <c r="L36" s="5">
        <f>SUMIFS('g-expenses-sl'!$G:$G,'g-expenses-sl'!$A:$A,L$1,'g-expenses-sl'!$D:$D,"manufacturing",'g-expenses-sl'!$E:$E,$C36)</f>
        <v/>
      </c>
      <c r="M36" s="5">
        <f>SUMIFS('g-expenses-sl'!$G:$G,'g-expenses-sl'!$A:$A,M$1,'g-expenses-sl'!$D:$D,"manufacturing",'g-expenses-sl'!$E:$E,$C36)</f>
        <v/>
      </c>
      <c r="N36" s="5">
        <f>SUMIFS('g-expenses-sl'!$G:$G,'g-expenses-sl'!$A:$A,N$1,'g-expenses-sl'!$D:$D,"manufacturing",'g-expenses-sl'!$E:$E,$C36)</f>
        <v/>
      </c>
      <c r="O36" s="5">
        <f>SUMIFS('g-expenses-sl'!$G:$G,'g-expenses-sl'!$A:$A,O$1,'g-expenses-sl'!$D:$D,"manufacturing",'g-expenses-sl'!$E:$E,$C36)</f>
        <v/>
      </c>
      <c r="P36" s="24">
        <f>SUM(D36:O36)</f>
        <v/>
      </c>
      <c r="Q36" s="25" t="inlineStr">
        <is>
          <t>-&gt;</t>
        </is>
      </c>
    </row>
    <row r="37" hidden="1" outlineLevel="1" ht="12" customHeight="1">
      <c r="A37" s="23" t="inlineStr">
        <is>
          <t xml:space="preserve">            DCT</t>
        </is>
      </c>
      <c r="B37" s="4" t="n"/>
      <c r="C37" s="4" t="inlineStr">
        <is>
          <t>DCT</t>
        </is>
      </c>
      <c r="D37" s="5">
        <f>SUMIFS('g-expenses-sl'!$G:$G,'g-expenses-sl'!$A:$A,D$1,'g-expenses-sl'!$D:$D,"manufacturing",'g-expenses-sl'!$E:$E,$C37)</f>
        <v/>
      </c>
      <c r="E37" s="5">
        <f>SUMIFS('g-expenses-sl'!$G:$G,'g-expenses-sl'!$A:$A,E$1,'g-expenses-sl'!$D:$D,"manufacturing",'g-expenses-sl'!$E:$E,$C37)</f>
        <v/>
      </c>
      <c r="F37" s="5">
        <f>SUMIFS('g-expenses-sl'!$G:$G,'g-expenses-sl'!$A:$A,F$1,'g-expenses-sl'!$D:$D,"manufacturing",'g-expenses-sl'!$E:$E,$C37)</f>
        <v/>
      </c>
      <c r="G37" s="5">
        <f>SUMIFS('g-expenses-sl'!$G:$G,'g-expenses-sl'!$A:$A,G$1,'g-expenses-sl'!$D:$D,"manufacturing",'g-expenses-sl'!$E:$E,$C37)</f>
        <v/>
      </c>
      <c r="H37" s="5">
        <f>SUMIFS('g-expenses-sl'!$G:$G,'g-expenses-sl'!$A:$A,H$1,'g-expenses-sl'!$D:$D,"manufacturing",'g-expenses-sl'!$E:$E,$C37)</f>
        <v/>
      </c>
      <c r="I37" s="5">
        <f>SUMIFS('g-expenses-sl'!$G:$G,'g-expenses-sl'!$A:$A,I$1,'g-expenses-sl'!$D:$D,"manufacturing",'g-expenses-sl'!$E:$E,$C37)</f>
        <v/>
      </c>
      <c r="J37" s="5">
        <f>SUMIFS('g-expenses-sl'!$G:$G,'g-expenses-sl'!$A:$A,J$1,'g-expenses-sl'!$D:$D,"manufacturing",'g-expenses-sl'!$E:$E,$C37)</f>
        <v/>
      </c>
      <c r="K37" s="5">
        <f>SUMIFS('g-expenses-sl'!$G:$G,'g-expenses-sl'!$A:$A,K$1,'g-expenses-sl'!$D:$D,"manufacturing",'g-expenses-sl'!$E:$E,$C37)</f>
        <v/>
      </c>
      <c r="L37" s="5">
        <f>SUMIFS('g-expenses-sl'!$G:$G,'g-expenses-sl'!$A:$A,L$1,'g-expenses-sl'!$D:$D,"manufacturing",'g-expenses-sl'!$E:$E,$C37)</f>
        <v/>
      </c>
      <c r="M37" s="5">
        <f>SUMIFS('g-expenses-sl'!$G:$G,'g-expenses-sl'!$A:$A,M$1,'g-expenses-sl'!$D:$D,"manufacturing",'g-expenses-sl'!$E:$E,$C37)</f>
        <v/>
      </c>
      <c r="N37" s="5">
        <f>SUMIFS('g-expenses-sl'!$G:$G,'g-expenses-sl'!$A:$A,N$1,'g-expenses-sl'!$D:$D,"manufacturing",'g-expenses-sl'!$E:$E,$C37)</f>
        <v/>
      </c>
      <c r="O37" s="5">
        <f>SUMIFS('g-expenses-sl'!$G:$G,'g-expenses-sl'!$A:$A,O$1,'g-expenses-sl'!$D:$D,"manufacturing",'g-expenses-sl'!$E:$E,$C37)</f>
        <v/>
      </c>
      <c r="P37" s="24">
        <f>SUM(D37:O37)</f>
        <v/>
      </c>
      <c r="Q37" s="25" t="inlineStr">
        <is>
          <t>-&gt;</t>
        </is>
      </c>
    </row>
    <row r="38" hidden="1" outlineLevel="1" collapsed="1" ht="12" customHeight="1">
      <c r="A38" s="23" t="inlineStr">
        <is>
          <t xml:space="preserve">            PRESSING</t>
        </is>
      </c>
      <c r="B38" s="4" t="n"/>
      <c r="C38" s="4" t="inlineStr">
        <is>
          <t>PRESSING</t>
        </is>
      </c>
      <c r="D38" s="5">
        <f>SUMIFS('g-expenses-sl'!$G:$G,'g-expenses-sl'!$A:$A,D$1,'g-expenses-sl'!$D:$D,"manufacturing",'g-expenses-sl'!$E:$E,$C38)</f>
        <v/>
      </c>
      <c r="E38" s="5">
        <f>SUMIFS('g-expenses-sl'!$G:$G,'g-expenses-sl'!$A:$A,E$1,'g-expenses-sl'!$D:$D,"manufacturing",'g-expenses-sl'!$E:$E,$C38)</f>
        <v/>
      </c>
      <c r="F38" s="5">
        <f>SUMIFS('g-expenses-sl'!$G:$G,'g-expenses-sl'!$A:$A,F$1,'g-expenses-sl'!$D:$D,"manufacturing",'g-expenses-sl'!$E:$E,$C38)</f>
        <v/>
      </c>
      <c r="G38" s="5">
        <f>SUMIFS('g-expenses-sl'!$G:$G,'g-expenses-sl'!$A:$A,G$1,'g-expenses-sl'!$D:$D,"manufacturing",'g-expenses-sl'!$E:$E,$C38)</f>
        <v/>
      </c>
      <c r="H38" s="5">
        <f>SUMIFS('g-expenses-sl'!$G:$G,'g-expenses-sl'!$A:$A,H$1,'g-expenses-sl'!$D:$D,"manufacturing",'g-expenses-sl'!$E:$E,$C38)</f>
        <v/>
      </c>
      <c r="I38" s="5">
        <f>SUMIFS('g-expenses-sl'!$G:$G,'g-expenses-sl'!$A:$A,I$1,'g-expenses-sl'!$D:$D,"manufacturing",'g-expenses-sl'!$E:$E,$C38)</f>
        <v/>
      </c>
      <c r="J38" s="5">
        <f>SUMIFS('g-expenses-sl'!$G:$G,'g-expenses-sl'!$A:$A,J$1,'g-expenses-sl'!$D:$D,"manufacturing",'g-expenses-sl'!$E:$E,$C38)</f>
        <v/>
      </c>
      <c r="K38" s="5">
        <f>SUMIFS('g-expenses-sl'!$G:$G,'g-expenses-sl'!$A:$A,K$1,'g-expenses-sl'!$D:$D,"manufacturing",'g-expenses-sl'!$E:$E,$C38)</f>
        <v/>
      </c>
      <c r="L38" s="5">
        <f>SUMIFS('g-expenses-sl'!$G:$G,'g-expenses-sl'!$A:$A,L$1,'g-expenses-sl'!$D:$D,"manufacturing",'g-expenses-sl'!$E:$E,$C38)</f>
        <v/>
      </c>
      <c r="M38" s="5">
        <f>SUMIFS('g-expenses-sl'!$G:$G,'g-expenses-sl'!$A:$A,M$1,'g-expenses-sl'!$D:$D,"manufacturing",'g-expenses-sl'!$E:$E,$C38)</f>
        <v/>
      </c>
      <c r="N38" s="5">
        <f>SUMIFS('g-expenses-sl'!$G:$G,'g-expenses-sl'!$A:$A,N$1,'g-expenses-sl'!$D:$D,"manufacturing",'g-expenses-sl'!$E:$E,$C38)</f>
        <v/>
      </c>
      <c r="O38" s="5">
        <f>SUMIFS('g-expenses-sl'!$G:$G,'g-expenses-sl'!$A:$A,O$1,'g-expenses-sl'!$D:$D,"manufacturing",'g-expenses-sl'!$E:$E,$C38)</f>
        <v/>
      </c>
      <c r="P38" s="24">
        <f>SUM(D38:O38)</f>
        <v/>
      </c>
      <c r="Q38" s="25" t="inlineStr">
        <is>
          <t>-&gt;</t>
        </is>
      </c>
    </row>
    <row r="39" ht="12" customHeight="1">
      <c r="A39" s="27" t="inlineStr">
        <is>
          <t xml:space="preserve">        % Manufacturing / sales</t>
        </is>
      </c>
      <c r="B39" s="28" t="n"/>
      <c r="C39" s="29" t="inlineStr">
        <is>
          <t>% Manufacturing / sales</t>
        </is>
      </c>
      <c r="D39" s="30">
        <f>IFERROR(D33/D5,0)</f>
        <v/>
      </c>
      <c r="E39" s="30">
        <f>IFERROR(E33/E5,0)</f>
        <v/>
      </c>
      <c r="F39" s="30">
        <f>IFERROR(F33/F5,0)</f>
        <v/>
      </c>
      <c r="G39" s="30">
        <f>IFERROR(G33/G5,0)</f>
        <v/>
      </c>
      <c r="H39" s="30">
        <f>IFERROR(H33/H5,0)</f>
        <v/>
      </c>
      <c r="I39" s="30">
        <f>IFERROR(I33/I5,0)</f>
        <v/>
      </c>
      <c r="J39" s="30">
        <f>IFERROR(J33/J5,0)</f>
        <v/>
      </c>
      <c r="K39" s="30">
        <f>IFERROR(K33/K5,0)</f>
        <v/>
      </c>
      <c r="L39" s="30">
        <f>IFERROR(L33/L5,0)</f>
        <v/>
      </c>
      <c r="M39" s="30">
        <f>IFERROR(M33/M5,0)</f>
        <v/>
      </c>
      <c r="N39" s="30">
        <f>IFERROR(N33/N5,0)</f>
        <v/>
      </c>
      <c r="O39" s="30">
        <f>IFERROR(O33/O5,0)</f>
        <v/>
      </c>
      <c r="P39" s="31">
        <f>SUM(D39:O39)</f>
        <v/>
      </c>
      <c r="Q39" s="30" t="n"/>
    </row>
    <row r="40" ht="12" customHeight="1">
      <c r="A40" s="17" t="inlineStr">
        <is>
          <t xml:space="preserve">        Logistics (% sales)</t>
        </is>
      </c>
      <c r="B40" s="18" t="n"/>
      <c r="C40" s="19" t="inlineStr">
        <is>
          <t>Logistics (% sales)</t>
        </is>
      </c>
      <c r="D40" s="20">
        <f>SUM(D41:D45)</f>
        <v/>
      </c>
      <c r="E40" s="20">
        <f>SUM(E41:E45)</f>
        <v/>
      </c>
      <c r="F40" s="20">
        <f>SUM(F41:F45)</f>
        <v/>
      </c>
      <c r="G40" s="20">
        <f>SUM(G41:G45)</f>
        <v/>
      </c>
      <c r="H40" s="20">
        <f>SUM(H41:H45)</f>
        <v/>
      </c>
      <c r="I40" s="20">
        <f>SUM(I41:I45)</f>
        <v/>
      </c>
      <c r="J40" s="20">
        <f>SUM(J41:J45)</f>
        <v/>
      </c>
      <c r="K40" s="20">
        <f>SUM(K41:K45)</f>
        <v/>
      </c>
      <c r="L40" s="20">
        <f>SUM(L41:L45)</f>
        <v/>
      </c>
      <c r="M40" s="20">
        <f>SUM(M41:M45)</f>
        <v/>
      </c>
      <c r="N40" s="20">
        <f>SUM(N41:N45)</f>
        <v/>
      </c>
      <c r="O40" s="20">
        <f>SUM(O41:O45)</f>
        <v/>
      </c>
      <c r="P40" s="21">
        <f>SUM(D40:O40)</f>
        <v/>
      </c>
      <c r="Q40" s="22" t="inlineStr">
        <is>
          <t>-&gt;</t>
        </is>
      </c>
    </row>
    <row r="41" hidden="1" outlineLevel="1" ht="12" customHeight="1">
      <c r="A41" s="23" t="inlineStr">
        <is>
          <t xml:space="preserve">            CORREOS</t>
        </is>
      </c>
      <c r="B41" s="4" t="n"/>
      <c r="C41" s="4" t="inlineStr">
        <is>
          <t>CORREOS</t>
        </is>
      </c>
      <c r="D41" s="5">
        <f>SUMIFS('g-expenses-sl'!$G:$G,'g-expenses-sl'!$A:$A,D$1,'g-expenses-sl'!$D:$D,"logistics",'g-expenses-sl'!$E:$E,$C41)</f>
        <v/>
      </c>
      <c r="E41" s="5">
        <f>SUMIFS('g-expenses-sl'!$G:$G,'g-expenses-sl'!$A:$A,E$1,'g-expenses-sl'!$D:$D,"logistics",'g-expenses-sl'!$E:$E,$C41)</f>
        <v/>
      </c>
      <c r="F41" s="5">
        <f>SUMIFS('g-expenses-sl'!$G:$G,'g-expenses-sl'!$A:$A,F$1,'g-expenses-sl'!$D:$D,"logistics",'g-expenses-sl'!$E:$E,$C41)</f>
        <v/>
      </c>
      <c r="G41" s="5">
        <f>SUMIFS('g-expenses-sl'!$G:$G,'g-expenses-sl'!$A:$A,G$1,'g-expenses-sl'!$D:$D,"logistics",'g-expenses-sl'!$E:$E,$C41)</f>
        <v/>
      </c>
      <c r="H41" s="5">
        <f>SUMIFS('g-expenses-sl'!$G:$G,'g-expenses-sl'!$A:$A,H$1,'g-expenses-sl'!$D:$D,"logistics",'g-expenses-sl'!$E:$E,$C41)</f>
        <v/>
      </c>
      <c r="I41" s="5">
        <f>SUMIFS('g-expenses-sl'!$G:$G,'g-expenses-sl'!$A:$A,I$1,'g-expenses-sl'!$D:$D,"logistics",'g-expenses-sl'!$E:$E,$C41)</f>
        <v/>
      </c>
      <c r="J41" s="5">
        <f>SUMIFS('g-expenses-sl'!$G:$G,'g-expenses-sl'!$A:$A,J$1,'g-expenses-sl'!$D:$D,"logistics",'g-expenses-sl'!$E:$E,$C41)</f>
        <v/>
      </c>
      <c r="K41" s="5">
        <f>SUMIFS('g-expenses-sl'!$G:$G,'g-expenses-sl'!$A:$A,K$1,'g-expenses-sl'!$D:$D,"logistics",'g-expenses-sl'!$E:$E,$C41)</f>
        <v/>
      </c>
      <c r="L41" s="5">
        <f>SUMIFS('g-expenses-sl'!$G:$G,'g-expenses-sl'!$A:$A,L$1,'g-expenses-sl'!$D:$D,"logistics",'g-expenses-sl'!$E:$E,$C41)</f>
        <v/>
      </c>
      <c r="M41" s="5">
        <f>SUMIFS('g-expenses-sl'!$G:$G,'g-expenses-sl'!$A:$A,M$1,'g-expenses-sl'!$D:$D,"logistics",'g-expenses-sl'!$E:$E,$C41)</f>
        <v/>
      </c>
      <c r="N41" s="5">
        <f>SUMIFS('g-expenses-sl'!$G:$G,'g-expenses-sl'!$A:$A,N$1,'g-expenses-sl'!$D:$D,"logistics",'g-expenses-sl'!$E:$E,$C41)</f>
        <v/>
      </c>
      <c r="O41" s="5">
        <f>SUMIFS('g-expenses-sl'!$G:$G,'g-expenses-sl'!$A:$A,O$1,'g-expenses-sl'!$D:$D,"logistics",'g-expenses-sl'!$E:$E,$C41)</f>
        <v/>
      </c>
      <c r="P41" s="24">
        <f>SUM(D41:O41)</f>
        <v/>
      </c>
      <c r="Q41" s="25" t="inlineStr">
        <is>
          <t>-&gt;</t>
        </is>
      </c>
    </row>
    <row r="42" hidden="1" outlineLevel="1" ht="12" customHeight="1">
      <c r="A42" s="23" t="inlineStr">
        <is>
          <t xml:space="preserve">            CORREOSCAN</t>
        </is>
      </c>
      <c r="B42" s="4" t="n"/>
      <c r="C42" s="4" t="inlineStr">
        <is>
          <t>CORREOSCAN</t>
        </is>
      </c>
      <c r="D42" s="5">
        <f>SUMIFS('g-expenses-sl'!$G:$G,'g-expenses-sl'!$A:$A,D$1,'g-expenses-sl'!$D:$D,"logistics",'g-expenses-sl'!$E:$E,$C42)</f>
        <v/>
      </c>
      <c r="E42" s="5">
        <f>SUMIFS('g-expenses-sl'!$G:$G,'g-expenses-sl'!$A:$A,E$1,'g-expenses-sl'!$D:$D,"logistics",'g-expenses-sl'!$E:$E,$C42)</f>
        <v/>
      </c>
      <c r="F42" s="5">
        <f>SUMIFS('g-expenses-sl'!$G:$G,'g-expenses-sl'!$A:$A,F$1,'g-expenses-sl'!$D:$D,"logistics",'g-expenses-sl'!$E:$E,$C42)</f>
        <v/>
      </c>
      <c r="G42" s="5">
        <f>SUMIFS('g-expenses-sl'!$G:$G,'g-expenses-sl'!$A:$A,G$1,'g-expenses-sl'!$D:$D,"logistics",'g-expenses-sl'!$E:$E,$C42)</f>
        <v/>
      </c>
      <c r="H42" s="5">
        <f>SUMIFS('g-expenses-sl'!$G:$G,'g-expenses-sl'!$A:$A,H$1,'g-expenses-sl'!$D:$D,"logistics",'g-expenses-sl'!$E:$E,$C42)</f>
        <v/>
      </c>
      <c r="I42" s="5">
        <f>SUMIFS('g-expenses-sl'!$G:$G,'g-expenses-sl'!$A:$A,I$1,'g-expenses-sl'!$D:$D,"logistics",'g-expenses-sl'!$E:$E,$C42)</f>
        <v/>
      </c>
      <c r="J42" s="5">
        <f>SUMIFS('g-expenses-sl'!$G:$G,'g-expenses-sl'!$A:$A,J$1,'g-expenses-sl'!$D:$D,"logistics",'g-expenses-sl'!$E:$E,$C42)</f>
        <v/>
      </c>
      <c r="K42" s="5">
        <f>SUMIFS('g-expenses-sl'!$G:$G,'g-expenses-sl'!$A:$A,K$1,'g-expenses-sl'!$D:$D,"logistics",'g-expenses-sl'!$E:$E,$C42)</f>
        <v/>
      </c>
      <c r="L42" s="5">
        <f>SUMIFS('g-expenses-sl'!$G:$G,'g-expenses-sl'!$A:$A,L$1,'g-expenses-sl'!$D:$D,"logistics",'g-expenses-sl'!$E:$E,$C42)</f>
        <v/>
      </c>
      <c r="M42" s="5">
        <f>SUMIFS('g-expenses-sl'!$G:$G,'g-expenses-sl'!$A:$A,M$1,'g-expenses-sl'!$D:$D,"logistics",'g-expenses-sl'!$E:$E,$C42)</f>
        <v/>
      </c>
      <c r="N42" s="5">
        <f>SUMIFS('g-expenses-sl'!$G:$G,'g-expenses-sl'!$A:$A,N$1,'g-expenses-sl'!$D:$D,"logistics",'g-expenses-sl'!$E:$E,$C42)</f>
        <v/>
      </c>
      <c r="O42" s="5">
        <f>SUMIFS('g-expenses-sl'!$G:$G,'g-expenses-sl'!$A:$A,O$1,'g-expenses-sl'!$D:$D,"logistics",'g-expenses-sl'!$E:$E,$C42)</f>
        <v/>
      </c>
      <c r="P42" s="24">
        <f>SUM(D42:O42)</f>
        <v/>
      </c>
      <c r="Q42" s="25" t="inlineStr">
        <is>
          <t>-&gt;</t>
        </is>
      </c>
    </row>
    <row r="43" hidden="1" outlineLevel="1" ht="12" customHeight="1">
      <c r="A43" s="23" t="inlineStr">
        <is>
          <t xml:space="preserve">            GLS</t>
        </is>
      </c>
      <c r="B43" s="4" t="n"/>
      <c r="C43" s="4" t="inlineStr">
        <is>
          <t>GLS</t>
        </is>
      </c>
      <c r="D43" s="5">
        <f>SUMIFS('g-expenses-sl'!$G:$G,'g-expenses-sl'!$A:$A,D$1,'g-expenses-sl'!$D:$D,"logistics",'g-expenses-sl'!$E:$E,$C43)</f>
        <v/>
      </c>
      <c r="E43" s="5">
        <f>SUMIFS('g-expenses-sl'!$G:$G,'g-expenses-sl'!$A:$A,E$1,'g-expenses-sl'!$D:$D,"logistics",'g-expenses-sl'!$E:$E,$C43)</f>
        <v/>
      </c>
      <c r="F43" s="5">
        <f>SUMIFS('g-expenses-sl'!$G:$G,'g-expenses-sl'!$A:$A,F$1,'g-expenses-sl'!$D:$D,"logistics",'g-expenses-sl'!$E:$E,$C43)</f>
        <v/>
      </c>
      <c r="G43" s="5">
        <f>SUMIFS('g-expenses-sl'!$G:$G,'g-expenses-sl'!$A:$A,G$1,'g-expenses-sl'!$D:$D,"logistics",'g-expenses-sl'!$E:$E,$C43)</f>
        <v/>
      </c>
      <c r="H43" s="5">
        <f>SUMIFS('g-expenses-sl'!$G:$G,'g-expenses-sl'!$A:$A,H$1,'g-expenses-sl'!$D:$D,"logistics",'g-expenses-sl'!$E:$E,$C43)</f>
        <v/>
      </c>
      <c r="I43" s="5">
        <f>SUMIFS('g-expenses-sl'!$G:$G,'g-expenses-sl'!$A:$A,I$1,'g-expenses-sl'!$D:$D,"logistics",'g-expenses-sl'!$E:$E,$C43)</f>
        <v/>
      </c>
      <c r="J43" s="5">
        <f>SUMIFS('g-expenses-sl'!$G:$G,'g-expenses-sl'!$A:$A,J$1,'g-expenses-sl'!$D:$D,"logistics",'g-expenses-sl'!$E:$E,$C43)</f>
        <v/>
      </c>
      <c r="K43" s="5">
        <f>SUMIFS('g-expenses-sl'!$G:$G,'g-expenses-sl'!$A:$A,K$1,'g-expenses-sl'!$D:$D,"logistics",'g-expenses-sl'!$E:$E,$C43)</f>
        <v/>
      </c>
      <c r="L43" s="5">
        <f>SUMIFS('g-expenses-sl'!$G:$G,'g-expenses-sl'!$A:$A,L$1,'g-expenses-sl'!$D:$D,"logistics",'g-expenses-sl'!$E:$E,$C43)</f>
        <v/>
      </c>
      <c r="M43" s="5">
        <f>SUMIFS('g-expenses-sl'!$G:$G,'g-expenses-sl'!$A:$A,M$1,'g-expenses-sl'!$D:$D,"logistics",'g-expenses-sl'!$E:$E,$C43)</f>
        <v/>
      </c>
      <c r="N43" s="5">
        <f>SUMIFS('g-expenses-sl'!$G:$G,'g-expenses-sl'!$A:$A,N$1,'g-expenses-sl'!$D:$D,"logistics",'g-expenses-sl'!$E:$E,$C43)</f>
        <v/>
      </c>
      <c r="O43" s="5">
        <f>SUMIFS('g-expenses-sl'!$G:$G,'g-expenses-sl'!$A:$A,O$1,'g-expenses-sl'!$D:$D,"logistics",'g-expenses-sl'!$E:$E,$C43)</f>
        <v/>
      </c>
      <c r="P43" s="24">
        <f>SUM(D43:O43)</f>
        <v/>
      </c>
      <c r="Q43" s="25" t="inlineStr">
        <is>
          <t>-&gt;</t>
        </is>
      </c>
    </row>
    <row r="44" hidden="1" outlineLevel="1" ht="12" customHeight="1">
      <c r="A44" s="23" t="inlineStr">
        <is>
          <t xml:space="preserve">            SPRINGGDS</t>
        </is>
      </c>
      <c r="B44" s="4" t="n"/>
      <c r="C44" s="4" t="inlineStr">
        <is>
          <t>SPRINGGDS</t>
        </is>
      </c>
      <c r="D44" s="5">
        <f>SUMIFS('g-expenses-sl'!$G:$G,'g-expenses-sl'!$A:$A,D$1,'g-expenses-sl'!$D:$D,"logistics",'g-expenses-sl'!$E:$E,$C44)</f>
        <v/>
      </c>
      <c r="E44" s="5">
        <f>SUMIFS('g-expenses-sl'!$G:$G,'g-expenses-sl'!$A:$A,E$1,'g-expenses-sl'!$D:$D,"logistics",'g-expenses-sl'!$E:$E,$C44)</f>
        <v/>
      </c>
      <c r="F44" s="5">
        <f>SUMIFS('g-expenses-sl'!$G:$G,'g-expenses-sl'!$A:$A,F$1,'g-expenses-sl'!$D:$D,"logistics",'g-expenses-sl'!$E:$E,$C44)</f>
        <v/>
      </c>
      <c r="G44" s="5">
        <f>SUMIFS('g-expenses-sl'!$G:$G,'g-expenses-sl'!$A:$A,G$1,'g-expenses-sl'!$D:$D,"logistics",'g-expenses-sl'!$E:$E,$C44)</f>
        <v/>
      </c>
      <c r="H44" s="5">
        <f>SUMIFS('g-expenses-sl'!$G:$G,'g-expenses-sl'!$A:$A,H$1,'g-expenses-sl'!$D:$D,"logistics",'g-expenses-sl'!$E:$E,$C44)</f>
        <v/>
      </c>
      <c r="I44" s="5">
        <f>SUMIFS('g-expenses-sl'!$G:$G,'g-expenses-sl'!$A:$A,I$1,'g-expenses-sl'!$D:$D,"logistics",'g-expenses-sl'!$E:$E,$C44)</f>
        <v/>
      </c>
      <c r="J44" s="5">
        <f>SUMIFS('g-expenses-sl'!$G:$G,'g-expenses-sl'!$A:$A,J$1,'g-expenses-sl'!$D:$D,"logistics",'g-expenses-sl'!$E:$E,$C44)</f>
        <v/>
      </c>
      <c r="K44" s="5">
        <f>SUMIFS('g-expenses-sl'!$G:$G,'g-expenses-sl'!$A:$A,K$1,'g-expenses-sl'!$D:$D,"logistics",'g-expenses-sl'!$E:$E,$C44)</f>
        <v/>
      </c>
      <c r="L44" s="5">
        <f>SUMIFS('g-expenses-sl'!$G:$G,'g-expenses-sl'!$A:$A,L$1,'g-expenses-sl'!$D:$D,"logistics",'g-expenses-sl'!$E:$E,$C44)</f>
        <v/>
      </c>
      <c r="M44" s="5">
        <f>SUMIFS('g-expenses-sl'!$G:$G,'g-expenses-sl'!$A:$A,M$1,'g-expenses-sl'!$D:$D,"logistics",'g-expenses-sl'!$E:$E,$C44)</f>
        <v/>
      </c>
      <c r="N44" s="5">
        <f>SUMIFS('g-expenses-sl'!$G:$G,'g-expenses-sl'!$A:$A,N$1,'g-expenses-sl'!$D:$D,"logistics",'g-expenses-sl'!$E:$E,$C44)</f>
        <v/>
      </c>
      <c r="O44" s="5">
        <f>SUMIFS('g-expenses-sl'!$G:$G,'g-expenses-sl'!$A:$A,O$1,'g-expenses-sl'!$D:$D,"logistics",'g-expenses-sl'!$E:$E,$C44)</f>
        <v/>
      </c>
      <c r="P44" s="24">
        <f>SUM(D44:O44)</f>
        <v/>
      </c>
      <c r="Q44" s="25" t="inlineStr">
        <is>
          <t>-&gt;</t>
        </is>
      </c>
    </row>
    <row r="45" hidden="1" outlineLevel="1" collapsed="1" ht="12" customHeight="1">
      <c r="A45" s="23" t="inlineStr">
        <is>
          <t xml:space="preserve">            UPS</t>
        </is>
      </c>
      <c r="B45" s="4" t="n"/>
      <c r="C45" s="4" t="inlineStr">
        <is>
          <t>UPS</t>
        </is>
      </c>
      <c r="D45" s="5">
        <f>SUMIFS('g-expenses-sl'!$G:$G,'g-expenses-sl'!$A:$A,D$1,'g-expenses-sl'!$D:$D,"logistics",'g-expenses-sl'!$E:$E,$C45)</f>
        <v/>
      </c>
      <c r="E45" s="5">
        <f>SUMIFS('g-expenses-sl'!$G:$G,'g-expenses-sl'!$A:$A,E$1,'g-expenses-sl'!$D:$D,"logistics",'g-expenses-sl'!$E:$E,$C45)</f>
        <v/>
      </c>
      <c r="F45" s="5">
        <f>SUMIFS('g-expenses-sl'!$G:$G,'g-expenses-sl'!$A:$A,F$1,'g-expenses-sl'!$D:$D,"logistics",'g-expenses-sl'!$E:$E,$C45)</f>
        <v/>
      </c>
      <c r="G45" s="5">
        <f>SUMIFS('g-expenses-sl'!$G:$G,'g-expenses-sl'!$A:$A,G$1,'g-expenses-sl'!$D:$D,"logistics",'g-expenses-sl'!$E:$E,$C45)</f>
        <v/>
      </c>
      <c r="H45" s="5">
        <f>SUMIFS('g-expenses-sl'!$G:$G,'g-expenses-sl'!$A:$A,H$1,'g-expenses-sl'!$D:$D,"logistics",'g-expenses-sl'!$E:$E,$C45)</f>
        <v/>
      </c>
      <c r="I45" s="5">
        <f>SUMIFS('g-expenses-sl'!$G:$G,'g-expenses-sl'!$A:$A,I$1,'g-expenses-sl'!$D:$D,"logistics",'g-expenses-sl'!$E:$E,$C45)</f>
        <v/>
      </c>
      <c r="J45" s="5">
        <f>SUMIFS('g-expenses-sl'!$G:$G,'g-expenses-sl'!$A:$A,J$1,'g-expenses-sl'!$D:$D,"logistics",'g-expenses-sl'!$E:$E,$C45)</f>
        <v/>
      </c>
      <c r="K45" s="5">
        <f>SUMIFS('g-expenses-sl'!$G:$G,'g-expenses-sl'!$A:$A,K$1,'g-expenses-sl'!$D:$D,"logistics",'g-expenses-sl'!$E:$E,$C45)</f>
        <v/>
      </c>
      <c r="L45" s="5">
        <f>SUMIFS('g-expenses-sl'!$G:$G,'g-expenses-sl'!$A:$A,L$1,'g-expenses-sl'!$D:$D,"logistics",'g-expenses-sl'!$E:$E,$C45)</f>
        <v/>
      </c>
      <c r="M45" s="5">
        <f>SUMIFS('g-expenses-sl'!$G:$G,'g-expenses-sl'!$A:$A,M$1,'g-expenses-sl'!$D:$D,"logistics",'g-expenses-sl'!$E:$E,$C45)</f>
        <v/>
      </c>
      <c r="N45" s="5">
        <f>SUMIFS('g-expenses-sl'!$G:$G,'g-expenses-sl'!$A:$A,N$1,'g-expenses-sl'!$D:$D,"logistics",'g-expenses-sl'!$E:$E,$C45)</f>
        <v/>
      </c>
      <c r="O45" s="5">
        <f>SUMIFS('g-expenses-sl'!$G:$G,'g-expenses-sl'!$A:$A,O$1,'g-expenses-sl'!$D:$D,"logistics",'g-expenses-sl'!$E:$E,$C45)</f>
        <v/>
      </c>
      <c r="P45" s="24">
        <f>SUM(D45:O45)</f>
        <v/>
      </c>
      <c r="Q45" s="25" t="inlineStr">
        <is>
          <t>-&gt;</t>
        </is>
      </c>
    </row>
    <row r="46" ht="12" customHeight="1">
      <c r="A46" s="27" t="inlineStr">
        <is>
          <t xml:space="preserve">        % Logistics / sales</t>
        </is>
      </c>
      <c r="B46" s="28" t="n"/>
      <c r="C46" s="29" t="inlineStr">
        <is>
          <t>% Logistics / sales</t>
        </is>
      </c>
      <c r="D46" s="30">
        <f>IFERROR(D40/D5,0)</f>
        <v/>
      </c>
      <c r="E46" s="30">
        <f>IFERROR(E40/E5,0)</f>
        <v/>
      </c>
      <c r="F46" s="30">
        <f>IFERROR(F40/F5,0)</f>
        <v/>
      </c>
      <c r="G46" s="30">
        <f>IFERROR(G40/G5,0)</f>
        <v/>
      </c>
      <c r="H46" s="30">
        <f>IFERROR(H40/H5,0)</f>
        <v/>
      </c>
      <c r="I46" s="30">
        <f>IFERROR(I40/I5,0)</f>
        <v/>
      </c>
      <c r="J46" s="30">
        <f>IFERROR(J40/J5,0)</f>
        <v/>
      </c>
      <c r="K46" s="30">
        <f>IFERROR(K40/K5,0)</f>
        <v/>
      </c>
      <c r="L46" s="30">
        <f>IFERROR(L40/L5,0)</f>
        <v/>
      </c>
      <c r="M46" s="30">
        <f>IFERROR(M40/M5,0)</f>
        <v/>
      </c>
      <c r="N46" s="30">
        <f>IFERROR(N40/N5,0)</f>
        <v/>
      </c>
      <c r="O46" s="30">
        <f>IFERROR(O40/O5,0)</f>
        <v/>
      </c>
      <c r="P46" s="31">
        <f>SUM(D46:O46)</f>
        <v/>
      </c>
      <c r="Q46" s="30" t="n"/>
    </row>
    <row r="47" ht="12" customHeight="1">
      <c r="A47" s="17" t="inlineStr">
        <is>
          <t xml:space="preserve">        Royalties (% sales)</t>
        </is>
      </c>
      <c r="B47" s="18" t="n"/>
      <c r="C47" s="19" t="inlineStr">
        <is>
          <t>Royalties (% sales)</t>
        </is>
      </c>
      <c r="D47" s="20">
        <f>D48</f>
        <v/>
      </c>
      <c r="E47" s="20">
        <f>E48</f>
        <v/>
      </c>
      <c r="F47" s="20">
        <f>F48</f>
        <v/>
      </c>
      <c r="G47" s="20">
        <f>G48</f>
        <v/>
      </c>
      <c r="H47" s="20">
        <f>H48</f>
        <v/>
      </c>
      <c r="I47" s="20">
        <f>I48</f>
        <v/>
      </c>
      <c r="J47" s="20">
        <f>J48</f>
        <v/>
      </c>
      <c r="K47" s="20">
        <f>K48</f>
        <v/>
      </c>
      <c r="L47" s="20">
        <f>L48</f>
        <v/>
      </c>
      <c r="M47" s="20">
        <f>M48</f>
        <v/>
      </c>
      <c r="N47" s="20">
        <f>N48</f>
        <v/>
      </c>
      <c r="O47" s="20">
        <f>O48</f>
        <v/>
      </c>
      <c r="P47" s="21">
        <f>SUM(D47:O47)</f>
        <v/>
      </c>
      <c r="Q47" s="22" t="inlineStr">
        <is>
          <t>-&gt;</t>
        </is>
      </c>
    </row>
    <row r="48" hidden="1" outlineLevel="1" collapsed="1" ht="12" customHeight="1">
      <c r="A48" s="23" t="inlineStr">
        <is>
          <t xml:space="preserve">            ROYALTIES</t>
        </is>
      </c>
      <c r="B48" s="4" t="n"/>
      <c r="C48" s="4" t="inlineStr">
        <is>
          <t>ROYALTIES</t>
        </is>
      </c>
      <c r="D48" s="5">
        <f>SUMIFS('g-expenses-sl'!$G:$G,'g-expenses-sl'!$A:$A,D$1,'g-expenses-sl'!$D:$D,"royalties",'g-expenses-sl'!$E:$E,$C48)</f>
        <v/>
      </c>
      <c r="E48" s="5">
        <f>SUMIFS('g-expenses-sl'!$G:$G,'g-expenses-sl'!$A:$A,E$1,'g-expenses-sl'!$D:$D,"royalties",'g-expenses-sl'!$E:$E,$C48)</f>
        <v/>
      </c>
      <c r="F48" s="5">
        <f>SUMIFS('g-expenses-sl'!$G:$G,'g-expenses-sl'!$A:$A,F$1,'g-expenses-sl'!$D:$D,"royalties",'g-expenses-sl'!$E:$E,$C48)</f>
        <v/>
      </c>
      <c r="G48" s="5">
        <f>SUMIFS('g-expenses-sl'!$G:$G,'g-expenses-sl'!$A:$A,G$1,'g-expenses-sl'!$D:$D,"royalties",'g-expenses-sl'!$E:$E,$C48)</f>
        <v/>
      </c>
      <c r="H48" s="5">
        <f>SUMIFS('g-expenses-sl'!$G:$G,'g-expenses-sl'!$A:$A,H$1,'g-expenses-sl'!$D:$D,"royalties",'g-expenses-sl'!$E:$E,$C48)</f>
        <v/>
      </c>
      <c r="I48" s="5">
        <f>SUMIFS('g-expenses-sl'!$G:$G,'g-expenses-sl'!$A:$A,I$1,'g-expenses-sl'!$D:$D,"royalties",'g-expenses-sl'!$E:$E,$C48)</f>
        <v/>
      </c>
      <c r="J48" s="5">
        <f>SUMIFS('g-expenses-sl'!$G:$G,'g-expenses-sl'!$A:$A,J$1,'g-expenses-sl'!$D:$D,"royalties",'g-expenses-sl'!$E:$E,$C48)</f>
        <v/>
      </c>
      <c r="K48" s="5">
        <f>SUMIFS('g-expenses-sl'!$G:$G,'g-expenses-sl'!$A:$A,K$1,'g-expenses-sl'!$D:$D,"royalties",'g-expenses-sl'!$E:$E,$C48)</f>
        <v/>
      </c>
      <c r="L48" s="5">
        <f>SUMIFS('g-expenses-sl'!$G:$G,'g-expenses-sl'!$A:$A,L$1,'g-expenses-sl'!$D:$D,"royalties",'g-expenses-sl'!$E:$E,$C48)</f>
        <v/>
      </c>
      <c r="M48" s="5">
        <f>SUMIFS('g-expenses-sl'!$G:$G,'g-expenses-sl'!$A:$A,M$1,'g-expenses-sl'!$D:$D,"royalties",'g-expenses-sl'!$E:$E,$C48)</f>
        <v/>
      </c>
      <c r="N48" s="5">
        <f>SUMIFS('g-expenses-sl'!$G:$G,'g-expenses-sl'!$A:$A,N$1,'g-expenses-sl'!$D:$D,"royalties",'g-expenses-sl'!$E:$E,$C48)</f>
        <v/>
      </c>
      <c r="O48" s="5">
        <f>SUMIFS('g-expenses-sl'!$G:$G,'g-expenses-sl'!$A:$A,O$1,'g-expenses-sl'!$D:$D,"royalties",'g-expenses-sl'!$E:$E,$C48)</f>
        <v/>
      </c>
      <c r="P48" s="24">
        <f>SUM(D48:O48)</f>
        <v/>
      </c>
      <c r="Q48" s="25" t="inlineStr">
        <is>
          <t>-&gt;</t>
        </is>
      </c>
    </row>
    <row r="49" ht="12" customHeight="1">
      <c r="A49" s="27" t="inlineStr">
        <is>
          <t xml:space="preserve">        % Royalties / sales</t>
        </is>
      </c>
      <c r="B49" s="28" t="n"/>
      <c r="C49" s="29" t="inlineStr">
        <is>
          <t>% Royalties / sales</t>
        </is>
      </c>
      <c r="D49" s="30">
        <f>IFERROR(D47/D5,0)</f>
        <v/>
      </c>
      <c r="E49" s="30">
        <f>IFERROR(E47/E5,0)</f>
        <v/>
      </c>
      <c r="F49" s="30">
        <f>IFERROR(F47/F5,0)</f>
        <v/>
      </c>
      <c r="G49" s="30">
        <f>IFERROR(G47/G5,0)</f>
        <v/>
      </c>
      <c r="H49" s="30">
        <f>IFERROR(H47/H5,0)</f>
        <v/>
      </c>
      <c r="I49" s="30">
        <f>IFERROR(I47/I5,0)</f>
        <v/>
      </c>
      <c r="J49" s="30">
        <f>IFERROR(J47/J5,0)</f>
        <v/>
      </c>
      <c r="K49" s="30">
        <f>IFERROR(K47/K5,0)</f>
        <v/>
      </c>
      <c r="L49" s="30">
        <f>IFERROR(L47/L5,0)</f>
        <v/>
      </c>
      <c r="M49" s="30">
        <f>IFERROR(M47/M5,0)</f>
        <v/>
      </c>
      <c r="N49" s="30">
        <f>IFERROR(N47/N5,0)</f>
        <v/>
      </c>
      <c r="O49" s="30">
        <f>IFERROR(O47/O5,0)</f>
        <v/>
      </c>
      <c r="P49" s="31">
        <f>SUM(D49:O49)</f>
        <v/>
      </c>
      <c r="Q49" s="30" t="n"/>
    </row>
    <row r="50" ht="12" customHeight="1">
      <c r="A50" s="17" t="inlineStr">
        <is>
          <t xml:space="preserve">        Payment fees (% sales)</t>
        </is>
      </c>
      <c r="B50" s="18" t="n"/>
      <c r="C50" s="19" t="inlineStr">
        <is>
          <t>Payment fees (% sales)</t>
        </is>
      </c>
      <c r="D50" s="20">
        <f>SUM(D51:D52)</f>
        <v/>
      </c>
      <c r="E50" s="20">
        <f>SUM(E51:E52)</f>
        <v/>
      </c>
      <c r="F50" s="20">
        <f>SUM(F51:F52)</f>
        <v/>
      </c>
      <c r="G50" s="20">
        <f>SUM(G51:G52)</f>
        <v/>
      </c>
      <c r="H50" s="20">
        <f>SUM(H51:H52)</f>
        <v/>
      </c>
      <c r="I50" s="20">
        <f>SUM(I51:I52)</f>
        <v/>
      </c>
      <c r="J50" s="20">
        <f>SUM(J51:J52)</f>
        <v/>
      </c>
      <c r="K50" s="20">
        <f>SUM(K51:K52)</f>
        <v/>
      </c>
      <c r="L50" s="20">
        <f>SUM(L51:L52)</f>
        <v/>
      </c>
      <c r="M50" s="20">
        <f>SUM(M51:M52)</f>
        <v/>
      </c>
      <c r="N50" s="20">
        <f>SUM(N51:N52)</f>
        <v/>
      </c>
      <c r="O50" s="20">
        <f>SUM(O51:O52)</f>
        <v/>
      </c>
      <c r="P50" s="21">
        <f>SUM(D50:O50)</f>
        <v/>
      </c>
      <c r="Q50" s="22" t="inlineStr">
        <is>
          <t>-&gt;</t>
        </is>
      </c>
    </row>
    <row r="51" hidden="1" outlineLevel="1" ht="12" customHeight="1">
      <c r="A51" s="23" t="inlineStr">
        <is>
          <t xml:space="preserve">            SHOPIFY</t>
        </is>
      </c>
      <c r="B51" s="4" t="n"/>
      <c r="C51" s="4" t="inlineStr">
        <is>
          <t>SHOPIFY</t>
        </is>
      </c>
      <c r="D51" s="5">
        <f>SUMIFS('g-payment-fees-sl'!$D:$D,'g-payment-fees-sl'!$A:$A,D$1,'g-payment-fees-sl'!$C:$C,$C51)</f>
        <v/>
      </c>
      <c r="E51" s="5">
        <f>SUMIFS('g-payment-fees-sl'!$D:$D,'g-payment-fees-sl'!$A:$A,E$1,'g-payment-fees-sl'!$C:$C,$C51)</f>
        <v/>
      </c>
      <c r="F51" s="5">
        <f>SUMIFS('g-payment-fees-sl'!$D:$D,'g-payment-fees-sl'!$A:$A,F$1,'g-payment-fees-sl'!$C:$C,$C51)</f>
        <v/>
      </c>
      <c r="G51" s="5">
        <f>SUMIFS('g-payment-fees-sl'!$D:$D,'g-payment-fees-sl'!$A:$A,G$1,'g-payment-fees-sl'!$C:$C,$C51)</f>
        <v/>
      </c>
      <c r="H51" s="5">
        <f>SUMIFS('g-payment-fees-sl'!$D:$D,'g-payment-fees-sl'!$A:$A,H$1,'g-payment-fees-sl'!$C:$C,$C51)</f>
        <v/>
      </c>
      <c r="I51" s="5">
        <f>SUMIFS('g-payment-fees-sl'!$D:$D,'g-payment-fees-sl'!$A:$A,I$1,'g-payment-fees-sl'!$C:$C,$C51)</f>
        <v/>
      </c>
      <c r="J51" s="5">
        <f>SUMIFS('g-payment-fees-sl'!$D:$D,'g-payment-fees-sl'!$A:$A,J$1,'g-payment-fees-sl'!$C:$C,$C51)</f>
        <v/>
      </c>
      <c r="K51" s="5">
        <f>SUMIFS('g-payment-fees-sl'!$D:$D,'g-payment-fees-sl'!$A:$A,K$1,'g-payment-fees-sl'!$C:$C,$C51)</f>
        <v/>
      </c>
      <c r="L51" s="5">
        <f>SUMIFS('g-payment-fees-sl'!$D:$D,'g-payment-fees-sl'!$A:$A,L$1,'g-payment-fees-sl'!$C:$C,$C51)</f>
        <v/>
      </c>
      <c r="M51" s="5">
        <f>SUMIFS('g-payment-fees-sl'!$D:$D,'g-payment-fees-sl'!$A:$A,M$1,'g-payment-fees-sl'!$C:$C,$C51)</f>
        <v/>
      </c>
      <c r="N51" s="5">
        <f>SUMIFS('g-payment-fees-sl'!$D:$D,'g-payment-fees-sl'!$A:$A,N$1,'g-payment-fees-sl'!$C:$C,$C51)</f>
        <v/>
      </c>
      <c r="O51" s="5">
        <f>SUMIFS('g-payment-fees-sl'!$D:$D,'g-payment-fees-sl'!$A:$A,O$1,'g-payment-fees-sl'!$C:$C,$C51)</f>
        <v/>
      </c>
      <c r="P51" s="24">
        <f>SUM(D51:O51)</f>
        <v/>
      </c>
      <c r="Q51" s="25" t="inlineStr">
        <is>
          <t>-&gt;</t>
        </is>
      </c>
    </row>
    <row r="52" hidden="1" outlineLevel="1" collapsed="1" ht="12" customHeight="1">
      <c r="A52" s="23" t="inlineStr">
        <is>
          <t xml:space="preserve">            PAYPAL</t>
        </is>
      </c>
      <c r="B52" s="4" t="n"/>
      <c r="C52" s="4" t="inlineStr">
        <is>
          <t>PAYPAL</t>
        </is>
      </c>
      <c r="D52" s="5">
        <f>SUMIFS('g-payment-fees-sl'!$D:$D,'g-payment-fees-sl'!$A:$A,D$1,'g-payment-fees-sl'!$C:$C,$C52)</f>
        <v/>
      </c>
      <c r="E52" s="5">
        <f>SUMIFS('g-payment-fees-sl'!$D:$D,'g-payment-fees-sl'!$A:$A,E$1,'g-payment-fees-sl'!$C:$C,$C52)</f>
        <v/>
      </c>
      <c r="F52" s="5">
        <f>SUMIFS('g-payment-fees-sl'!$D:$D,'g-payment-fees-sl'!$A:$A,F$1,'g-payment-fees-sl'!$C:$C,$C52)</f>
        <v/>
      </c>
      <c r="G52" s="5">
        <f>SUMIFS('g-payment-fees-sl'!$D:$D,'g-payment-fees-sl'!$A:$A,G$1,'g-payment-fees-sl'!$C:$C,$C52)</f>
        <v/>
      </c>
      <c r="H52" s="5">
        <f>SUMIFS('g-payment-fees-sl'!$D:$D,'g-payment-fees-sl'!$A:$A,H$1,'g-payment-fees-sl'!$C:$C,$C52)</f>
        <v/>
      </c>
      <c r="I52" s="5">
        <f>SUMIFS('g-payment-fees-sl'!$D:$D,'g-payment-fees-sl'!$A:$A,I$1,'g-payment-fees-sl'!$C:$C,$C52)</f>
        <v/>
      </c>
      <c r="J52" s="5">
        <f>SUMIFS('g-payment-fees-sl'!$D:$D,'g-payment-fees-sl'!$A:$A,J$1,'g-payment-fees-sl'!$C:$C,$C52)</f>
        <v/>
      </c>
      <c r="K52" s="5">
        <f>SUMIFS('g-payment-fees-sl'!$D:$D,'g-payment-fees-sl'!$A:$A,K$1,'g-payment-fees-sl'!$C:$C,$C52)</f>
        <v/>
      </c>
      <c r="L52" s="5">
        <f>SUMIFS('g-payment-fees-sl'!$D:$D,'g-payment-fees-sl'!$A:$A,L$1,'g-payment-fees-sl'!$C:$C,$C52)</f>
        <v/>
      </c>
      <c r="M52" s="5">
        <f>SUMIFS('g-payment-fees-sl'!$D:$D,'g-payment-fees-sl'!$A:$A,M$1,'g-payment-fees-sl'!$C:$C,$C52)</f>
        <v/>
      </c>
      <c r="N52" s="5">
        <f>SUMIFS('g-payment-fees-sl'!$D:$D,'g-payment-fees-sl'!$A:$A,N$1,'g-payment-fees-sl'!$C:$C,$C52)</f>
        <v/>
      </c>
      <c r="O52" s="5">
        <f>SUMIFS('g-payment-fees-sl'!$D:$D,'g-payment-fees-sl'!$A:$A,O$1,'g-payment-fees-sl'!$C:$C,$C52)</f>
        <v/>
      </c>
      <c r="P52" s="24">
        <f>SUM(D52:O52)</f>
        <v/>
      </c>
      <c r="Q52" s="25" t="inlineStr">
        <is>
          <t>-&gt;</t>
        </is>
      </c>
    </row>
    <row r="53" ht="12" customHeight="1">
      <c r="A53" s="27" t="inlineStr">
        <is>
          <t xml:space="preserve">        % Payment fees / sales</t>
        </is>
      </c>
      <c r="B53" s="28" t="n"/>
      <c r="C53" s="29" t="inlineStr">
        <is>
          <t>% Payment fees / sales</t>
        </is>
      </c>
      <c r="D53" s="30">
        <f>IFERROR(D50/D5,0)</f>
        <v/>
      </c>
      <c r="E53" s="30">
        <f>IFERROR(E50/E5,0)</f>
        <v/>
      </c>
      <c r="F53" s="30">
        <f>IFERROR(F50/F5,0)</f>
        <v/>
      </c>
      <c r="G53" s="30">
        <f>IFERROR(G50/G5,0)</f>
        <v/>
      </c>
      <c r="H53" s="30">
        <f>IFERROR(H50/H5,0)</f>
        <v/>
      </c>
      <c r="I53" s="30">
        <f>IFERROR(I50/I5,0)</f>
        <v/>
      </c>
      <c r="J53" s="30">
        <f>IFERROR(J50/J5,0)</f>
        <v/>
      </c>
      <c r="K53" s="30">
        <f>IFERROR(K50/K5,0)</f>
        <v/>
      </c>
      <c r="L53" s="30">
        <f>IFERROR(L50/L5,0)</f>
        <v/>
      </c>
      <c r="M53" s="30">
        <f>IFERROR(M50/M5,0)</f>
        <v/>
      </c>
      <c r="N53" s="30">
        <f>IFERROR(N50/N5,0)</f>
        <v/>
      </c>
      <c r="O53" s="30">
        <f>IFERROR(O50/O5,0)</f>
        <v/>
      </c>
      <c r="P53" s="31">
        <f>SUM(D53:O53)</f>
        <v/>
      </c>
      <c r="Q53" s="30" t="n"/>
    </row>
    <row r="54" ht="12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24">
        <f>SUM(D54:O54)</f>
        <v/>
      </c>
      <c r="Q54" s="5" t="n"/>
    </row>
    <row r="55" ht="12" customHeight="1">
      <c r="A55" s="32" t="inlineStr">
        <is>
          <t>GROSS MARGIN (SALES-MANUFACTURING)</t>
        </is>
      </c>
      <c r="B55" s="33" t="n"/>
      <c r="C55" s="33" t="n"/>
      <c r="D55" s="34">
        <f>D5-D33</f>
        <v/>
      </c>
      <c r="E55" s="34">
        <f>E5-E33</f>
        <v/>
      </c>
      <c r="F55" s="34">
        <f>F5-F33</f>
        <v/>
      </c>
      <c r="G55" s="34">
        <f>G5-G33</f>
        <v/>
      </c>
      <c r="H55" s="34">
        <f>H5-H33</f>
        <v/>
      </c>
      <c r="I55" s="34">
        <f>I5-I33</f>
        <v/>
      </c>
      <c r="J55" s="34">
        <f>J5-J33</f>
        <v/>
      </c>
      <c r="K55" s="34">
        <f>K5-K33</f>
        <v/>
      </c>
      <c r="L55" s="34">
        <f>L5-L33</f>
        <v/>
      </c>
      <c r="M55" s="34">
        <f>M5-M33</f>
        <v/>
      </c>
      <c r="N55" s="34">
        <f>N5-N33</f>
        <v/>
      </c>
      <c r="O55" s="34">
        <f>O5-O33</f>
        <v/>
      </c>
      <c r="P55" s="9">
        <f>SUM(D55:O55)</f>
        <v/>
      </c>
      <c r="Q55" s="35" t="n"/>
    </row>
    <row r="56" ht="12" customHeight="1">
      <c r="A56" s="36" t="inlineStr">
        <is>
          <t xml:space="preserve">        % GROSS MARGIN</t>
        </is>
      </c>
      <c r="B56" s="37" t="n"/>
      <c r="C56" s="37" t="n"/>
      <c r="D56" s="38">
        <f>IFERROR(D55/D5,0)</f>
        <v/>
      </c>
      <c r="E56" s="38">
        <f>IFERROR(E55/E5,0)</f>
        <v/>
      </c>
      <c r="F56" s="38">
        <f>IFERROR(F55/F5,0)</f>
        <v/>
      </c>
      <c r="G56" s="38">
        <f>IFERROR(G55/G5,0)</f>
        <v/>
      </c>
      <c r="H56" s="38">
        <f>IFERROR(H55/H5,0)</f>
        <v/>
      </c>
      <c r="I56" s="38">
        <f>IFERROR(I55/I5,0)</f>
        <v/>
      </c>
      <c r="J56" s="38">
        <f>IFERROR(J55/J5,0)</f>
        <v/>
      </c>
      <c r="K56" s="38">
        <f>IFERROR(K55/K5,0)</f>
        <v/>
      </c>
      <c r="L56" s="38">
        <f>IFERROR(L55/L5,0)</f>
        <v/>
      </c>
      <c r="M56" s="38">
        <f>IFERROR(M55/M5,0)</f>
        <v/>
      </c>
      <c r="N56" s="38">
        <f>IFERROR(N55/N5,0)</f>
        <v/>
      </c>
      <c r="O56" s="38">
        <f>IFERROR(O55/O5,0)</f>
        <v/>
      </c>
      <c r="P56" s="39">
        <f>SUM(D56:O56)</f>
        <v/>
      </c>
      <c r="Q56" s="30" t="n"/>
    </row>
    <row r="57" ht="12" customHeight="1">
      <c r="A57" s="32" t="inlineStr">
        <is>
          <t>CONTRIBUTIVE MARGIN (TURNOVER-COGS)</t>
        </is>
      </c>
      <c r="B57" s="33" t="n"/>
      <c r="C57" s="33" t="n"/>
      <c r="D57" s="34">
        <f>D4-D32</f>
        <v/>
      </c>
      <c r="E57" s="34">
        <f>E4-E32</f>
        <v/>
      </c>
      <c r="F57" s="34">
        <f>F4-F32</f>
        <v/>
      </c>
      <c r="G57" s="34">
        <f>G4-G32</f>
        <v/>
      </c>
      <c r="H57" s="34">
        <f>H4-H32</f>
        <v/>
      </c>
      <c r="I57" s="34">
        <f>I4-I32</f>
        <v/>
      </c>
      <c r="J57" s="34">
        <f>J4-J32</f>
        <v/>
      </c>
      <c r="K57" s="34">
        <f>K4-K32</f>
        <v/>
      </c>
      <c r="L57" s="34">
        <f>L4-L32</f>
        <v/>
      </c>
      <c r="M57" s="34">
        <f>M4-M32</f>
        <v/>
      </c>
      <c r="N57" s="34">
        <f>N4-N32</f>
        <v/>
      </c>
      <c r="O57" s="34">
        <f>O4-O32</f>
        <v/>
      </c>
      <c r="P57" s="9">
        <f>SUM(D57:O57)</f>
        <v/>
      </c>
      <c r="Q57" s="35" t="n"/>
    </row>
    <row r="58" ht="12" customHeight="1">
      <c r="A58" s="36" t="inlineStr">
        <is>
          <t xml:space="preserve">        % CONTRIBUTIVE MARGIN</t>
        </is>
      </c>
      <c r="B58" s="37" t="n"/>
      <c r="C58" s="37" t="n"/>
      <c r="D58" s="38">
        <f>IFERROR(D57/D4,0)</f>
        <v/>
      </c>
      <c r="E58" s="38">
        <f>IFERROR(E57/E4,0)</f>
        <v/>
      </c>
      <c r="F58" s="38">
        <f>IFERROR(F57/F4,0)</f>
        <v/>
      </c>
      <c r="G58" s="38">
        <f>IFERROR(G57/G4,0)</f>
        <v/>
      </c>
      <c r="H58" s="38">
        <f>IFERROR(H57/H4,0)</f>
        <v/>
      </c>
      <c r="I58" s="38">
        <f>IFERROR(I57/I4,0)</f>
        <v/>
      </c>
      <c r="J58" s="38">
        <f>IFERROR(J57/J4,0)</f>
        <v/>
      </c>
      <c r="K58" s="38">
        <f>IFERROR(K57/K4,0)</f>
        <v/>
      </c>
      <c r="L58" s="38">
        <f>IFERROR(L57/L4,0)</f>
        <v/>
      </c>
      <c r="M58" s="38">
        <f>IFERROR(M57/M4,0)</f>
        <v/>
      </c>
      <c r="N58" s="38">
        <f>IFERROR(N57/N4,0)</f>
        <v/>
      </c>
      <c r="O58" s="38">
        <f>IFERROR(O57/O4,0)</f>
        <v/>
      </c>
      <c r="P58" s="39">
        <f>SUM(D58:O58)</f>
        <v/>
      </c>
      <c r="Q58" s="30" t="n"/>
    </row>
    <row r="59" ht="12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24">
        <f>SUM(D59:O59)</f>
        <v/>
      </c>
      <c r="Q59" s="5" t="n"/>
    </row>
    <row r="60" ht="12" customHeight="1">
      <c r="A60" s="11" t="inlineStr">
        <is>
          <t xml:space="preserve">    Opex</t>
        </is>
      </c>
      <c r="B60" s="12" t="inlineStr">
        <is>
          <t>Opex</t>
        </is>
      </c>
      <c r="C60" s="13" t="n"/>
      <c r="D60" s="14">
        <f>D61+D71+D74+D83</f>
        <v/>
      </c>
      <c r="E60" s="14">
        <f>E61+E71+E74+E83</f>
        <v/>
      </c>
      <c r="F60" s="14">
        <f>F61+F71+F74+F83</f>
        <v/>
      </c>
      <c r="G60" s="14">
        <f>G61+G71+G74+G83</f>
        <v/>
      </c>
      <c r="H60" s="14">
        <f>H61+H71+H74+H83</f>
        <v/>
      </c>
      <c r="I60" s="14">
        <f>I61+I71+I74+I83</f>
        <v/>
      </c>
      <c r="J60" s="14">
        <f>J61+J71+J74+J83</f>
        <v/>
      </c>
      <c r="K60" s="14">
        <f>K61+K71+K74+K83</f>
        <v/>
      </c>
      <c r="L60" s="14">
        <f>L61+L71+L74+L83</f>
        <v/>
      </c>
      <c r="M60" s="14">
        <f>M61+M71+M74+M83</f>
        <v/>
      </c>
      <c r="N60" s="14">
        <f>N61+N71+N74+N83</f>
        <v/>
      </c>
      <c r="O60" s="14">
        <f>O61+O71+O74+O83</f>
        <v/>
      </c>
      <c r="P60" s="15">
        <f>SUM(D60:O60)</f>
        <v/>
      </c>
      <c r="Q60" s="16" t="n"/>
    </row>
    <row r="61" ht="12" customHeight="1">
      <c r="A61" s="17" t="inlineStr">
        <is>
          <t xml:space="preserve">        Marketing</t>
        </is>
      </c>
      <c r="B61" s="18" t="n"/>
      <c r="C61" s="19" t="inlineStr">
        <is>
          <t>Marketing</t>
        </is>
      </c>
      <c r="D61" s="20">
        <f>D62+D66</f>
        <v/>
      </c>
      <c r="E61" s="20">
        <f>E62+E66</f>
        <v/>
      </c>
      <c r="F61" s="20">
        <f>F62+F66</f>
        <v/>
      </c>
      <c r="G61" s="20">
        <f>G62+G66</f>
        <v/>
      </c>
      <c r="H61" s="20">
        <f>H62+H66</f>
        <v/>
      </c>
      <c r="I61" s="20">
        <f>I62+I66</f>
        <v/>
      </c>
      <c r="J61" s="20">
        <f>J62+J66</f>
        <v/>
      </c>
      <c r="K61" s="20">
        <f>K62+K66</f>
        <v/>
      </c>
      <c r="L61" s="20">
        <f>L62+L66</f>
        <v/>
      </c>
      <c r="M61" s="20">
        <f>M62+M66</f>
        <v/>
      </c>
      <c r="N61" s="20">
        <f>N62+N66</f>
        <v/>
      </c>
      <c r="O61" s="20">
        <f>O62+O66</f>
        <v/>
      </c>
      <c r="P61" s="21">
        <f>SUM(D61:O61)</f>
        <v/>
      </c>
      <c r="Q61" s="22" t="inlineStr">
        <is>
          <t>-&gt;</t>
        </is>
      </c>
    </row>
    <row r="62" hidden="1" outlineLevel="1" ht="12" customHeight="1">
      <c r="A62" s="17" t="inlineStr">
        <is>
          <t xml:space="preserve">        METAADS</t>
        </is>
      </c>
      <c r="B62" s="18" t="n"/>
      <c r="C62" s="19" t="inlineStr">
        <is>
          <t>METAADS</t>
        </is>
      </c>
      <c r="D62" s="20">
        <f>SUM(D63:D65)</f>
        <v/>
      </c>
      <c r="E62" s="20">
        <f>SUM(E63:E65)</f>
        <v/>
      </c>
      <c r="F62" s="20">
        <f>SUM(F63:F65)</f>
        <v/>
      </c>
      <c r="G62" s="20">
        <f>SUM(G63:G65)</f>
        <v/>
      </c>
      <c r="H62" s="20">
        <f>SUM(H63:H65)</f>
        <v/>
      </c>
      <c r="I62" s="20">
        <f>SUM(I63:I65)</f>
        <v/>
      </c>
      <c r="J62" s="20">
        <f>SUM(J63:J65)</f>
        <v/>
      </c>
      <c r="K62" s="20">
        <f>SUM(K63:K65)</f>
        <v/>
      </c>
      <c r="L62" s="20">
        <f>SUM(L63:L65)</f>
        <v/>
      </c>
      <c r="M62" s="20">
        <f>SUM(M63:M65)</f>
        <v/>
      </c>
      <c r="N62" s="20">
        <f>SUM(N63:N65)</f>
        <v/>
      </c>
      <c r="O62" s="20">
        <f>SUM(O63:O65)</f>
        <v/>
      </c>
      <c r="P62" s="21">
        <f>SUM(D62:O62)</f>
        <v/>
      </c>
      <c r="Q62" s="22" t="inlineStr">
        <is>
          <t>-&gt;</t>
        </is>
      </c>
    </row>
    <row r="63" hidden="1" outlineLevel="1" ht="12" customHeight="1">
      <c r="A63" s="23" t="inlineStr">
        <is>
          <t xml:space="preserve">            EU</t>
        </is>
      </c>
      <c r="B63" s="4" t="n"/>
      <c r="C63" s="4" t="inlineStr">
        <is>
          <t>EU</t>
        </is>
      </c>
      <c r="D63" s="5">
        <f>SUMIFS('g-expenses-sl'!$G:$G,'g-expenses-sl'!$A:$A,D$1,'g-expenses-sl'!$D:$D,"marketing",'g-expenses-sl'!$E:$E,"METAADS",'g-expenses-sl'!$F:$F,$C63)</f>
        <v/>
      </c>
      <c r="E63" s="5">
        <f>SUMIFS('g-expenses-sl'!$G:$G,'g-expenses-sl'!$A:$A,E$1,'g-expenses-sl'!$D:$D,"marketing",'g-expenses-sl'!$E:$E,"METAADS",'g-expenses-sl'!$F:$F,$C63)</f>
        <v/>
      </c>
      <c r="F63" s="5">
        <f>SUMIFS('g-expenses-sl'!$G:$G,'g-expenses-sl'!$A:$A,F$1,'g-expenses-sl'!$D:$D,"marketing",'g-expenses-sl'!$E:$E,"METAADS",'g-expenses-sl'!$F:$F,$C63)</f>
        <v/>
      </c>
      <c r="G63" s="5">
        <f>SUMIFS('g-expenses-sl'!$G:$G,'g-expenses-sl'!$A:$A,G$1,'g-expenses-sl'!$D:$D,"marketing",'g-expenses-sl'!$E:$E,"METAADS",'g-expenses-sl'!$F:$F,$C63)</f>
        <v/>
      </c>
      <c r="H63" s="5">
        <f>SUMIFS('g-expenses-sl'!$G:$G,'g-expenses-sl'!$A:$A,H$1,'g-expenses-sl'!$D:$D,"marketing",'g-expenses-sl'!$E:$E,"METAADS",'g-expenses-sl'!$F:$F,$C63)</f>
        <v/>
      </c>
      <c r="I63" s="5">
        <f>SUMIFS('g-expenses-sl'!$G:$G,'g-expenses-sl'!$A:$A,I$1,'g-expenses-sl'!$D:$D,"marketing",'g-expenses-sl'!$E:$E,"METAADS",'g-expenses-sl'!$F:$F,$C63)</f>
        <v/>
      </c>
      <c r="J63" s="5">
        <f>SUMIFS('g-expenses-sl'!$G:$G,'g-expenses-sl'!$A:$A,J$1,'g-expenses-sl'!$D:$D,"marketing",'g-expenses-sl'!$E:$E,"METAADS",'g-expenses-sl'!$F:$F,$C63)</f>
        <v/>
      </c>
      <c r="K63" s="5">
        <f>SUMIFS('g-expenses-sl'!$G:$G,'g-expenses-sl'!$A:$A,K$1,'g-expenses-sl'!$D:$D,"marketing",'g-expenses-sl'!$E:$E,"METAADS",'g-expenses-sl'!$F:$F,$C63)</f>
        <v/>
      </c>
      <c r="L63" s="5">
        <f>SUMIFS('g-expenses-sl'!$G:$G,'g-expenses-sl'!$A:$A,L$1,'g-expenses-sl'!$D:$D,"marketing",'g-expenses-sl'!$E:$E,"METAADS",'g-expenses-sl'!$F:$F,$C63)</f>
        <v/>
      </c>
      <c r="M63" s="5">
        <f>SUMIFS('g-expenses-sl'!$G:$G,'g-expenses-sl'!$A:$A,M$1,'g-expenses-sl'!$D:$D,"marketing",'g-expenses-sl'!$E:$E,"METAADS",'g-expenses-sl'!$F:$F,$C63)</f>
        <v/>
      </c>
      <c r="N63" s="5">
        <f>SUMIFS('g-expenses-sl'!$G:$G,'g-expenses-sl'!$A:$A,N$1,'g-expenses-sl'!$D:$D,"marketing",'g-expenses-sl'!$E:$E,"METAADS",'g-expenses-sl'!$F:$F,$C63)</f>
        <v/>
      </c>
      <c r="O63" s="5">
        <f>SUMIFS('g-expenses-sl'!$G:$G,'g-expenses-sl'!$A:$A,O$1,'g-expenses-sl'!$D:$D,"marketing",'g-expenses-sl'!$E:$E,"METAADS",'g-expenses-sl'!$F:$F,$C63)</f>
        <v/>
      </c>
      <c r="P63" s="24">
        <f>SUM(D63:O63)</f>
        <v/>
      </c>
      <c r="Q63" s="25" t="inlineStr">
        <is>
          <t>-&gt;</t>
        </is>
      </c>
    </row>
    <row r="64" hidden="1" outlineLevel="1" ht="12" customHeight="1">
      <c r="A64" s="23" t="inlineStr">
        <is>
          <t xml:space="preserve">            UK</t>
        </is>
      </c>
      <c r="B64" s="4" t="n"/>
      <c r="C64" s="4" t="inlineStr">
        <is>
          <t>UK</t>
        </is>
      </c>
      <c r="D64" s="5">
        <f>SUMIFS('g-expenses-sl'!$G:$G,'g-expenses-sl'!$A:$A,D$1,'g-expenses-sl'!$D:$D,"marketing",'g-expenses-sl'!$E:$E,"METAADS",'g-expenses-sl'!$F:$F,$C64)</f>
        <v/>
      </c>
      <c r="E64" s="5">
        <f>SUMIFS('g-expenses-sl'!$G:$G,'g-expenses-sl'!$A:$A,E$1,'g-expenses-sl'!$D:$D,"marketing",'g-expenses-sl'!$E:$E,"METAADS",'g-expenses-sl'!$F:$F,$C64)</f>
        <v/>
      </c>
      <c r="F64" s="5">
        <f>SUMIFS('g-expenses-sl'!$G:$G,'g-expenses-sl'!$A:$A,F$1,'g-expenses-sl'!$D:$D,"marketing",'g-expenses-sl'!$E:$E,"METAADS",'g-expenses-sl'!$F:$F,$C64)</f>
        <v/>
      </c>
      <c r="G64" s="5">
        <f>SUMIFS('g-expenses-sl'!$G:$G,'g-expenses-sl'!$A:$A,G$1,'g-expenses-sl'!$D:$D,"marketing",'g-expenses-sl'!$E:$E,"METAADS",'g-expenses-sl'!$F:$F,$C64)</f>
        <v/>
      </c>
      <c r="H64" s="5">
        <f>SUMIFS('g-expenses-sl'!$G:$G,'g-expenses-sl'!$A:$A,H$1,'g-expenses-sl'!$D:$D,"marketing",'g-expenses-sl'!$E:$E,"METAADS",'g-expenses-sl'!$F:$F,$C64)</f>
        <v/>
      </c>
      <c r="I64" s="5">
        <f>SUMIFS('g-expenses-sl'!$G:$G,'g-expenses-sl'!$A:$A,I$1,'g-expenses-sl'!$D:$D,"marketing",'g-expenses-sl'!$E:$E,"METAADS",'g-expenses-sl'!$F:$F,$C64)</f>
        <v/>
      </c>
      <c r="J64" s="5">
        <f>SUMIFS('g-expenses-sl'!$G:$G,'g-expenses-sl'!$A:$A,J$1,'g-expenses-sl'!$D:$D,"marketing",'g-expenses-sl'!$E:$E,"METAADS",'g-expenses-sl'!$F:$F,$C64)</f>
        <v/>
      </c>
      <c r="K64" s="5">
        <f>SUMIFS('g-expenses-sl'!$G:$G,'g-expenses-sl'!$A:$A,K$1,'g-expenses-sl'!$D:$D,"marketing",'g-expenses-sl'!$E:$E,"METAADS",'g-expenses-sl'!$F:$F,$C64)</f>
        <v/>
      </c>
      <c r="L64" s="5">
        <f>SUMIFS('g-expenses-sl'!$G:$G,'g-expenses-sl'!$A:$A,L$1,'g-expenses-sl'!$D:$D,"marketing",'g-expenses-sl'!$E:$E,"METAADS",'g-expenses-sl'!$F:$F,$C64)</f>
        <v/>
      </c>
      <c r="M64" s="5">
        <f>SUMIFS('g-expenses-sl'!$G:$G,'g-expenses-sl'!$A:$A,M$1,'g-expenses-sl'!$D:$D,"marketing",'g-expenses-sl'!$E:$E,"METAADS",'g-expenses-sl'!$F:$F,$C64)</f>
        <v/>
      </c>
      <c r="N64" s="5">
        <f>SUMIFS('g-expenses-sl'!$G:$G,'g-expenses-sl'!$A:$A,N$1,'g-expenses-sl'!$D:$D,"marketing",'g-expenses-sl'!$E:$E,"METAADS",'g-expenses-sl'!$F:$F,$C64)</f>
        <v/>
      </c>
      <c r="O64" s="5">
        <f>SUMIFS('g-expenses-sl'!$G:$G,'g-expenses-sl'!$A:$A,O$1,'g-expenses-sl'!$D:$D,"marketing",'g-expenses-sl'!$E:$E,"METAADS",'g-expenses-sl'!$F:$F,$C64)</f>
        <v/>
      </c>
      <c r="P64" s="24">
        <f>SUM(D64:O64)</f>
        <v/>
      </c>
      <c r="Q64" s="25" t="inlineStr">
        <is>
          <t>-&gt;</t>
        </is>
      </c>
    </row>
    <row r="65" hidden="1" outlineLevel="1" ht="12" customHeight="1">
      <c r="A65" s="23" t="inlineStr">
        <is>
          <t xml:space="preserve">            US</t>
        </is>
      </c>
      <c r="B65" s="4" t="n"/>
      <c r="C65" s="4" t="inlineStr">
        <is>
          <t>US</t>
        </is>
      </c>
      <c r="D65" s="5">
        <f>SUMIFS('g-expenses-sl'!$G:$G,'g-expenses-sl'!$A:$A,D$1,'g-expenses-sl'!$D:$D,"marketing",'g-expenses-sl'!$E:$E,"METAADS",'g-expenses-sl'!$F:$F,$C65)</f>
        <v/>
      </c>
      <c r="E65" s="5">
        <f>SUMIFS('g-expenses-sl'!$G:$G,'g-expenses-sl'!$A:$A,E$1,'g-expenses-sl'!$D:$D,"marketing",'g-expenses-sl'!$E:$E,"METAADS",'g-expenses-sl'!$F:$F,$C65)</f>
        <v/>
      </c>
      <c r="F65" s="5">
        <f>SUMIFS('g-expenses-sl'!$G:$G,'g-expenses-sl'!$A:$A,F$1,'g-expenses-sl'!$D:$D,"marketing",'g-expenses-sl'!$E:$E,"METAADS",'g-expenses-sl'!$F:$F,$C65)</f>
        <v/>
      </c>
      <c r="G65" s="5">
        <f>SUMIFS('g-expenses-sl'!$G:$G,'g-expenses-sl'!$A:$A,G$1,'g-expenses-sl'!$D:$D,"marketing",'g-expenses-sl'!$E:$E,"METAADS",'g-expenses-sl'!$F:$F,$C65)</f>
        <v/>
      </c>
      <c r="H65" s="5">
        <f>SUMIFS('g-expenses-sl'!$G:$G,'g-expenses-sl'!$A:$A,H$1,'g-expenses-sl'!$D:$D,"marketing",'g-expenses-sl'!$E:$E,"METAADS",'g-expenses-sl'!$F:$F,$C65)</f>
        <v/>
      </c>
      <c r="I65" s="5">
        <f>SUMIFS('g-expenses-sl'!$G:$G,'g-expenses-sl'!$A:$A,I$1,'g-expenses-sl'!$D:$D,"marketing",'g-expenses-sl'!$E:$E,"METAADS",'g-expenses-sl'!$F:$F,$C65)</f>
        <v/>
      </c>
      <c r="J65" s="5">
        <f>SUMIFS('g-expenses-sl'!$G:$G,'g-expenses-sl'!$A:$A,J$1,'g-expenses-sl'!$D:$D,"marketing",'g-expenses-sl'!$E:$E,"METAADS",'g-expenses-sl'!$F:$F,$C65)</f>
        <v/>
      </c>
      <c r="K65" s="5">
        <f>SUMIFS('g-expenses-sl'!$G:$G,'g-expenses-sl'!$A:$A,K$1,'g-expenses-sl'!$D:$D,"marketing",'g-expenses-sl'!$E:$E,"METAADS",'g-expenses-sl'!$F:$F,$C65)</f>
        <v/>
      </c>
      <c r="L65" s="5">
        <f>SUMIFS('g-expenses-sl'!$G:$G,'g-expenses-sl'!$A:$A,L$1,'g-expenses-sl'!$D:$D,"marketing",'g-expenses-sl'!$E:$E,"METAADS",'g-expenses-sl'!$F:$F,$C65)</f>
        <v/>
      </c>
      <c r="M65" s="5">
        <f>SUMIFS('g-expenses-sl'!$G:$G,'g-expenses-sl'!$A:$A,M$1,'g-expenses-sl'!$D:$D,"marketing",'g-expenses-sl'!$E:$E,"METAADS",'g-expenses-sl'!$F:$F,$C65)</f>
        <v/>
      </c>
      <c r="N65" s="5">
        <f>SUMIFS('g-expenses-sl'!$G:$G,'g-expenses-sl'!$A:$A,N$1,'g-expenses-sl'!$D:$D,"marketing",'g-expenses-sl'!$E:$E,"METAADS",'g-expenses-sl'!$F:$F,$C65)</f>
        <v/>
      </c>
      <c r="O65" s="5">
        <f>SUMIFS('g-expenses-sl'!$G:$G,'g-expenses-sl'!$A:$A,O$1,'g-expenses-sl'!$D:$D,"marketing",'g-expenses-sl'!$E:$E,"METAADS",'g-expenses-sl'!$F:$F,$C65)</f>
        <v/>
      </c>
      <c r="P65" s="24">
        <f>SUM(D65:O65)</f>
        <v/>
      </c>
      <c r="Q65" s="25" t="inlineStr">
        <is>
          <t>-&gt;</t>
        </is>
      </c>
    </row>
    <row r="66" hidden="1" outlineLevel="1" ht="12" customHeight="1">
      <c r="A66" s="17" t="inlineStr">
        <is>
          <t xml:space="preserve">        GOOGLEADS</t>
        </is>
      </c>
      <c r="B66" s="18" t="n"/>
      <c r="C66" s="19" t="inlineStr">
        <is>
          <t>GOOGLEADS</t>
        </is>
      </c>
      <c r="D66" s="20">
        <f>SUM(D67:D69)</f>
        <v/>
      </c>
      <c r="E66" s="20">
        <f>SUM(E67:E69)</f>
        <v/>
      </c>
      <c r="F66" s="20">
        <f>SUM(F67:F69)</f>
        <v/>
      </c>
      <c r="G66" s="20">
        <f>SUM(G67:G69)</f>
        <v/>
      </c>
      <c r="H66" s="20">
        <f>SUM(H67:H69)</f>
        <v/>
      </c>
      <c r="I66" s="20">
        <f>SUM(I67:I69)</f>
        <v/>
      </c>
      <c r="J66" s="20">
        <f>SUM(J67:J69)</f>
        <v/>
      </c>
      <c r="K66" s="20">
        <f>SUM(K67:K69)</f>
        <v/>
      </c>
      <c r="L66" s="20">
        <f>SUM(L67:L69)</f>
        <v/>
      </c>
      <c r="M66" s="20">
        <f>SUM(M67:M69)</f>
        <v/>
      </c>
      <c r="N66" s="20">
        <f>SUM(N67:N69)</f>
        <v/>
      </c>
      <c r="O66" s="20">
        <f>SUM(O67:O69)</f>
        <v/>
      </c>
      <c r="P66" s="21">
        <f>SUM(D66:O66)</f>
        <v/>
      </c>
      <c r="Q66" s="22" t="inlineStr">
        <is>
          <t>-&gt;</t>
        </is>
      </c>
    </row>
    <row r="67" hidden="1" outlineLevel="1" ht="12" customHeight="1">
      <c r="A67" s="23" t="inlineStr">
        <is>
          <t xml:space="preserve">            EU</t>
        </is>
      </c>
      <c r="B67" s="4" t="n"/>
      <c r="C67" s="4" t="inlineStr">
        <is>
          <t>EU</t>
        </is>
      </c>
      <c r="D67" s="5">
        <f>SUMIFS('g-expenses-sl'!$G:$G,'g-expenses-sl'!$A:$A,D$1,'g-expenses-sl'!$D:$D,"marketing",'g-expenses-sl'!$E:$E,"GOOGLEADS",'g-expenses-sl'!$F:$F,$C67)</f>
        <v/>
      </c>
      <c r="E67" s="5">
        <f>SUMIFS('g-expenses-sl'!$G:$G,'g-expenses-sl'!$A:$A,E$1,'g-expenses-sl'!$D:$D,"marketing",'g-expenses-sl'!$E:$E,"GOOGLEADS",'g-expenses-sl'!$F:$F,$C67)</f>
        <v/>
      </c>
      <c r="F67" s="5">
        <f>SUMIFS('g-expenses-sl'!$G:$G,'g-expenses-sl'!$A:$A,F$1,'g-expenses-sl'!$D:$D,"marketing",'g-expenses-sl'!$E:$E,"GOOGLEADS",'g-expenses-sl'!$F:$F,$C67)</f>
        <v/>
      </c>
      <c r="G67" s="5">
        <f>SUMIFS('g-expenses-sl'!$G:$G,'g-expenses-sl'!$A:$A,G$1,'g-expenses-sl'!$D:$D,"marketing",'g-expenses-sl'!$E:$E,"GOOGLEADS",'g-expenses-sl'!$F:$F,$C67)</f>
        <v/>
      </c>
      <c r="H67" s="5">
        <f>SUMIFS('g-expenses-sl'!$G:$G,'g-expenses-sl'!$A:$A,H$1,'g-expenses-sl'!$D:$D,"marketing",'g-expenses-sl'!$E:$E,"GOOGLEADS",'g-expenses-sl'!$F:$F,$C67)</f>
        <v/>
      </c>
      <c r="I67" s="5">
        <f>SUMIFS('g-expenses-sl'!$G:$G,'g-expenses-sl'!$A:$A,I$1,'g-expenses-sl'!$D:$D,"marketing",'g-expenses-sl'!$E:$E,"GOOGLEADS",'g-expenses-sl'!$F:$F,$C67)</f>
        <v/>
      </c>
      <c r="J67" s="5">
        <f>SUMIFS('g-expenses-sl'!$G:$G,'g-expenses-sl'!$A:$A,J$1,'g-expenses-sl'!$D:$D,"marketing",'g-expenses-sl'!$E:$E,"GOOGLEADS",'g-expenses-sl'!$F:$F,$C67)</f>
        <v/>
      </c>
      <c r="K67" s="5">
        <f>SUMIFS('g-expenses-sl'!$G:$G,'g-expenses-sl'!$A:$A,K$1,'g-expenses-sl'!$D:$D,"marketing",'g-expenses-sl'!$E:$E,"GOOGLEADS",'g-expenses-sl'!$F:$F,$C67)</f>
        <v/>
      </c>
      <c r="L67" s="5">
        <f>SUMIFS('g-expenses-sl'!$G:$G,'g-expenses-sl'!$A:$A,L$1,'g-expenses-sl'!$D:$D,"marketing",'g-expenses-sl'!$E:$E,"GOOGLEADS",'g-expenses-sl'!$F:$F,$C67)</f>
        <v/>
      </c>
      <c r="M67" s="5">
        <f>SUMIFS('g-expenses-sl'!$G:$G,'g-expenses-sl'!$A:$A,M$1,'g-expenses-sl'!$D:$D,"marketing",'g-expenses-sl'!$E:$E,"GOOGLEADS",'g-expenses-sl'!$F:$F,$C67)</f>
        <v/>
      </c>
      <c r="N67" s="5">
        <f>SUMIFS('g-expenses-sl'!$G:$G,'g-expenses-sl'!$A:$A,N$1,'g-expenses-sl'!$D:$D,"marketing",'g-expenses-sl'!$E:$E,"GOOGLEADS",'g-expenses-sl'!$F:$F,$C67)</f>
        <v/>
      </c>
      <c r="O67" s="5">
        <f>SUMIFS('g-expenses-sl'!$G:$G,'g-expenses-sl'!$A:$A,O$1,'g-expenses-sl'!$D:$D,"marketing",'g-expenses-sl'!$E:$E,"GOOGLEADS",'g-expenses-sl'!$F:$F,$C67)</f>
        <v/>
      </c>
      <c r="P67" s="24">
        <f>SUM(D67:O67)</f>
        <v/>
      </c>
      <c r="Q67" s="25" t="inlineStr">
        <is>
          <t>-&gt;</t>
        </is>
      </c>
    </row>
    <row r="68" hidden="1" outlineLevel="1" ht="12" customHeight="1">
      <c r="A68" s="23" t="inlineStr">
        <is>
          <t xml:space="preserve">            UK</t>
        </is>
      </c>
      <c r="B68" s="4" t="n"/>
      <c r="C68" s="4" t="inlineStr">
        <is>
          <t>UK</t>
        </is>
      </c>
      <c r="D68" s="5">
        <f>SUMIFS('g-expenses-sl'!$G:$G,'g-expenses-sl'!$A:$A,D$1,'g-expenses-sl'!$D:$D,"marketing",'g-expenses-sl'!$E:$E,"GOOGLEADS",'g-expenses-sl'!$F:$F,$C68)</f>
        <v/>
      </c>
      <c r="E68" s="5">
        <f>SUMIFS('g-expenses-sl'!$G:$G,'g-expenses-sl'!$A:$A,E$1,'g-expenses-sl'!$D:$D,"marketing",'g-expenses-sl'!$E:$E,"GOOGLEADS",'g-expenses-sl'!$F:$F,$C68)</f>
        <v/>
      </c>
      <c r="F68" s="5">
        <f>SUMIFS('g-expenses-sl'!$G:$G,'g-expenses-sl'!$A:$A,F$1,'g-expenses-sl'!$D:$D,"marketing",'g-expenses-sl'!$E:$E,"GOOGLEADS",'g-expenses-sl'!$F:$F,$C68)</f>
        <v/>
      </c>
      <c r="G68" s="5">
        <f>SUMIFS('g-expenses-sl'!$G:$G,'g-expenses-sl'!$A:$A,G$1,'g-expenses-sl'!$D:$D,"marketing",'g-expenses-sl'!$E:$E,"GOOGLEADS",'g-expenses-sl'!$F:$F,$C68)</f>
        <v/>
      </c>
      <c r="H68" s="5">
        <f>SUMIFS('g-expenses-sl'!$G:$G,'g-expenses-sl'!$A:$A,H$1,'g-expenses-sl'!$D:$D,"marketing",'g-expenses-sl'!$E:$E,"GOOGLEADS",'g-expenses-sl'!$F:$F,$C68)</f>
        <v/>
      </c>
      <c r="I68" s="5">
        <f>SUMIFS('g-expenses-sl'!$G:$G,'g-expenses-sl'!$A:$A,I$1,'g-expenses-sl'!$D:$D,"marketing",'g-expenses-sl'!$E:$E,"GOOGLEADS",'g-expenses-sl'!$F:$F,$C68)</f>
        <v/>
      </c>
      <c r="J68" s="5">
        <f>SUMIFS('g-expenses-sl'!$G:$G,'g-expenses-sl'!$A:$A,J$1,'g-expenses-sl'!$D:$D,"marketing",'g-expenses-sl'!$E:$E,"GOOGLEADS",'g-expenses-sl'!$F:$F,$C68)</f>
        <v/>
      </c>
      <c r="K68" s="5">
        <f>SUMIFS('g-expenses-sl'!$G:$G,'g-expenses-sl'!$A:$A,K$1,'g-expenses-sl'!$D:$D,"marketing",'g-expenses-sl'!$E:$E,"GOOGLEADS",'g-expenses-sl'!$F:$F,$C68)</f>
        <v/>
      </c>
      <c r="L68" s="5">
        <f>SUMIFS('g-expenses-sl'!$G:$G,'g-expenses-sl'!$A:$A,L$1,'g-expenses-sl'!$D:$D,"marketing",'g-expenses-sl'!$E:$E,"GOOGLEADS",'g-expenses-sl'!$F:$F,$C68)</f>
        <v/>
      </c>
      <c r="M68" s="5">
        <f>SUMIFS('g-expenses-sl'!$G:$G,'g-expenses-sl'!$A:$A,M$1,'g-expenses-sl'!$D:$D,"marketing",'g-expenses-sl'!$E:$E,"GOOGLEADS",'g-expenses-sl'!$F:$F,$C68)</f>
        <v/>
      </c>
      <c r="N68" s="5">
        <f>SUMIFS('g-expenses-sl'!$G:$G,'g-expenses-sl'!$A:$A,N$1,'g-expenses-sl'!$D:$D,"marketing",'g-expenses-sl'!$E:$E,"GOOGLEADS",'g-expenses-sl'!$F:$F,$C68)</f>
        <v/>
      </c>
      <c r="O68" s="5">
        <f>SUMIFS('g-expenses-sl'!$G:$G,'g-expenses-sl'!$A:$A,O$1,'g-expenses-sl'!$D:$D,"marketing",'g-expenses-sl'!$E:$E,"GOOGLEADS",'g-expenses-sl'!$F:$F,$C68)</f>
        <v/>
      </c>
      <c r="P68" s="24">
        <f>SUM(D68:O68)</f>
        <v/>
      </c>
      <c r="Q68" s="25" t="inlineStr">
        <is>
          <t>-&gt;</t>
        </is>
      </c>
    </row>
    <row r="69" hidden="1" outlineLevel="1" ht="12" customHeight="1">
      <c r="A69" s="23" t="inlineStr">
        <is>
          <t xml:space="preserve">            US</t>
        </is>
      </c>
      <c r="B69" s="4" t="n"/>
      <c r="C69" s="4" t="inlineStr">
        <is>
          <t>US</t>
        </is>
      </c>
      <c r="D69" s="5">
        <f>SUMIFS('g-expenses-sl'!$G:$G,'g-expenses-sl'!$A:$A,D$1,'g-expenses-sl'!$D:$D,"marketing",'g-expenses-sl'!$E:$E,"GOOGLEADS",'g-expenses-sl'!$F:$F,$C69)</f>
        <v/>
      </c>
      <c r="E69" s="5">
        <f>SUMIFS('g-expenses-sl'!$G:$G,'g-expenses-sl'!$A:$A,E$1,'g-expenses-sl'!$D:$D,"marketing",'g-expenses-sl'!$E:$E,"GOOGLEADS",'g-expenses-sl'!$F:$F,$C69)</f>
        <v/>
      </c>
      <c r="F69" s="5">
        <f>SUMIFS('g-expenses-sl'!$G:$G,'g-expenses-sl'!$A:$A,F$1,'g-expenses-sl'!$D:$D,"marketing",'g-expenses-sl'!$E:$E,"GOOGLEADS",'g-expenses-sl'!$F:$F,$C69)</f>
        <v/>
      </c>
      <c r="G69" s="5">
        <f>SUMIFS('g-expenses-sl'!$G:$G,'g-expenses-sl'!$A:$A,G$1,'g-expenses-sl'!$D:$D,"marketing",'g-expenses-sl'!$E:$E,"GOOGLEADS",'g-expenses-sl'!$F:$F,$C69)</f>
        <v/>
      </c>
      <c r="H69" s="5">
        <f>SUMIFS('g-expenses-sl'!$G:$G,'g-expenses-sl'!$A:$A,H$1,'g-expenses-sl'!$D:$D,"marketing",'g-expenses-sl'!$E:$E,"GOOGLEADS",'g-expenses-sl'!$F:$F,$C69)</f>
        <v/>
      </c>
      <c r="I69" s="5">
        <f>SUMIFS('g-expenses-sl'!$G:$G,'g-expenses-sl'!$A:$A,I$1,'g-expenses-sl'!$D:$D,"marketing",'g-expenses-sl'!$E:$E,"GOOGLEADS",'g-expenses-sl'!$F:$F,$C69)</f>
        <v/>
      </c>
      <c r="J69" s="5">
        <f>SUMIFS('g-expenses-sl'!$G:$G,'g-expenses-sl'!$A:$A,J$1,'g-expenses-sl'!$D:$D,"marketing",'g-expenses-sl'!$E:$E,"GOOGLEADS",'g-expenses-sl'!$F:$F,$C69)</f>
        <v/>
      </c>
      <c r="K69" s="5">
        <f>SUMIFS('g-expenses-sl'!$G:$G,'g-expenses-sl'!$A:$A,K$1,'g-expenses-sl'!$D:$D,"marketing",'g-expenses-sl'!$E:$E,"GOOGLEADS",'g-expenses-sl'!$F:$F,$C69)</f>
        <v/>
      </c>
      <c r="L69" s="5">
        <f>SUMIFS('g-expenses-sl'!$G:$G,'g-expenses-sl'!$A:$A,L$1,'g-expenses-sl'!$D:$D,"marketing",'g-expenses-sl'!$E:$E,"GOOGLEADS",'g-expenses-sl'!$F:$F,$C69)</f>
        <v/>
      </c>
      <c r="M69" s="5">
        <f>SUMIFS('g-expenses-sl'!$G:$G,'g-expenses-sl'!$A:$A,M$1,'g-expenses-sl'!$D:$D,"marketing",'g-expenses-sl'!$E:$E,"GOOGLEADS",'g-expenses-sl'!$F:$F,$C69)</f>
        <v/>
      </c>
      <c r="N69" s="5">
        <f>SUMIFS('g-expenses-sl'!$G:$G,'g-expenses-sl'!$A:$A,N$1,'g-expenses-sl'!$D:$D,"marketing",'g-expenses-sl'!$E:$E,"GOOGLEADS",'g-expenses-sl'!$F:$F,$C69)</f>
        <v/>
      </c>
      <c r="O69" s="5">
        <f>SUMIFS('g-expenses-sl'!$G:$G,'g-expenses-sl'!$A:$A,O$1,'g-expenses-sl'!$D:$D,"marketing",'g-expenses-sl'!$E:$E,"GOOGLEADS",'g-expenses-sl'!$F:$F,$C69)</f>
        <v/>
      </c>
      <c r="P69" s="24">
        <f>SUM(D69:O69)</f>
        <v/>
      </c>
      <c r="Q69" s="25" t="inlineStr">
        <is>
          <t>-&gt;</t>
        </is>
      </c>
    </row>
    <row r="70" hidden="1" outlineLevel="1" collapsed="1" ht="12" customHeight="1">
      <c r="A70" s="40" t="inlineStr">
        <is>
          <t xml:space="preserve">        Sales / mkt EU</t>
        </is>
      </c>
      <c r="B70" s="28" t="n"/>
      <c r="C70" s="29" t="inlineStr">
        <is>
          <t>Sales / mkt EU</t>
        </is>
      </c>
      <c r="D70" s="41">
        <f>IFERROR(SUM(D7:D14)/(D63+D67),0)</f>
        <v/>
      </c>
      <c r="E70" s="41">
        <f>IFERROR(SUM(E7:E14)/(E63+E67),0)</f>
        <v/>
      </c>
      <c r="F70" s="41">
        <f>IFERROR(SUM(F7:F14)/(F63+F67),0)</f>
        <v/>
      </c>
      <c r="G70" s="41">
        <f>IFERROR(SUM(G7:G14)/(G63+G67),0)</f>
        <v/>
      </c>
      <c r="H70" s="41">
        <f>IFERROR(SUM(H7:H14)/(H63+H67),0)</f>
        <v/>
      </c>
      <c r="I70" s="41">
        <f>IFERROR(SUM(I7:I14)/(I63+I67),0)</f>
        <v/>
      </c>
      <c r="J70" s="41">
        <f>IFERROR(SUM(J7:J14)/(J63+J67),0)</f>
        <v/>
      </c>
      <c r="K70" s="41">
        <f>IFERROR(SUM(K7:K14)/(K63+K67),0)</f>
        <v/>
      </c>
      <c r="L70" s="41">
        <f>IFERROR(SUM(L7:L14)/(L63+L67),0)</f>
        <v/>
      </c>
      <c r="M70" s="41">
        <f>IFERROR(SUM(M7:M14)/(M63+M67),0)</f>
        <v/>
      </c>
      <c r="N70" s="41">
        <f>IFERROR(SUM(N7:N14)/(N63+N67),0)</f>
        <v/>
      </c>
      <c r="O70" s="41">
        <f>IFERROR(SUM(O7:O14)/(O63+O67),0)</f>
        <v/>
      </c>
      <c r="P70" s="42">
        <f>SUM(D70:O70)</f>
        <v/>
      </c>
      <c r="Q70" s="41" t="n"/>
    </row>
    <row r="71" ht="12" customHeight="1">
      <c r="A71" s="17" t="inlineStr">
        <is>
          <t xml:space="preserve">        Staff</t>
        </is>
      </c>
      <c r="B71" s="18" t="n"/>
      <c r="C71" s="19" t="inlineStr">
        <is>
          <t>Staff</t>
        </is>
      </c>
      <c r="D71" s="20">
        <f>SUM(D72:D73)</f>
        <v/>
      </c>
      <c r="E71" s="20">
        <f>SUM(E72:E73)</f>
        <v/>
      </c>
      <c r="F71" s="20">
        <f>SUM(F72:F73)</f>
        <v/>
      </c>
      <c r="G71" s="20">
        <f>SUM(G72:G73)</f>
        <v/>
      </c>
      <c r="H71" s="20">
        <f>SUM(H72:H73)</f>
        <v/>
      </c>
      <c r="I71" s="20">
        <f>SUM(I72:I73)</f>
        <v/>
      </c>
      <c r="J71" s="20">
        <f>SUM(J72:J73)</f>
        <v/>
      </c>
      <c r="K71" s="20">
        <f>SUM(K72:K73)</f>
        <v/>
      </c>
      <c r="L71" s="20">
        <f>SUM(L72:L73)</f>
        <v/>
      </c>
      <c r="M71" s="20">
        <f>SUM(M72:M73)</f>
        <v/>
      </c>
      <c r="N71" s="20">
        <f>SUM(N72:N73)</f>
        <v/>
      </c>
      <c r="O71" s="20">
        <f>SUM(O72:O73)</f>
        <v/>
      </c>
      <c r="P71" s="21">
        <f>SUM(D71:O71)</f>
        <v/>
      </c>
      <c r="Q71" s="22" t="inlineStr">
        <is>
          <t>-&gt;</t>
        </is>
      </c>
    </row>
    <row r="72" hidden="1" outlineLevel="1" ht="12" customHeight="1">
      <c r="A72" s="23" t="inlineStr">
        <is>
          <t xml:space="preserve">            PAYROLL</t>
        </is>
      </c>
      <c r="B72" s="4" t="n"/>
      <c r="C72" s="4" t="inlineStr">
        <is>
          <t>PAYROLL</t>
        </is>
      </c>
      <c r="D72" s="5">
        <f>SUMIFS('g-expenses-sl'!$G:$G,'g-expenses-sl'!$A:$A,D$1,'g-expenses-sl'!$D:$D,"staff",'g-expenses-sl'!$E:$E,$C72)</f>
        <v/>
      </c>
      <c r="E72" s="5">
        <f>SUMIFS('g-expenses-sl'!$G:$G,'g-expenses-sl'!$A:$A,E$1,'g-expenses-sl'!$D:$D,"staff",'g-expenses-sl'!$E:$E,$C72)</f>
        <v/>
      </c>
      <c r="F72" s="5">
        <f>SUMIFS('g-expenses-sl'!$G:$G,'g-expenses-sl'!$A:$A,F$1,'g-expenses-sl'!$D:$D,"staff",'g-expenses-sl'!$E:$E,$C72)</f>
        <v/>
      </c>
      <c r="G72" s="5">
        <f>SUMIFS('g-expenses-sl'!$G:$G,'g-expenses-sl'!$A:$A,G$1,'g-expenses-sl'!$D:$D,"staff",'g-expenses-sl'!$E:$E,$C72)</f>
        <v/>
      </c>
      <c r="H72" s="5">
        <f>SUMIFS('g-expenses-sl'!$G:$G,'g-expenses-sl'!$A:$A,H$1,'g-expenses-sl'!$D:$D,"staff",'g-expenses-sl'!$E:$E,$C72)</f>
        <v/>
      </c>
      <c r="I72" s="5">
        <f>SUMIFS('g-expenses-sl'!$G:$G,'g-expenses-sl'!$A:$A,I$1,'g-expenses-sl'!$D:$D,"staff",'g-expenses-sl'!$E:$E,$C72)</f>
        <v/>
      </c>
      <c r="J72" s="5">
        <f>SUMIFS('g-expenses-sl'!$G:$G,'g-expenses-sl'!$A:$A,J$1,'g-expenses-sl'!$D:$D,"staff",'g-expenses-sl'!$E:$E,$C72)</f>
        <v/>
      </c>
      <c r="K72" s="5">
        <f>SUMIFS('g-expenses-sl'!$G:$G,'g-expenses-sl'!$A:$A,K$1,'g-expenses-sl'!$D:$D,"staff",'g-expenses-sl'!$E:$E,$C72)</f>
        <v/>
      </c>
      <c r="L72" s="5">
        <f>SUMIFS('g-expenses-sl'!$G:$G,'g-expenses-sl'!$A:$A,L$1,'g-expenses-sl'!$D:$D,"staff",'g-expenses-sl'!$E:$E,$C72)</f>
        <v/>
      </c>
      <c r="M72" s="5">
        <f>SUMIFS('g-expenses-sl'!$G:$G,'g-expenses-sl'!$A:$A,M$1,'g-expenses-sl'!$D:$D,"staff",'g-expenses-sl'!$E:$E,$C72)</f>
        <v/>
      </c>
      <c r="N72" s="5">
        <f>SUMIFS('g-expenses-sl'!$G:$G,'g-expenses-sl'!$A:$A,N$1,'g-expenses-sl'!$D:$D,"staff",'g-expenses-sl'!$E:$E,$C72)</f>
        <v/>
      </c>
      <c r="O72" s="5">
        <f>SUMIFS('g-expenses-sl'!$G:$G,'g-expenses-sl'!$A:$A,O$1,'g-expenses-sl'!$D:$D,"staff",'g-expenses-sl'!$E:$E,$C72)</f>
        <v/>
      </c>
      <c r="P72" s="24">
        <f>SUM(D72:O72)</f>
        <v/>
      </c>
      <c r="Q72" s="25" t="inlineStr">
        <is>
          <t>-&gt;</t>
        </is>
      </c>
    </row>
    <row r="73" hidden="1" outlineLevel="1" collapsed="1" ht="12" customHeight="1">
      <c r="A73" s="23" t="inlineStr">
        <is>
          <t xml:space="preserve">            DOSCONSULTING</t>
        </is>
      </c>
      <c r="B73" s="4" t="n"/>
      <c r="C73" s="4" t="inlineStr">
        <is>
          <t>DOSCONSULTING</t>
        </is>
      </c>
      <c r="D73" s="5">
        <f>SUMIFS('g-expenses-sl'!$G:$G,'g-expenses-sl'!$A:$A,D$1,'g-expenses-sl'!$D:$D,"staff",'g-expenses-sl'!$E:$E,$C73)</f>
        <v/>
      </c>
      <c r="E73" s="5">
        <f>SUMIFS('g-expenses-sl'!$G:$G,'g-expenses-sl'!$A:$A,E$1,'g-expenses-sl'!$D:$D,"staff",'g-expenses-sl'!$E:$E,$C73)</f>
        <v/>
      </c>
      <c r="F73" s="5">
        <f>SUMIFS('g-expenses-sl'!$G:$G,'g-expenses-sl'!$A:$A,F$1,'g-expenses-sl'!$D:$D,"staff",'g-expenses-sl'!$E:$E,$C73)</f>
        <v/>
      </c>
      <c r="G73" s="5">
        <f>SUMIFS('g-expenses-sl'!$G:$G,'g-expenses-sl'!$A:$A,G$1,'g-expenses-sl'!$D:$D,"staff",'g-expenses-sl'!$E:$E,$C73)</f>
        <v/>
      </c>
      <c r="H73" s="5">
        <f>SUMIFS('g-expenses-sl'!$G:$G,'g-expenses-sl'!$A:$A,H$1,'g-expenses-sl'!$D:$D,"staff",'g-expenses-sl'!$E:$E,$C73)</f>
        <v/>
      </c>
      <c r="I73" s="5">
        <f>SUMIFS('g-expenses-sl'!$G:$G,'g-expenses-sl'!$A:$A,I$1,'g-expenses-sl'!$D:$D,"staff",'g-expenses-sl'!$E:$E,$C73)</f>
        <v/>
      </c>
      <c r="J73" s="5">
        <f>SUMIFS('g-expenses-sl'!$G:$G,'g-expenses-sl'!$A:$A,J$1,'g-expenses-sl'!$D:$D,"staff",'g-expenses-sl'!$E:$E,$C73)</f>
        <v/>
      </c>
      <c r="K73" s="5">
        <f>SUMIFS('g-expenses-sl'!$G:$G,'g-expenses-sl'!$A:$A,K$1,'g-expenses-sl'!$D:$D,"staff",'g-expenses-sl'!$E:$E,$C73)</f>
        <v/>
      </c>
      <c r="L73" s="5">
        <f>SUMIFS('g-expenses-sl'!$G:$G,'g-expenses-sl'!$A:$A,L$1,'g-expenses-sl'!$D:$D,"staff",'g-expenses-sl'!$E:$E,$C73)</f>
        <v/>
      </c>
      <c r="M73" s="5">
        <f>SUMIFS('g-expenses-sl'!$G:$G,'g-expenses-sl'!$A:$A,M$1,'g-expenses-sl'!$D:$D,"staff",'g-expenses-sl'!$E:$E,$C73)</f>
        <v/>
      </c>
      <c r="N73" s="5">
        <f>SUMIFS('g-expenses-sl'!$G:$G,'g-expenses-sl'!$A:$A,N$1,'g-expenses-sl'!$D:$D,"staff",'g-expenses-sl'!$E:$E,$C73)</f>
        <v/>
      </c>
      <c r="O73" s="5">
        <f>SUMIFS('g-expenses-sl'!$G:$G,'g-expenses-sl'!$A:$A,O$1,'g-expenses-sl'!$D:$D,"staff",'g-expenses-sl'!$E:$E,$C73)</f>
        <v/>
      </c>
      <c r="P73" s="24">
        <f>SUM(D73:O73)</f>
        <v/>
      </c>
      <c r="Q73" s="25" t="inlineStr">
        <is>
          <t>-&gt;</t>
        </is>
      </c>
    </row>
    <row r="74" ht="12" customHeight="1">
      <c r="A74" s="17" t="inlineStr">
        <is>
          <t xml:space="preserve">        Administration</t>
        </is>
      </c>
      <c r="B74" s="18" t="n"/>
      <c r="C74" s="19" t="inlineStr">
        <is>
          <t>Administration</t>
        </is>
      </c>
      <c r="D74" s="20">
        <f>D75+D76+D80+D81+D82</f>
        <v/>
      </c>
      <c r="E74" s="20">
        <f>E75+E76+E80+E81+E82</f>
        <v/>
      </c>
      <c r="F74" s="20">
        <f>F75+F76+F80+F81+F82</f>
        <v/>
      </c>
      <c r="G74" s="20">
        <f>G75+G76+G80+G81+G82</f>
        <v/>
      </c>
      <c r="H74" s="20">
        <f>H75+H76+H80+H81+H82</f>
        <v/>
      </c>
      <c r="I74" s="20">
        <f>I75+I76+I80+I81+I82</f>
        <v/>
      </c>
      <c r="J74" s="20">
        <f>J75+J76+J80+J81+J82</f>
        <v/>
      </c>
      <c r="K74" s="20">
        <f>K75+K76+K80+K81+K82</f>
        <v/>
      </c>
      <c r="L74" s="20">
        <f>L75+L76+L80+L81+L82</f>
        <v/>
      </c>
      <c r="M74" s="20">
        <f>M75+M76+M80+M81+M82</f>
        <v/>
      </c>
      <c r="N74" s="20">
        <f>N75+N76+N80+N81+N82</f>
        <v/>
      </c>
      <c r="O74" s="20">
        <f>O75+O76+O80+O81+O82</f>
        <v/>
      </c>
      <c r="P74" s="21">
        <f>SUM(D74:O74)</f>
        <v/>
      </c>
      <c r="Q74" s="22" t="inlineStr">
        <is>
          <t>-&gt;</t>
        </is>
      </c>
    </row>
    <row r="75" hidden="1" outlineLevel="1" ht="12" customHeight="1">
      <c r="A75" s="23" t="inlineStr">
        <is>
          <t xml:space="preserve">            CLARIS</t>
        </is>
      </c>
      <c r="B75" s="4" t="n"/>
      <c r="C75" s="4" t="inlineStr">
        <is>
          <t>CLARIS</t>
        </is>
      </c>
      <c r="D75" s="5">
        <f>SUMIFS('g-expenses-sl'!$G:$G,'g-expenses-sl'!$A:$A,D$1,'g-expenses-sl'!$D:$D,"administration",'g-expenses-sl'!$E:$E,$C75)</f>
        <v/>
      </c>
      <c r="E75" s="5">
        <f>SUMIFS('g-expenses-sl'!$G:$G,'g-expenses-sl'!$A:$A,E$1,'g-expenses-sl'!$D:$D,"administration",'g-expenses-sl'!$E:$E,$C75)</f>
        <v/>
      </c>
      <c r="F75" s="5">
        <f>SUMIFS('g-expenses-sl'!$G:$G,'g-expenses-sl'!$A:$A,F$1,'g-expenses-sl'!$D:$D,"administration",'g-expenses-sl'!$E:$E,$C75)</f>
        <v/>
      </c>
      <c r="G75" s="5">
        <f>SUMIFS('g-expenses-sl'!$G:$G,'g-expenses-sl'!$A:$A,G$1,'g-expenses-sl'!$D:$D,"administration",'g-expenses-sl'!$E:$E,$C75)</f>
        <v/>
      </c>
      <c r="H75" s="5">
        <f>SUMIFS('g-expenses-sl'!$G:$G,'g-expenses-sl'!$A:$A,H$1,'g-expenses-sl'!$D:$D,"administration",'g-expenses-sl'!$E:$E,$C75)</f>
        <v/>
      </c>
      <c r="I75" s="5">
        <f>SUMIFS('g-expenses-sl'!$G:$G,'g-expenses-sl'!$A:$A,I$1,'g-expenses-sl'!$D:$D,"administration",'g-expenses-sl'!$E:$E,$C75)</f>
        <v/>
      </c>
      <c r="J75" s="5">
        <f>SUMIFS('g-expenses-sl'!$G:$G,'g-expenses-sl'!$A:$A,J$1,'g-expenses-sl'!$D:$D,"administration",'g-expenses-sl'!$E:$E,$C75)</f>
        <v/>
      </c>
      <c r="K75" s="5">
        <f>SUMIFS('g-expenses-sl'!$G:$G,'g-expenses-sl'!$A:$A,K$1,'g-expenses-sl'!$D:$D,"administration",'g-expenses-sl'!$E:$E,$C75)</f>
        <v/>
      </c>
      <c r="L75" s="5">
        <f>SUMIFS('g-expenses-sl'!$G:$G,'g-expenses-sl'!$A:$A,L$1,'g-expenses-sl'!$D:$D,"administration",'g-expenses-sl'!$E:$E,$C75)</f>
        <v/>
      </c>
      <c r="M75" s="5">
        <f>SUMIFS('g-expenses-sl'!$G:$G,'g-expenses-sl'!$A:$A,M$1,'g-expenses-sl'!$D:$D,"administration",'g-expenses-sl'!$E:$E,$C75)</f>
        <v/>
      </c>
      <c r="N75" s="5">
        <f>SUMIFS('g-expenses-sl'!$G:$G,'g-expenses-sl'!$A:$A,N$1,'g-expenses-sl'!$D:$D,"administration",'g-expenses-sl'!$E:$E,$C75)</f>
        <v/>
      </c>
      <c r="O75" s="5">
        <f>SUMIFS('g-expenses-sl'!$G:$G,'g-expenses-sl'!$A:$A,O$1,'g-expenses-sl'!$D:$D,"administration",'g-expenses-sl'!$E:$E,$C75)</f>
        <v/>
      </c>
      <c r="P75" s="24">
        <f>SUM(D75:O75)</f>
        <v/>
      </c>
      <c r="Q75" s="25" t="inlineStr">
        <is>
          <t>-&gt;</t>
        </is>
      </c>
    </row>
    <row r="76" hidden="1" outlineLevel="1" ht="12" customHeight="1">
      <c r="A76" s="23" t="inlineStr">
        <is>
          <t xml:space="preserve">            HANNUN</t>
        </is>
      </c>
      <c r="B76" s="4" t="n"/>
      <c r="C76" s="4" t="inlineStr">
        <is>
          <t>HANNUN</t>
        </is>
      </c>
      <c r="D76" s="5">
        <f>SUMIFS('g-expenses-sl'!$G:$G,'g-expenses-sl'!$A:$A,D$1,'g-expenses-sl'!$D:$D,"administration",'g-expenses-sl'!$E:$E,$C76)</f>
        <v/>
      </c>
      <c r="E76" s="5">
        <f>SUMIFS('g-expenses-sl'!$G:$G,'g-expenses-sl'!$A:$A,E$1,'g-expenses-sl'!$D:$D,"administration",'g-expenses-sl'!$E:$E,$C76)</f>
        <v/>
      </c>
      <c r="F76" s="5">
        <f>SUMIFS('g-expenses-sl'!$G:$G,'g-expenses-sl'!$A:$A,F$1,'g-expenses-sl'!$D:$D,"administration",'g-expenses-sl'!$E:$E,$C76)</f>
        <v/>
      </c>
      <c r="G76" s="5">
        <f>SUMIFS('g-expenses-sl'!$G:$G,'g-expenses-sl'!$A:$A,G$1,'g-expenses-sl'!$D:$D,"administration",'g-expenses-sl'!$E:$E,$C76)</f>
        <v/>
      </c>
      <c r="H76" s="5">
        <f>SUMIFS('g-expenses-sl'!$G:$G,'g-expenses-sl'!$A:$A,H$1,'g-expenses-sl'!$D:$D,"administration",'g-expenses-sl'!$E:$E,$C76)</f>
        <v/>
      </c>
      <c r="I76" s="5">
        <f>SUMIFS('g-expenses-sl'!$G:$G,'g-expenses-sl'!$A:$A,I$1,'g-expenses-sl'!$D:$D,"administration",'g-expenses-sl'!$E:$E,$C76)</f>
        <v/>
      </c>
      <c r="J76" s="5">
        <f>SUMIFS('g-expenses-sl'!$G:$G,'g-expenses-sl'!$A:$A,J$1,'g-expenses-sl'!$D:$D,"administration",'g-expenses-sl'!$E:$E,$C76)</f>
        <v/>
      </c>
      <c r="K76" s="5">
        <f>SUMIFS('g-expenses-sl'!$G:$G,'g-expenses-sl'!$A:$A,K$1,'g-expenses-sl'!$D:$D,"administration",'g-expenses-sl'!$E:$E,$C76)</f>
        <v/>
      </c>
      <c r="L76" s="5">
        <f>SUMIFS('g-expenses-sl'!$G:$G,'g-expenses-sl'!$A:$A,L$1,'g-expenses-sl'!$D:$D,"administration",'g-expenses-sl'!$E:$E,$C76)</f>
        <v/>
      </c>
      <c r="M76" s="5">
        <f>SUMIFS('g-expenses-sl'!$G:$G,'g-expenses-sl'!$A:$A,M$1,'g-expenses-sl'!$D:$D,"administration",'g-expenses-sl'!$E:$E,$C76)</f>
        <v/>
      </c>
      <c r="N76" s="5">
        <f>SUMIFS('g-expenses-sl'!$G:$G,'g-expenses-sl'!$A:$A,N$1,'g-expenses-sl'!$D:$D,"administration",'g-expenses-sl'!$E:$E,$C76)</f>
        <v/>
      </c>
      <c r="O76" s="5">
        <f>SUMIFS('g-expenses-sl'!$G:$G,'g-expenses-sl'!$A:$A,O$1,'g-expenses-sl'!$D:$D,"administration",'g-expenses-sl'!$E:$E,$C76)</f>
        <v/>
      </c>
      <c r="P76" s="24">
        <f>SUM(D76:O76)</f>
        <v/>
      </c>
      <c r="Q76" s="25" t="inlineStr">
        <is>
          <t>-&gt;</t>
        </is>
      </c>
    </row>
    <row r="77" hidden="1" outlineLevel="1" ht="12" customHeight="1">
      <c r="A77" s="23" t="inlineStr">
        <is>
          <t xml:space="preserve">            administration</t>
        </is>
      </c>
      <c r="B77" s="4" t="n"/>
      <c r="C77" s="4" t="inlineStr">
        <is>
          <t>administration</t>
        </is>
      </c>
      <c r="D77" s="5">
        <f>SUMIFS('g-expenses-sl'!$G:$G,'g-expenses-sl'!$A:$A,D$1,'g-expenses-sl'!$D:$D,"administration",'g-expenses-sl'!$E:$E,$C76,'g-expenses-sl'!$F:$F,$C77)</f>
        <v/>
      </c>
      <c r="E77" s="5">
        <f>SUMIFS('g-expenses-sl'!$G:$G,'g-expenses-sl'!$A:$A,E$1,'g-expenses-sl'!$D:$D,"administration",'g-expenses-sl'!$E:$E,$C76,'g-expenses-sl'!$F:$F,$C77)</f>
        <v/>
      </c>
      <c r="F77" s="5">
        <f>SUMIFS('g-expenses-sl'!$G:$G,'g-expenses-sl'!$A:$A,F$1,'g-expenses-sl'!$D:$D,"administration",'g-expenses-sl'!$E:$E,$C76,'g-expenses-sl'!$F:$F,$C77)</f>
        <v/>
      </c>
      <c r="G77" s="5">
        <f>SUMIFS('g-expenses-sl'!$G:$G,'g-expenses-sl'!$A:$A,G$1,'g-expenses-sl'!$D:$D,"administration",'g-expenses-sl'!$E:$E,$C76,'g-expenses-sl'!$F:$F,$C77)</f>
        <v/>
      </c>
      <c r="H77" s="5">
        <f>SUMIFS('g-expenses-sl'!$G:$G,'g-expenses-sl'!$A:$A,H$1,'g-expenses-sl'!$D:$D,"administration",'g-expenses-sl'!$E:$E,$C76,'g-expenses-sl'!$F:$F,$C77)</f>
        <v/>
      </c>
      <c r="I77" s="5">
        <f>SUMIFS('g-expenses-sl'!$G:$G,'g-expenses-sl'!$A:$A,I$1,'g-expenses-sl'!$D:$D,"administration",'g-expenses-sl'!$E:$E,$C76,'g-expenses-sl'!$F:$F,$C77)</f>
        <v/>
      </c>
      <c r="J77" s="5">
        <f>SUMIFS('g-expenses-sl'!$G:$G,'g-expenses-sl'!$A:$A,J$1,'g-expenses-sl'!$D:$D,"administration",'g-expenses-sl'!$E:$E,$C76,'g-expenses-sl'!$F:$F,$C77)</f>
        <v/>
      </c>
      <c r="K77" s="5">
        <f>SUMIFS('g-expenses-sl'!$G:$G,'g-expenses-sl'!$A:$A,K$1,'g-expenses-sl'!$D:$D,"administration",'g-expenses-sl'!$E:$E,$C76,'g-expenses-sl'!$F:$F,$C77)</f>
        <v/>
      </c>
      <c r="L77" s="5">
        <f>SUMIFS('g-expenses-sl'!$G:$G,'g-expenses-sl'!$A:$A,L$1,'g-expenses-sl'!$D:$D,"administration",'g-expenses-sl'!$E:$E,$C76,'g-expenses-sl'!$F:$F,$C77)</f>
        <v/>
      </c>
      <c r="M77" s="5">
        <f>SUMIFS('g-expenses-sl'!$G:$G,'g-expenses-sl'!$A:$A,M$1,'g-expenses-sl'!$D:$D,"administration",'g-expenses-sl'!$E:$E,$C76,'g-expenses-sl'!$F:$F,$C77)</f>
        <v/>
      </c>
      <c r="N77" s="5">
        <f>SUMIFS('g-expenses-sl'!$G:$G,'g-expenses-sl'!$A:$A,N$1,'g-expenses-sl'!$D:$D,"administration",'g-expenses-sl'!$E:$E,$C76,'g-expenses-sl'!$F:$F,$C77)</f>
        <v/>
      </c>
      <c r="O77" s="5">
        <f>SUMIFS('g-expenses-sl'!$G:$G,'g-expenses-sl'!$A:$A,O$1,'g-expenses-sl'!$D:$D,"administration",'g-expenses-sl'!$E:$E,$C76,'g-expenses-sl'!$F:$F,$C77)</f>
        <v/>
      </c>
      <c r="P77" s="24">
        <f>SUM(D77:O77)</f>
        <v/>
      </c>
      <c r="Q77" s="25" t="inlineStr">
        <is>
          <t>-&gt;</t>
        </is>
      </c>
    </row>
    <row r="78" hidden="1" outlineLevel="1" ht="12" customHeight="1">
      <c r="A78" s="23" t="inlineStr">
        <is>
          <t xml:space="preserve">            office</t>
        </is>
      </c>
      <c r="B78" s="4" t="n"/>
      <c r="C78" s="4" t="inlineStr">
        <is>
          <t>office</t>
        </is>
      </c>
      <c r="D78" s="5">
        <f>SUMIFS('g-expenses-sl'!$G:$G,'g-expenses-sl'!$A:$A,D$1,'g-expenses-sl'!$D:$D,"administration",'g-expenses-sl'!$E:$E,$C76,'g-expenses-sl'!$F:$F,$C78)</f>
        <v/>
      </c>
      <c r="E78" s="5">
        <f>SUMIFS('g-expenses-sl'!$G:$G,'g-expenses-sl'!$A:$A,E$1,'g-expenses-sl'!$D:$D,"administration",'g-expenses-sl'!$E:$E,$C76,'g-expenses-sl'!$F:$F,$C78)</f>
        <v/>
      </c>
      <c r="F78" s="5">
        <f>SUMIFS('g-expenses-sl'!$G:$G,'g-expenses-sl'!$A:$A,F$1,'g-expenses-sl'!$D:$D,"administration",'g-expenses-sl'!$E:$E,$C76,'g-expenses-sl'!$F:$F,$C78)</f>
        <v/>
      </c>
      <c r="G78" s="5">
        <f>SUMIFS('g-expenses-sl'!$G:$G,'g-expenses-sl'!$A:$A,G$1,'g-expenses-sl'!$D:$D,"administration",'g-expenses-sl'!$E:$E,$C76,'g-expenses-sl'!$F:$F,$C78)</f>
        <v/>
      </c>
      <c r="H78" s="5">
        <f>SUMIFS('g-expenses-sl'!$G:$G,'g-expenses-sl'!$A:$A,H$1,'g-expenses-sl'!$D:$D,"administration",'g-expenses-sl'!$E:$E,$C76,'g-expenses-sl'!$F:$F,$C78)</f>
        <v/>
      </c>
      <c r="I78" s="5">
        <f>SUMIFS('g-expenses-sl'!$G:$G,'g-expenses-sl'!$A:$A,I$1,'g-expenses-sl'!$D:$D,"administration",'g-expenses-sl'!$E:$E,$C76,'g-expenses-sl'!$F:$F,$C78)</f>
        <v/>
      </c>
      <c r="J78" s="5">
        <f>SUMIFS('g-expenses-sl'!$G:$G,'g-expenses-sl'!$A:$A,J$1,'g-expenses-sl'!$D:$D,"administration",'g-expenses-sl'!$E:$E,$C76,'g-expenses-sl'!$F:$F,$C78)</f>
        <v/>
      </c>
      <c r="K78" s="5">
        <f>SUMIFS('g-expenses-sl'!$G:$G,'g-expenses-sl'!$A:$A,K$1,'g-expenses-sl'!$D:$D,"administration",'g-expenses-sl'!$E:$E,$C76,'g-expenses-sl'!$F:$F,$C78)</f>
        <v/>
      </c>
      <c r="L78" s="5">
        <f>SUMIFS('g-expenses-sl'!$G:$G,'g-expenses-sl'!$A:$A,L$1,'g-expenses-sl'!$D:$D,"administration",'g-expenses-sl'!$E:$E,$C76,'g-expenses-sl'!$F:$F,$C78)</f>
        <v/>
      </c>
      <c r="M78" s="5">
        <f>SUMIFS('g-expenses-sl'!$G:$G,'g-expenses-sl'!$A:$A,M$1,'g-expenses-sl'!$D:$D,"administration",'g-expenses-sl'!$E:$E,$C76,'g-expenses-sl'!$F:$F,$C78)</f>
        <v/>
      </c>
      <c r="N78" s="5">
        <f>SUMIFS('g-expenses-sl'!$G:$G,'g-expenses-sl'!$A:$A,N$1,'g-expenses-sl'!$D:$D,"administration",'g-expenses-sl'!$E:$E,$C76,'g-expenses-sl'!$F:$F,$C78)</f>
        <v/>
      </c>
      <c r="O78" s="5">
        <f>SUMIFS('g-expenses-sl'!$G:$G,'g-expenses-sl'!$A:$A,O$1,'g-expenses-sl'!$D:$D,"administration",'g-expenses-sl'!$E:$E,$C76,'g-expenses-sl'!$F:$F,$C78)</f>
        <v/>
      </c>
      <c r="P78" s="24">
        <f>SUM(D78:O78)</f>
        <v/>
      </c>
      <c r="Q78" s="25" t="inlineStr">
        <is>
          <t>-&gt;</t>
        </is>
      </c>
    </row>
    <row r="79" hidden="1" outlineLevel="1" collapsed="1" ht="12" customHeight="1">
      <c r="A79" s="23" t="inlineStr">
        <is>
          <t xml:space="preserve">            services</t>
        </is>
      </c>
      <c r="B79" s="4" t="n"/>
      <c r="C79" s="4" t="inlineStr">
        <is>
          <t>services</t>
        </is>
      </c>
      <c r="D79" s="5">
        <f>SUMIFS('g-expenses-sl'!$G:$G,'g-expenses-sl'!$A:$A,D$1,'g-expenses-sl'!$D:$D,"administration",'g-expenses-sl'!$E:$E,$C76,'g-expenses-sl'!$F:$F,$C79)</f>
        <v/>
      </c>
      <c r="E79" s="5">
        <f>SUMIFS('g-expenses-sl'!$G:$G,'g-expenses-sl'!$A:$A,E$1,'g-expenses-sl'!$D:$D,"administration",'g-expenses-sl'!$E:$E,$C76,'g-expenses-sl'!$F:$F,$C79)</f>
        <v/>
      </c>
      <c r="F79" s="5">
        <f>SUMIFS('g-expenses-sl'!$G:$G,'g-expenses-sl'!$A:$A,F$1,'g-expenses-sl'!$D:$D,"administration",'g-expenses-sl'!$E:$E,$C76,'g-expenses-sl'!$F:$F,$C79)</f>
        <v/>
      </c>
      <c r="G79" s="5">
        <f>SUMIFS('g-expenses-sl'!$G:$G,'g-expenses-sl'!$A:$A,G$1,'g-expenses-sl'!$D:$D,"administration",'g-expenses-sl'!$E:$E,$C76,'g-expenses-sl'!$F:$F,$C79)</f>
        <v/>
      </c>
      <c r="H79" s="5">
        <f>SUMIFS('g-expenses-sl'!$G:$G,'g-expenses-sl'!$A:$A,H$1,'g-expenses-sl'!$D:$D,"administration",'g-expenses-sl'!$E:$E,$C76,'g-expenses-sl'!$F:$F,$C79)</f>
        <v/>
      </c>
      <c r="I79" s="5">
        <f>SUMIFS('g-expenses-sl'!$G:$G,'g-expenses-sl'!$A:$A,I$1,'g-expenses-sl'!$D:$D,"administration",'g-expenses-sl'!$E:$E,$C76,'g-expenses-sl'!$F:$F,$C79)</f>
        <v/>
      </c>
      <c r="J79" s="5">
        <f>SUMIFS('g-expenses-sl'!$G:$G,'g-expenses-sl'!$A:$A,J$1,'g-expenses-sl'!$D:$D,"administration",'g-expenses-sl'!$E:$E,$C76,'g-expenses-sl'!$F:$F,$C79)</f>
        <v/>
      </c>
      <c r="K79" s="5">
        <f>SUMIFS('g-expenses-sl'!$G:$G,'g-expenses-sl'!$A:$A,K$1,'g-expenses-sl'!$D:$D,"administration",'g-expenses-sl'!$E:$E,$C76,'g-expenses-sl'!$F:$F,$C79)</f>
        <v/>
      </c>
      <c r="L79" s="5">
        <f>SUMIFS('g-expenses-sl'!$G:$G,'g-expenses-sl'!$A:$A,L$1,'g-expenses-sl'!$D:$D,"administration",'g-expenses-sl'!$E:$E,$C76,'g-expenses-sl'!$F:$F,$C79)</f>
        <v/>
      </c>
      <c r="M79" s="5">
        <f>SUMIFS('g-expenses-sl'!$G:$G,'g-expenses-sl'!$A:$A,M$1,'g-expenses-sl'!$D:$D,"administration",'g-expenses-sl'!$E:$E,$C76,'g-expenses-sl'!$F:$F,$C79)</f>
        <v/>
      </c>
      <c r="N79" s="5">
        <f>SUMIFS('g-expenses-sl'!$G:$G,'g-expenses-sl'!$A:$A,N$1,'g-expenses-sl'!$D:$D,"administration",'g-expenses-sl'!$E:$E,$C76,'g-expenses-sl'!$F:$F,$C79)</f>
        <v/>
      </c>
      <c r="O79" s="5">
        <f>SUMIFS('g-expenses-sl'!$G:$G,'g-expenses-sl'!$A:$A,O$1,'g-expenses-sl'!$D:$D,"administration",'g-expenses-sl'!$E:$E,$C76,'g-expenses-sl'!$F:$F,$C79)</f>
        <v/>
      </c>
      <c r="P79" s="24">
        <f>SUM(D79:O79)</f>
        <v/>
      </c>
      <c r="Q79" s="25" t="inlineStr">
        <is>
          <t>-&gt;</t>
        </is>
      </c>
    </row>
    <row r="80" hidden="1" outlineLevel="1" ht="12" customHeight="1">
      <c r="A80" s="23" t="inlineStr">
        <is>
          <t xml:space="preserve">            NODA</t>
        </is>
      </c>
      <c r="B80" s="4" t="n"/>
      <c r="C80" s="4" t="inlineStr">
        <is>
          <t>NODA</t>
        </is>
      </c>
      <c r="D80" s="5">
        <f>SUMIFS('g-expenses-sl'!$G:$G,'g-expenses-sl'!$A:$A,D$1,'g-expenses-sl'!$D:$D,"administration",'g-expenses-sl'!$E:$E,$C80)</f>
        <v/>
      </c>
      <c r="E80" s="5">
        <f>SUMIFS('g-expenses-sl'!$G:$G,'g-expenses-sl'!$A:$A,E$1,'g-expenses-sl'!$D:$D,"administration",'g-expenses-sl'!$E:$E,$C80)</f>
        <v/>
      </c>
      <c r="F80" s="5">
        <f>SUMIFS('g-expenses-sl'!$G:$G,'g-expenses-sl'!$A:$A,F$1,'g-expenses-sl'!$D:$D,"administration",'g-expenses-sl'!$E:$E,$C80)</f>
        <v/>
      </c>
      <c r="G80" s="5">
        <f>SUMIFS('g-expenses-sl'!$G:$G,'g-expenses-sl'!$A:$A,G$1,'g-expenses-sl'!$D:$D,"administration",'g-expenses-sl'!$E:$E,$C80)</f>
        <v/>
      </c>
      <c r="H80" s="5">
        <f>SUMIFS('g-expenses-sl'!$G:$G,'g-expenses-sl'!$A:$A,H$1,'g-expenses-sl'!$D:$D,"administration",'g-expenses-sl'!$E:$E,$C80)</f>
        <v/>
      </c>
      <c r="I80" s="5">
        <f>SUMIFS('g-expenses-sl'!$G:$G,'g-expenses-sl'!$A:$A,I$1,'g-expenses-sl'!$D:$D,"administration",'g-expenses-sl'!$E:$E,$C80)</f>
        <v/>
      </c>
      <c r="J80" s="5">
        <f>SUMIFS('g-expenses-sl'!$G:$G,'g-expenses-sl'!$A:$A,J$1,'g-expenses-sl'!$D:$D,"administration",'g-expenses-sl'!$E:$E,$C80)</f>
        <v/>
      </c>
      <c r="K80" s="5">
        <f>SUMIFS('g-expenses-sl'!$G:$G,'g-expenses-sl'!$A:$A,K$1,'g-expenses-sl'!$D:$D,"administration",'g-expenses-sl'!$E:$E,$C80)</f>
        <v/>
      </c>
      <c r="L80" s="5">
        <f>SUMIFS('g-expenses-sl'!$G:$G,'g-expenses-sl'!$A:$A,L$1,'g-expenses-sl'!$D:$D,"administration",'g-expenses-sl'!$E:$E,$C80)</f>
        <v/>
      </c>
      <c r="M80" s="5">
        <f>SUMIFS('g-expenses-sl'!$G:$G,'g-expenses-sl'!$A:$A,M$1,'g-expenses-sl'!$D:$D,"administration",'g-expenses-sl'!$E:$E,$C80)</f>
        <v/>
      </c>
      <c r="N80" s="5">
        <f>SUMIFS('g-expenses-sl'!$G:$G,'g-expenses-sl'!$A:$A,N$1,'g-expenses-sl'!$D:$D,"administration",'g-expenses-sl'!$E:$E,$C80)</f>
        <v/>
      </c>
      <c r="O80" s="5">
        <f>SUMIFS('g-expenses-sl'!$G:$G,'g-expenses-sl'!$A:$A,O$1,'g-expenses-sl'!$D:$D,"administration",'g-expenses-sl'!$E:$E,$C80)</f>
        <v/>
      </c>
      <c r="P80" s="24">
        <f>SUM(D80:O80)</f>
        <v/>
      </c>
      <c r="Q80" s="25" t="inlineStr">
        <is>
          <t>-&gt;</t>
        </is>
      </c>
    </row>
    <row r="81" hidden="1" outlineLevel="1" ht="12" customHeight="1">
      <c r="A81" s="23" t="inlineStr">
        <is>
          <t xml:space="preserve">            TORRAS</t>
        </is>
      </c>
      <c r="B81" s="4" t="n"/>
      <c r="C81" s="4" t="inlineStr">
        <is>
          <t>TORRAS</t>
        </is>
      </c>
      <c r="D81" s="5">
        <f>SUMIFS('g-expenses-sl'!$G:$G,'g-expenses-sl'!$A:$A,D$1,'g-expenses-sl'!$D:$D,"administration",'g-expenses-sl'!$E:$E,$C81)</f>
        <v/>
      </c>
      <c r="E81" s="5">
        <f>SUMIFS('g-expenses-sl'!$G:$G,'g-expenses-sl'!$A:$A,E$1,'g-expenses-sl'!$D:$D,"administration",'g-expenses-sl'!$E:$E,$C81)</f>
        <v/>
      </c>
      <c r="F81" s="5">
        <f>SUMIFS('g-expenses-sl'!$G:$G,'g-expenses-sl'!$A:$A,F$1,'g-expenses-sl'!$D:$D,"administration",'g-expenses-sl'!$E:$E,$C81)</f>
        <v/>
      </c>
      <c r="G81" s="5">
        <f>SUMIFS('g-expenses-sl'!$G:$G,'g-expenses-sl'!$A:$A,G$1,'g-expenses-sl'!$D:$D,"administration",'g-expenses-sl'!$E:$E,$C81)</f>
        <v/>
      </c>
      <c r="H81" s="5">
        <f>SUMIFS('g-expenses-sl'!$G:$G,'g-expenses-sl'!$A:$A,H$1,'g-expenses-sl'!$D:$D,"administration",'g-expenses-sl'!$E:$E,$C81)</f>
        <v/>
      </c>
      <c r="I81" s="5">
        <f>SUMIFS('g-expenses-sl'!$G:$G,'g-expenses-sl'!$A:$A,I$1,'g-expenses-sl'!$D:$D,"administration",'g-expenses-sl'!$E:$E,$C81)</f>
        <v/>
      </c>
      <c r="J81" s="5">
        <f>SUMIFS('g-expenses-sl'!$G:$G,'g-expenses-sl'!$A:$A,J$1,'g-expenses-sl'!$D:$D,"administration",'g-expenses-sl'!$E:$E,$C81)</f>
        <v/>
      </c>
      <c r="K81" s="5">
        <f>SUMIFS('g-expenses-sl'!$G:$G,'g-expenses-sl'!$A:$A,K$1,'g-expenses-sl'!$D:$D,"administration",'g-expenses-sl'!$E:$E,$C81)</f>
        <v/>
      </c>
      <c r="L81" s="5">
        <f>SUMIFS('g-expenses-sl'!$G:$G,'g-expenses-sl'!$A:$A,L$1,'g-expenses-sl'!$D:$D,"administration",'g-expenses-sl'!$E:$E,$C81)</f>
        <v/>
      </c>
      <c r="M81" s="5">
        <f>SUMIFS('g-expenses-sl'!$G:$G,'g-expenses-sl'!$A:$A,M$1,'g-expenses-sl'!$D:$D,"administration",'g-expenses-sl'!$E:$E,$C81)</f>
        <v/>
      </c>
      <c r="N81" s="5">
        <f>SUMIFS('g-expenses-sl'!$G:$G,'g-expenses-sl'!$A:$A,N$1,'g-expenses-sl'!$D:$D,"administration",'g-expenses-sl'!$E:$E,$C81)</f>
        <v/>
      </c>
      <c r="O81" s="5">
        <f>SUMIFS('g-expenses-sl'!$G:$G,'g-expenses-sl'!$A:$A,O$1,'g-expenses-sl'!$D:$D,"administration",'g-expenses-sl'!$E:$E,$C81)</f>
        <v/>
      </c>
      <c r="P81" s="24">
        <f>SUM(D81:O81)</f>
        <v/>
      </c>
      <c r="Q81" s="25" t="inlineStr">
        <is>
          <t>-&gt;</t>
        </is>
      </c>
    </row>
    <row r="82" hidden="1" outlineLevel="1" collapsed="1" ht="12" customHeight="1">
      <c r="A82" s="23" t="inlineStr">
        <is>
          <t xml:space="preserve">            VITALY</t>
        </is>
      </c>
      <c r="B82" s="4" t="n"/>
      <c r="C82" s="4" t="inlineStr">
        <is>
          <t>VITALY</t>
        </is>
      </c>
      <c r="D82" s="5">
        <f>SUMIFS('g-expenses-sl'!$G:$G,'g-expenses-sl'!$A:$A,D$1,'g-expenses-sl'!$D:$D,"administration",'g-expenses-sl'!$E:$E,$C82)</f>
        <v/>
      </c>
      <c r="E82" s="5">
        <f>SUMIFS('g-expenses-sl'!$G:$G,'g-expenses-sl'!$A:$A,E$1,'g-expenses-sl'!$D:$D,"administration",'g-expenses-sl'!$E:$E,$C82)</f>
        <v/>
      </c>
      <c r="F82" s="5">
        <f>SUMIFS('g-expenses-sl'!$G:$G,'g-expenses-sl'!$A:$A,F$1,'g-expenses-sl'!$D:$D,"administration",'g-expenses-sl'!$E:$E,$C82)</f>
        <v/>
      </c>
      <c r="G82" s="5">
        <f>SUMIFS('g-expenses-sl'!$G:$G,'g-expenses-sl'!$A:$A,G$1,'g-expenses-sl'!$D:$D,"administration",'g-expenses-sl'!$E:$E,$C82)</f>
        <v/>
      </c>
      <c r="H82" s="5">
        <f>SUMIFS('g-expenses-sl'!$G:$G,'g-expenses-sl'!$A:$A,H$1,'g-expenses-sl'!$D:$D,"administration",'g-expenses-sl'!$E:$E,$C82)</f>
        <v/>
      </c>
      <c r="I82" s="5">
        <f>SUMIFS('g-expenses-sl'!$G:$G,'g-expenses-sl'!$A:$A,I$1,'g-expenses-sl'!$D:$D,"administration",'g-expenses-sl'!$E:$E,$C82)</f>
        <v/>
      </c>
      <c r="J82" s="5">
        <f>SUMIFS('g-expenses-sl'!$G:$G,'g-expenses-sl'!$A:$A,J$1,'g-expenses-sl'!$D:$D,"administration",'g-expenses-sl'!$E:$E,$C82)</f>
        <v/>
      </c>
      <c r="K82" s="5">
        <f>SUMIFS('g-expenses-sl'!$G:$G,'g-expenses-sl'!$A:$A,K$1,'g-expenses-sl'!$D:$D,"administration",'g-expenses-sl'!$E:$E,$C82)</f>
        <v/>
      </c>
      <c r="L82" s="5">
        <f>SUMIFS('g-expenses-sl'!$G:$G,'g-expenses-sl'!$A:$A,L$1,'g-expenses-sl'!$D:$D,"administration",'g-expenses-sl'!$E:$E,$C82)</f>
        <v/>
      </c>
      <c r="M82" s="5">
        <f>SUMIFS('g-expenses-sl'!$G:$G,'g-expenses-sl'!$A:$A,M$1,'g-expenses-sl'!$D:$D,"administration",'g-expenses-sl'!$E:$E,$C82)</f>
        <v/>
      </c>
      <c r="N82" s="5">
        <f>SUMIFS('g-expenses-sl'!$G:$G,'g-expenses-sl'!$A:$A,N$1,'g-expenses-sl'!$D:$D,"administration",'g-expenses-sl'!$E:$E,$C82)</f>
        <v/>
      </c>
      <c r="O82" s="5">
        <f>SUMIFS('g-expenses-sl'!$G:$G,'g-expenses-sl'!$A:$A,O$1,'g-expenses-sl'!$D:$D,"administration",'g-expenses-sl'!$E:$E,$C82)</f>
        <v/>
      </c>
      <c r="P82" s="24">
        <f>SUM(D82:O82)</f>
        <v/>
      </c>
      <c r="Q82" s="25" t="inlineStr">
        <is>
          <t>-&gt;</t>
        </is>
      </c>
    </row>
    <row r="83" ht="12" customHeight="1">
      <c r="A83" s="17" t="inlineStr">
        <is>
          <t xml:space="preserve">        Technology</t>
        </is>
      </c>
      <c r="B83" s="18" t="n"/>
      <c r="C83" s="19" t="inlineStr">
        <is>
          <t>Technology</t>
        </is>
      </c>
      <c r="D83" s="20">
        <f>SUM(D84:D98)</f>
        <v/>
      </c>
      <c r="E83" s="20">
        <f>SUM(E84:E98)</f>
        <v/>
      </c>
      <c r="F83" s="20">
        <f>SUM(F84:F98)</f>
        <v/>
      </c>
      <c r="G83" s="20">
        <f>SUM(G84:G98)</f>
        <v/>
      </c>
      <c r="H83" s="20">
        <f>SUM(H84:H98)</f>
        <v/>
      </c>
      <c r="I83" s="20">
        <f>SUM(I84:I98)</f>
        <v/>
      </c>
      <c r="J83" s="20">
        <f>SUM(J84:J98)</f>
        <v/>
      </c>
      <c r="K83" s="20">
        <f>SUM(K84:K98)</f>
        <v/>
      </c>
      <c r="L83" s="20">
        <f>SUM(L84:L98)</f>
        <v/>
      </c>
      <c r="M83" s="20">
        <f>SUM(M84:M98)</f>
        <v/>
      </c>
      <c r="N83" s="20">
        <f>SUM(N84:N98)</f>
        <v/>
      </c>
      <c r="O83" s="20">
        <f>SUM(O84:O98)</f>
        <v/>
      </c>
      <c r="P83" s="21">
        <f>SUM(D83:O83)</f>
        <v/>
      </c>
      <c r="Q83" s="22" t="inlineStr">
        <is>
          <t>-&gt;</t>
        </is>
      </c>
    </row>
    <row r="84" hidden="1" outlineLevel="1" ht="12" customHeight="1">
      <c r="A84" s="23" t="inlineStr">
        <is>
          <t xml:space="preserve">            ADOBE</t>
        </is>
      </c>
      <c r="B84" s="4" t="n"/>
      <c r="C84" s="4" t="inlineStr">
        <is>
          <t>ADOBE</t>
        </is>
      </c>
      <c r="D84" s="5">
        <f>SUMIFS('g-expenses-sl'!$G:$G,'g-expenses-sl'!$A:$A,D$1,'g-expenses-sl'!$D:$D,"technology",'g-expenses-sl'!$E:$E,$C84)</f>
        <v/>
      </c>
      <c r="E84" s="5">
        <f>SUMIFS('g-expenses-sl'!$G:$G,'g-expenses-sl'!$A:$A,E$1,'g-expenses-sl'!$D:$D,"technology",'g-expenses-sl'!$E:$E,$C84)</f>
        <v/>
      </c>
      <c r="F84" s="5">
        <f>SUMIFS('g-expenses-sl'!$G:$G,'g-expenses-sl'!$A:$A,F$1,'g-expenses-sl'!$D:$D,"technology",'g-expenses-sl'!$E:$E,$C84)</f>
        <v/>
      </c>
      <c r="G84" s="5">
        <f>SUMIFS('g-expenses-sl'!$G:$G,'g-expenses-sl'!$A:$A,G$1,'g-expenses-sl'!$D:$D,"technology",'g-expenses-sl'!$E:$E,$C84)</f>
        <v/>
      </c>
      <c r="H84" s="5">
        <f>SUMIFS('g-expenses-sl'!$G:$G,'g-expenses-sl'!$A:$A,H$1,'g-expenses-sl'!$D:$D,"technology",'g-expenses-sl'!$E:$E,$C84)</f>
        <v/>
      </c>
      <c r="I84" s="5">
        <f>SUMIFS('g-expenses-sl'!$G:$G,'g-expenses-sl'!$A:$A,I$1,'g-expenses-sl'!$D:$D,"technology",'g-expenses-sl'!$E:$E,$C84)</f>
        <v/>
      </c>
      <c r="J84" s="5">
        <f>SUMIFS('g-expenses-sl'!$G:$G,'g-expenses-sl'!$A:$A,J$1,'g-expenses-sl'!$D:$D,"technology",'g-expenses-sl'!$E:$E,$C84)</f>
        <v/>
      </c>
      <c r="K84" s="5">
        <f>SUMIFS('g-expenses-sl'!$G:$G,'g-expenses-sl'!$A:$A,K$1,'g-expenses-sl'!$D:$D,"technology",'g-expenses-sl'!$E:$E,$C84)</f>
        <v/>
      </c>
      <c r="L84" s="5">
        <f>SUMIFS('g-expenses-sl'!$G:$G,'g-expenses-sl'!$A:$A,L$1,'g-expenses-sl'!$D:$D,"technology",'g-expenses-sl'!$E:$E,$C84)</f>
        <v/>
      </c>
      <c r="M84" s="5">
        <f>SUMIFS('g-expenses-sl'!$G:$G,'g-expenses-sl'!$A:$A,M$1,'g-expenses-sl'!$D:$D,"technology",'g-expenses-sl'!$E:$E,$C84)</f>
        <v/>
      </c>
      <c r="N84" s="5">
        <f>SUMIFS('g-expenses-sl'!$G:$G,'g-expenses-sl'!$A:$A,N$1,'g-expenses-sl'!$D:$D,"technology",'g-expenses-sl'!$E:$E,$C84)</f>
        <v/>
      </c>
      <c r="O84" s="5">
        <f>SUMIFS('g-expenses-sl'!$G:$G,'g-expenses-sl'!$A:$A,O$1,'g-expenses-sl'!$D:$D,"technology",'g-expenses-sl'!$E:$E,$C84)</f>
        <v/>
      </c>
      <c r="P84" s="24">
        <f>SUM(D84:O84)</f>
        <v/>
      </c>
      <c r="Q84" s="25" t="inlineStr">
        <is>
          <t>-&gt;</t>
        </is>
      </c>
    </row>
    <row r="85" hidden="1" outlineLevel="1" ht="12" customHeight="1">
      <c r="A85" s="23" t="inlineStr">
        <is>
          <t xml:space="preserve">            CANVA</t>
        </is>
      </c>
      <c r="B85" s="4" t="n"/>
      <c r="C85" s="4" t="inlineStr">
        <is>
          <t>CANVA</t>
        </is>
      </c>
      <c r="D85" s="5">
        <f>SUMIFS('g-expenses-sl'!$G:$G,'g-expenses-sl'!$A:$A,D$1,'g-expenses-sl'!$D:$D,"technology",'g-expenses-sl'!$E:$E,$C85)</f>
        <v/>
      </c>
      <c r="E85" s="5">
        <f>SUMIFS('g-expenses-sl'!$G:$G,'g-expenses-sl'!$A:$A,E$1,'g-expenses-sl'!$D:$D,"technology",'g-expenses-sl'!$E:$E,$C85)</f>
        <v/>
      </c>
      <c r="F85" s="5">
        <f>SUMIFS('g-expenses-sl'!$G:$G,'g-expenses-sl'!$A:$A,F$1,'g-expenses-sl'!$D:$D,"technology",'g-expenses-sl'!$E:$E,$C85)</f>
        <v/>
      </c>
      <c r="G85" s="5">
        <f>SUMIFS('g-expenses-sl'!$G:$G,'g-expenses-sl'!$A:$A,G$1,'g-expenses-sl'!$D:$D,"technology",'g-expenses-sl'!$E:$E,$C85)</f>
        <v/>
      </c>
      <c r="H85" s="5">
        <f>SUMIFS('g-expenses-sl'!$G:$G,'g-expenses-sl'!$A:$A,H$1,'g-expenses-sl'!$D:$D,"technology",'g-expenses-sl'!$E:$E,$C85)</f>
        <v/>
      </c>
      <c r="I85" s="5">
        <f>SUMIFS('g-expenses-sl'!$G:$G,'g-expenses-sl'!$A:$A,I$1,'g-expenses-sl'!$D:$D,"technology",'g-expenses-sl'!$E:$E,$C85)</f>
        <v/>
      </c>
      <c r="J85" s="5">
        <f>SUMIFS('g-expenses-sl'!$G:$G,'g-expenses-sl'!$A:$A,J$1,'g-expenses-sl'!$D:$D,"technology",'g-expenses-sl'!$E:$E,$C85)</f>
        <v/>
      </c>
      <c r="K85" s="5">
        <f>SUMIFS('g-expenses-sl'!$G:$G,'g-expenses-sl'!$A:$A,K$1,'g-expenses-sl'!$D:$D,"technology",'g-expenses-sl'!$E:$E,$C85)</f>
        <v/>
      </c>
      <c r="L85" s="5">
        <f>SUMIFS('g-expenses-sl'!$G:$G,'g-expenses-sl'!$A:$A,L$1,'g-expenses-sl'!$D:$D,"technology",'g-expenses-sl'!$E:$E,$C85)</f>
        <v/>
      </c>
      <c r="M85" s="5">
        <f>SUMIFS('g-expenses-sl'!$G:$G,'g-expenses-sl'!$A:$A,M$1,'g-expenses-sl'!$D:$D,"technology",'g-expenses-sl'!$E:$E,$C85)</f>
        <v/>
      </c>
      <c r="N85" s="5">
        <f>SUMIFS('g-expenses-sl'!$G:$G,'g-expenses-sl'!$A:$A,N$1,'g-expenses-sl'!$D:$D,"technology",'g-expenses-sl'!$E:$E,$C85)</f>
        <v/>
      </c>
      <c r="O85" s="5">
        <f>SUMIFS('g-expenses-sl'!$G:$G,'g-expenses-sl'!$A:$A,O$1,'g-expenses-sl'!$D:$D,"technology",'g-expenses-sl'!$E:$E,$C85)</f>
        <v/>
      </c>
      <c r="P85" s="24">
        <f>SUM(D85:O85)</f>
        <v/>
      </c>
      <c r="Q85" s="25" t="inlineStr">
        <is>
          <t>-&gt;</t>
        </is>
      </c>
    </row>
    <row r="86" hidden="1" outlineLevel="1" ht="12" customHeight="1">
      <c r="A86" s="23" t="inlineStr">
        <is>
          <t xml:space="preserve">            GODADDY</t>
        </is>
      </c>
      <c r="B86" s="4" t="n"/>
      <c r="C86" s="4" t="inlineStr">
        <is>
          <t>GODADDY</t>
        </is>
      </c>
      <c r="D86" s="5">
        <f>SUMIFS('g-expenses-sl'!$G:$G,'g-expenses-sl'!$A:$A,D$1,'g-expenses-sl'!$D:$D,"technology",'g-expenses-sl'!$E:$E,$C86)</f>
        <v/>
      </c>
      <c r="E86" s="5">
        <f>SUMIFS('g-expenses-sl'!$G:$G,'g-expenses-sl'!$A:$A,E$1,'g-expenses-sl'!$D:$D,"technology",'g-expenses-sl'!$E:$E,$C86)</f>
        <v/>
      </c>
      <c r="F86" s="5">
        <f>SUMIFS('g-expenses-sl'!$G:$G,'g-expenses-sl'!$A:$A,F$1,'g-expenses-sl'!$D:$D,"technology",'g-expenses-sl'!$E:$E,$C86)</f>
        <v/>
      </c>
      <c r="G86" s="5">
        <f>SUMIFS('g-expenses-sl'!$G:$G,'g-expenses-sl'!$A:$A,G$1,'g-expenses-sl'!$D:$D,"technology",'g-expenses-sl'!$E:$E,$C86)</f>
        <v/>
      </c>
      <c r="H86" s="5">
        <f>SUMIFS('g-expenses-sl'!$G:$G,'g-expenses-sl'!$A:$A,H$1,'g-expenses-sl'!$D:$D,"technology",'g-expenses-sl'!$E:$E,$C86)</f>
        <v/>
      </c>
      <c r="I86" s="5">
        <f>SUMIFS('g-expenses-sl'!$G:$G,'g-expenses-sl'!$A:$A,I$1,'g-expenses-sl'!$D:$D,"technology",'g-expenses-sl'!$E:$E,$C86)</f>
        <v/>
      </c>
      <c r="J86" s="5">
        <f>SUMIFS('g-expenses-sl'!$G:$G,'g-expenses-sl'!$A:$A,J$1,'g-expenses-sl'!$D:$D,"technology",'g-expenses-sl'!$E:$E,$C86)</f>
        <v/>
      </c>
      <c r="K86" s="5">
        <f>SUMIFS('g-expenses-sl'!$G:$G,'g-expenses-sl'!$A:$A,K$1,'g-expenses-sl'!$D:$D,"technology",'g-expenses-sl'!$E:$E,$C86)</f>
        <v/>
      </c>
      <c r="L86" s="5">
        <f>SUMIFS('g-expenses-sl'!$G:$G,'g-expenses-sl'!$A:$A,L$1,'g-expenses-sl'!$D:$D,"technology",'g-expenses-sl'!$E:$E,$C86)</f>
        <v/>
      </c>
      <c r="M86" s="5">
        <f>SUMIFS('g-expenses-sl'!$G:$G,'g-expenses-sl'!$A:$A,M$1,'g-expenses-sl'!$D:$D,"technology",'g-expenses-sl'!$E:$E,$C86)</f>
        <v/>
      </c>
      <c r="N86" s="5">
        <f>SUMIFS('g-expenses-sl'!$G:$G,'g-expenses-sl'!$A:$A,N$1,'g-expenses-sl'!$D:$D,"technology",'g-expenses-sl'!$E:$E,$C86)</f>
        <v/>
      </c>
      <c r="O86" s="5">
        <f>SUMIFS('g-expenses-sl'!$G:$G,'g-expenses-sl'!$A:$A,O$1,'g-expenses-sl'!$D:$D,"technology",'g-expenses-sl'!$E:$E,$C86)</f>
        <v/>
      </c>
      <c r="P86" s="24">
        <f>SUM(D86:O86)</f>
        <v/>
      </c>
      <c r="Q86" s="25" t="inlineStr">
        <is>
          <t>-&gt;</t>
        </is>
      </c>
    </row>
    <row r="87" hidden="1" outlineLevel="1" ht="12" customHeight="1">
      <c r="A87" s="23" t="inlineStr">
        <is>
          <t xml:space="preserve">            GOOGLEWORKSPACE</t>
        </is>
      </c>
      <c r="B87" s="4" t="n"/>
      <c r="C87" s="4" t="inlineStr">
        <is>
          <t>GOOGLEWORKSPACE</t>
        </is>
      </c>
      <c r="D87" s="5">
        <f>SUMIFS('g-expenses-sl'!$G:$G,'g-expenses-sl'!$A:$A,D$1,'g-expenses-sl'!$D:$D,"technology",'g-expenses-sl'!$E:$E,$C87)</f>
        <v/>
      </c>
      <c r="E87" s="5">
        <f>SUMIFS('g-expenses-sl'!$G:$G,'g-expenses-sl'!$A:$A,E$1,'g-expenses-sl'!$D:$D,"technology",'g-expenses-sl'!$E:$E,$C87)</f>
        <v/>
      </c>
      <c r="F87" s="5">
        <f>SUMIFS('g-expenses-sl'!$G:$G,'g-expenses-sl'!$A:$A,F$1,'g-expenses-sl'!$D:$D,"technology",'g-expenses-sl'!$E:$E,$C87)</f>
        <v/>
      </c>
      <c r="G87" s="5">
        <f>SUMIFS('g-expenses-sl'!$G:$G,'g-expenses-sl'!$A:$A,G$1,'g-expenses-sl'!$D:$D,"technology",'g-expenses-sl'!$E:$E,$C87)</f>
        <v/>
      </c>
      <c r="H87" s="5">
        <f>SUMIFS('g-expenses-sl'!$G:$G,'g-expenses-sl'!$A:$A,H$1,'g-expenses-sl'!$D:$D,"technology",'g-expenses-sl'!$E:$E,$C87)</f>
        <v/>
      </c>
      <c r="I87" s="5">
        <f>SUMIFS('g-expenses-sl'!$G:$G,'g-expenses-sl'!$A:$A,I$1,'g-expenses-sl'!$D:$D,"technology",'g-expenses-sl'!$E:$E,$C87)</f>
        <v/>
      </c>
      <c r="J87" s="5">
        <f>SUMIFS('g-expenses-sl'!$G:$G,'g-expenses-sl'!$A:$A,J$1,'g-expenses-sl'!$D:$D,"technology",'g-expenses-sl'!$E:$E,$C87)</f>
        <v/>
      </c>
      <c r="K87" s="5">
        <f>SUMIFS('g-expenses-sl'!$G:$G,'g-expenses-sl'!$A:$A,K$1,'g-expenses-sl'!$D:$D,"technology",'g-expenses-sl'!$E:$E,$C87)</f>
        <v/>
      </c>
      <c r="L87" s="5">
        <f>SUMIFS('g-expenses-sl'!$G:$G,'g-expenses-sl'!$A:$A,L$1,'g-expenses-sl'!$D:$D,"technology",'g-expenses-sl'!$E:$E,$C87)</f>
        <v/>
      </c>
      <c r="M87" s="5">
        <f>SUMIFS('g-expenses-sl'!$G:$G,'g-expenses-sl'!$A:$A,M$1,'g-expenses-sl'!$D:$D,"technology",'g-expenses-sl'!$E:$E,$C87)</f>
        <v/>
      </c>
      <c r="N87" s="5">
        <f>SUMIFS('g-expenses-sl'!$G:$G,'g-expenses-sl'!$A:$A,N$1,'g-expenses-sl'!$D:$D,"technology",'g-expenses-sl'!$E:$E,$C87)</f>
        <v/>
      </c>
      <c r="O87" s="5">
        <f>SUMIFS('g-expenses-sl'!$G:$G,'g-expenses-sl'!$A:$A,O$1,'g-expenses-sl'!$D:$D,"technology",'g-expenses-sl'!$E:$E,$C87)</f>
        <v/>
      </c>
      <c r="P87" s="24">
        <f>SUM(D87:O87)</f>
        <v/>
      </c>
      <c r="Q87" s="25" t="inlineStr">
        <is>
          <t>-&gt;</t>
        </is>
      </c>
    </row>
    <row r="88" hidden="1" outlineLevel="1" ht="12" customHeight="1">
      <c r="A88" s="23" t="inlineStr">
        <is>
          <t xml:space="preserve">            GORGIAS</t>
        </is>
      </c>
      <c r="B88" s="4" t="n"/>
      <c r="C88" s="4" t="inlineStr">
        <is>
          <t>GORGIAS</t>
        </is>
      </c>
      <c r="D88" s="5">
        <f>SUMIFS('g-expenses-sl'!$G:$G,'g-expenses-sl'!$A:$A,D$1,'g-expenses-sl'!$D:$D,"technology",'g-expenses-sl'!$E:$E,$C88)</f>
        <v/>
      </c>
      <c r="E88" s="5">
        <f>SUMIFS('g-expenses-sl'!$G:$G,'g-expenses-sl'!$A:$A,E$1,'g-expenses-sl'!$D:$D,"technology",'g-expenses-sl'!$E:$E,$C88)</f>
        <v/>
      </c>
      <c r="F88" s="5">
        <f>SUMIFS('g-expenses-sl'!$G:$G,'g-expenses-sl'!$A:$A,F$1,'g-expenses-sl'!$D:$D,"technology",'g-expenses-sl'!$E:$E,$C88)</f>
        <v/>
      </c>
      <c r="G88" s="5">
        <f>SUMIFS('g-expenses-sl'!$G:$G,'g-expenses-sl'!$A:$A,G$1,'g-expenses-sl'!$D:$D,"technology",'g-expenses-sl'!$E:$E,$C88)</f>
        <v/>
      </c>
      <c r="H88" s="5">
        <f>SUMIFS('g-expenses-sl'!$G:$G,'g-expenses-sl'!$A:$A,H$1,'g-expenses-sl'!$D:$D,"technology",'g-expenses-sl'!$E:$E,$C88)</f>
        <v/>
      </c>
      <c r="I88" s="5">
        <f>SUMIFS('g-expenses-sl'!$G:$G,'g-expenses-sl'!$A:$A,I$1,'g-expenses-sl'!$D:$D,"technology",'g-expenses-sl'!$E:$E,$C88)</f>
        <v/>
      </c>
      <c r="J88" s="5">
        <f>SUMIFS('g-expenses-sl'!$G:$G,'g-expenses-sl'!$A:$A,J$1,'g-expenses-sl'!$D:$D,"technology",'g-expenses-sl'!$E:$E,$C88)</f>
        <v/>
      </c>
      <c r="K88" s="5">
        <f>SUMIFS('g-expenses-sl'!$G:$G,'g-expenses-sl'!$A:$A,K$1,'g-expenses-sl'!$D:$D,"technology",'g-expenses-sl'!$E:$E,$C88)</f>
        <v/>
      </c>
      <c r="L88" s="5">
        <f>SUMIFS('g-expenses-sl'!$G:$G,'g-expenses-sl'!$A:$A,L$1,'g-expenses-sl'!$D:$D,"technology",'g-expenses-sl'!$E:$E,$C88)</f>
        <v/>
      </c>
      <c r="M88" s="5">
        <f>SUMIFS('g-expenses-sl'!$G:$G,'g-expenses-sl'!$A:$A,M$1,'g-expenses-sl'!$D:$D,"technology",'g-expenses-sl'!$E:$E,$C88)</f>
        <v/>
      </c>
      <c r="N88" s="5">
        <f>SUMIFS('g-expenses-sl'!$G:$G,'g-expenses-sl'!$A:$A,N$1,'g-expenses-sl'!$D:$D,"technology",'g-expenses-sl'!$E:$E,$C88)</f>
        <v/>
      </c>
      <c r="O88" s="5">
        <f>SUMIFS('g-expenses-sl'!$G:$G,'g-expenses-sl'!$A:$A,O$1,'g-expenses-sl'!$D:$D,"technology",'g-expenses-sl'!$E:$E,$C88)</f>
        <v/>
      </c>
      <c r="P88" s="24">
        <f>SUM(D88:O88)</f>
        <v/>
      </c>
      <c r="Q88" s="25" t="inlineStr">
        <is>
          <t>-&gt;</t>
        </is>
      </c>
    </row>
    <row r="89" hidden="1" outlineLevel="1" ht="12" customHeight="1">
      <c r="A89" s="23" t="inlineStr">
        <is>
          <t xml:space="preserve">            HETZNER</t>
        </is>
      </c>
      <c r="B89" s="4" t="n"/>
      <c r="C89" s="4" t="inlineStr">
        <is>
          <t>HETZNER</t>
        </is>
      </c>
      <c r="D89" s="5">
        <f>SUMIFS('g-expenses-sl'!$G:$G,'g-expenses-sl'!$A:$A,D$1,'g-expenses-sl'!$D:$D,"technology",'g-expenses-sl'!$E:$E,$C89)</f>
        <v/>
      </c>
      <c r="E89" s="5">
        <f>SUMIFS('g-expenses-sl'!$G:$G,'g-expenses-sl'!$A:$A,E$1,'g-expenses-sl'!$D:$D,"technology",'g-expenses-sl'!$E:$E,$C89)</f>
        <v/>
      </c>
      <c r="F89" s="5">
        <f>SUMIFS('g-expenses-sl'!$G:$G,'g-expenses-sl'!$A:$A,F$1,'g-expenses-sl'!$D:$D,"technology",'g-expenses-sl'!$E:$E,$C89)</f>
        <v/>
      </c>
      <c r="G89" s="5">
        <f>SUMIFS('g-expenses-sl'!$G:$G,'g-expenses-sl'!$A:$A,G$1,'g-expenses-sl'!$D:$D,"technology",'g-expenses-sl'!$E:$E,$C89)</f>
        <v/>
      </c>
      <c r="H89" s="5">
        <f>SUMIFS('g-expenses-sl'!$G:$G,'g-expenses-sl'!$A:$A,H$1,'g-expenses-sl'!$D:$D,"technology",'g-expenses-sl'!$E:$E,$C89)</f>
        <v/>
      </c>
      <c r="I89" s="5">
        <f>SUMIFS('g-expenses-sl'!$G:$G,'g-expenses-sl'!$A:$A,I$1,'g-expenses-sl'!$D:$D,"technology",'g-expenses-sl'!$E:$E,$C89)</f>
        <v/>
      </c>
      <c r="J89" s="5">
        <f>SUMIFS('g-expenses-sl'!$G:$G,'g-expenses-sl'!$A:$A,J$1,'g-expenses-sl'!$D:$D,"technology",'g-expenses-sl'!$E:$E,$C89)</f>
        <v/>
      </c>
      <c r="K89" s="5">
        <f>SUMIFS('g-expenses-sl'!$G:$G,'g-expenses-sl'!$A:$A,K$1,'g-expenses-sl'!$D:$D,"technology",'g-expenses-sl'!$E:$E,$C89)</f>
        <v/>
      </c>
      <c r="L89" s="5">
        <f>SUMIFS('g-expenses-sl'!$G:$G,'g-expenses-sl'!$A:$A,L$1,'g-expenses-sl'!$D:$D,"technology",'g-expenses-sl'!$E:$E,$C89)</f>
        <v/>
      </c>
      <c r="M89" s="5">
        <f>SUMIFS('g-expenses-sl'!$G:$G,'g-expenses-sl'!$A:$A,M$1,'g-expenses-sl'!$D:$D,"technology",'g-expenses-sl'!$E:$E,$C89)</f>
        <v/>
      </c>
      <c r="N89" s="5">
        <f>SUMIFS('g-expenses-sl'!$G:$G,'g-expenses-sl'!$A:$A,N$1,'g-expenses-sl'!$D:$D,"technology",'g-expenses-sl'!$E:$E,$C89)</f>
        <v/>
      </c>
      <c r="O89" s="5">
        <f>SUMIFS('g-expenses-sl'!$G:$G,'g-expenses-sl'!$A:$A,O$1,'g-expenses-sl'!$D:$D,"technology",'g-expenses-sl'!$E:$E,$C89)</f>
        <v/>
      </c>
      <c r="P89" s="24">
        <f>SUM(D89:O89)</f>
        <v/>
      </c>
      <c r="Q89" s="25" t="inlineStr">
        <is>
          <t>-&gt;</t>
        </is>
      </c>
    </row>
    <row r="90" hidden="1" outlineLevel="1" ht="12" customHeight="1">
      <c r="A90" s="23" t="inlineStr">
        <is>
          <t xml:space="preserve">            KONVOAI</t>
        </is>
      </c>
      <c r="B90" s="4" t="n"/>
      <c r="C90" s="4" t="inlineStr">
        <is>
          <t>KONVOAI</t>
        </is>
      </c>
      <c r="D90" s="5">
        <f>SUMIFS('g-expenses-sl'!$G:$G,'g-expenses-sl'!$A:$A,D$1,'g-expenses-sl'!$D:$D,"technology",'g-expenses-sl'!$E:$E,$C90)</f>
        <v/>
      </c>
      <c r="E90" s="5">
        <f>SUMIFS('g-expenses-sl'!$G:$G,'g-expenses-sl'!$A:$A,E$1,'g-expenses-sl'!$D:$D,"technology",'g-expenses-sl'!$E:$E,$C90)</f>
        <v/>
      </c>
      <c r="F90" s="5">
        <f>SUMIFS('g-expenses-sl'!$G:$G,'g-expenses-sl'!$A:$A,F$1,'g-expenses-sl'!$D:$D,"technology",'g-expenses-sl'!$E:$E,$C90)</f>
        <v/>
      </c>
      <c r="G90" s="5">
        <f>SUMIFS('g-expenses-sl'!$G:$G,'g-expenses-sl'!$A:$A,G$1,'g-expenses-sl'!$D:$D,"technology",'g-expenses-sl'!$E:$E,$C90)</f>
        <v/>
      </c>
      <c r="H90" s="5">
        <f>SUMIFS('g-expenses-sl'!$G:$G,'g-expenses-sl'!$A:$A,H$1,'g-expenses-sl'!$D:$D,"technology",'g-expenses-sl'!$E:$E,$C90)</f>
        <v/>
      </c>
      <c r="I90" s="5">
        <f>SUMIFS('g-expenses-sl'!$G:$G,'g-expenses-sl'!$A:$A,I$1,'g-expenses-sl'!$D:$D,"technology",'g-expenses-sl'!$E:$E,$C90)</f>
        <v/>
      </c>
      <c r="J90" s="5">
        <f>SUMIFS('g-expenses-sl'!$G:$G,'g-expenses-sl'!$A:$A,J$1,'g-expenses-sl'!$D:$D,"technology",'g-expenses-sl'!$E:$E,$C90)</f>
        <v/>
      </c>
      <c r="K90" s="5">
        <f>SUMIFS('g-expenses-sl'!$G:$G,'g-expenses-sl'!$A:$A,K$1,'g-expenses-sl'!$D:$D,"technology",'g-expenses-sl'!$E:$E,$C90)</f>
        <v/>
      </c>
      <c r="L90" s="5">
        <f>SUMIFS('g-expenses-sl'!$G:$G,'g-expenses-sl'!$A:$A,L$1,'g-expenses-sl'!$D:$D,"technology",'g-expenses-sl'!$E:$E,$C90)</f>
        <v/>
      </c>
      <c r="M90" s="5">
        <f>SUMIFS('g-expenses-sl'!$G:$G,'g-expenses-sl'!$A:$A,M$1,'g-expenses-sl'!$D:$D,"technology",'g-expenses-sl'!$E:$E,$C90)</f>
        <v/>
      </c>
      <c r="N90" s="5">
        <f>SUMIFS('g-expenses-sl'!$G:$G,'g-expenses-sl'!$A:$A,N$1,'g-expenses-sl'!$D:$D,"technology",'g-expenses-sl'!$E:$E,$C90)</f>
        <v/>
      </c>
      <c r="O90" s="5">
        <f>SUMIFS('g-expenses-sl'!$G:$G,'g-expenses-sl'!$A:$A,O$1,'g-expenses-sl'!$D:$D,"technology",'g-expenses-sl'!$E:$E,$C90)</f>
        <v/>
      </c>
      <c r="P90" s="24">
        <f>SUM(D90:O90)</f>
        <v/>
      </c>
      <c r="Q90" s="25" t="inlineStr">
        <is>
          <t>-&gt;</t>
        </is>
      </c>
    </row>
    <row r="91" hidden="1" outlineLevel="1" ht="12" customHeight="1">
      <c r="A91" s="23" t="inlineStr">
        <is>
          <t xml:space="preserve">            MASMOVIL</t>
        </is>
      </c>
      <c r="B91" s="4" t="n"/>
      <c r="C91" s="4" t="inlineStr">
        <is>
          <t>MASMOVIL</t>
        </is>
      </c>
      <c r="D91" s="5">
        <f>SUMIFS('g-expenses-sl'!$G:$G,'g-expenses-sl'!$A:$A,D$1,'g-expenses-sl'!$D:$D,"technology",'g-expenses-sl'!$E:$E,$C91)</f>
        <v/>
      </c>
      <c r="E91" s="5">
        <f>SUMIFS('g-expenses-sl'!$G:$G,'g-expenses-sl'!$A:$A,E$1,'g-expenses-sl'!$D:$D,"technology",'g-expenses-sl'!$E:$E,$C91)</f>
        <v/>
      </c>
      <c r="F91" s="5">
        <f>SUMIFS('g-expenses-sl'!$G:$G,'g-expenses-sl'!$A:$A,F$1,'g-expenses-sl'!$D:$D,"technology",'g-expenses-sl'!$E:$E,$C91)</f>
        <v/>
      </c>
      <c r="G91" s="5">
        <f>SUMIFS('g-expenses-sl'!$G:$G,'g-expenses-sl'!$A:$A,G$1,'g-expenses-sl'!$D:$D,"technology",'g-expenses-sl'!$E:$E,$C91)</f>
        <v/>
      </c>
      <c r="H91" s="5">
        <f>SUMIFS('g-expenses-sl'!$G:$G,'g-expenses-sl'!$A:$A,H$1,'g-expenses-sl'!$D:$D,"technology",'g-expenses-sl'!$E:$E,$C91)</f>
        <v/>
      </c>
      <c r="I91" s="5">
        <f>SUMIFS('g-expenses-sl'!$G:$G,'g-expenses-sl'!$A:$A,I$1,'g-expenses-sl'!$D:$D,"technology",'g-expenses-sl'!$E:$E,$C91)</f>
        <v/>
      </c>
      <c r="J91" s="5">
        <f>SUMIFS('g-expenses-sl'!$G:$G,'g-expenses-sl'!$A:$A,J$1,'g-expenses-sl'!$D:$D,"technology",'g-expenses-sl'!$E:$E,$C91)</f>
        <v/>
      </c>
      <c r="K91" s="5">
        <f>SUMIFS('g-expenses-sl'!$G:$G,'g-expenses-sl'!$A:$A,K$1,'g-expenses-sl'!$D:$D,"technology",'g-expenses-sl'!$E:$E,$C91)</f>
        <v/>
      </c>
      <c r="L91" s="5">
        <f>SUMIFS('g-expenses-sl'!$G:$G,'g-expenses-sl'!$A:$A,L$1,'g-expenses-sl'!$D:$D,"technology",'g-expenses-sl'!$E:$E,$C91)</f>
        <v/>
      </c>
      <c r="M91" s="5">
        <f>SUMIFS('g-expenses-sl'!$G:$G,'g-expenses-sl'!$A:$A,M$1,'g-expenses-sl'!$D:$D,"technology",'g-expenses-sl'!$E:$E,$C91)</f>
        <v/>
      </c>
      <c r="N91" s="5">
        <f>SUMIFS('g-expenses-sl'!$G:$G,'g-expenses-sl'!$A:$A,N$1,'g-expenses-sl'!$D:$D,"technology",'g-expenses-sl'!$E:$E,$C91)</f>
        <v/>
      </c>
      <c r="O91" s="5">
        <f>SUMIFS('g-expenses-sl'!$G:$G,'g-expenses-sl'!$A:$A,O$1,'g-expenses-sl'!$D:$D,"technology",'g-expenses-sl'!$E:$E,$C91)</f>
        <v/>
      </c>
      <c r="P91" s="24">
        <f>SUM(D91:O91)</f>
        <v/>
      </c>
      <c r="Q91" s="25" t="inlineStr">
        <is>
          <t>-&gt;</t>
        </is>
      </c>
    </row>
    <row r="92" hidden="1" outlineLevel="1" ht="12" customHeight="1">
      <c r="A92" s="23" t="inlineStr">
        <is>
          <t xml:space="preserve">            MICROSOFT</t>
        </is>
      </c>
      <c r="B92" s="4" t="n"/>
      <c r="C92" s="4" t="inlineStr">
        <is>
          <t>MICROSOFT</t>
        </is>
      </c>
      <c r="D92" s="5">
        <f>SUMIFS('g-expenses-sl'!$G:$G,'g-expenses-sl'!$A:$A,D$1,'g-expenses-sl'!$D:$D,"technology",'g-expenses-sl'!$E:$E,$C92)</f>
        <v/>
      </c>
      <c r="E92" s="5">
        <f>SUMIFS('g-expenses-sl'!$G:$G,'g-expenses-sl'!$A:$A,E$1,'g-expenses-sl'!$D:$D,"technology",'g-expenses-sl'!$E:$E,$C92)</f>
        <v/>
      </c>
      <c r="F92" s="5">
        <f>SUMIFS('g-expenses-sl'!$G:$G,'g-expenses-sl'!$A:$A,F$1,'g-expenses-sl'!$D:$D,"technology",'g-expenses-sl'!$E:$E,$C92)</f>
        <v/>
      </c>
      <c r="G92" s="5">
        <f>SUMIFS('g-expenses-sl'!$G:$G,'g-expenses-sl'!$A:$A,G$1,'g-expenses-sl'!$D:$D,"technology",'g-expenses-sl'!$E:$E,$C92)</f>
        <v/>
      </c>
      <c r="H92" s="5">
        <f>SUMIFS('g-expenses-sl'!$G:$G,'g-expenses-sl'!$A:$A,H$1,'g-expenses-sl'!$D:$D,"technology",'g-expenses-sl'!$E:$E,$C92)</f>
        <v/>
      </c>
      <c r="I92" s="5">
        <f>SUMIFS('g-expenses-sl'!$G:$G,'g-expenses-sl'!$A:$A,I$1,'g-expenses-sl'!$D:$D,"technology",'g-expenses-sl'!$E:$E,$C92)</f>
        <v/>
      </c>
      <c r="J92" s="5">
        <f>SUMIFS('g-expenses-sl'!$G:$G,'g-expenses-sl'!$A:$A,J$1,'g-expenses-sl'!$D:$D,"technology",'g-expenses-sl'!$E:$E,$C92)</f>
        <v/>
      </c>
      <c r="K92" s="5">
        <f>SUMIFS('g-expenses-sl'!$G:$G,'g-expenses-sl'!$A:$A,K$1,'g-expenses-sl'!$D:$D,"technology",'g-expenses-sl'!$E:$E,$C92)</f>
        <v/>
      </c>
      <c r="L92" s="5">
        <f>SUMIFS('g-expenses-sl'!$G:$G,'g-expenses-sl'!$A:$A,L$1,'g-expenses-sl'!$D:$D,"technology",'g-expenses-sl'!$E:$E,$C92)</f>
        <v/>
      </c>
      <c r="M92" s="5">
        <f>SUMIFS('g-expenses-sl'!$G:$G,'g-expenses-sl'!$A:$A,M$1,'g-expenses-sl'!$D:$D,"technology",'g-expenses-sl'!$E:$E,$C92)</f>
        <v/>
      </c>
      <c r="N92" s="5">
        <f>SUMIFS('g-expenses-sl'!$G:$G,'g-expenses-sl'!$A:$A,N$1,'g-expenses-sl'!$D:$D,"technology",'g-expenses-sl'!$E:$E,$C92)</f>
        <v/>
      </c>
      <c r="O92" s="5">
        <f>SUMIFS('g-expenses-sl'!$G:$G,'g-expenses-sl'!$A:$A,O$1,'g-expenses-sl'!$D:$D,"technology",'g-expenses-sl'!$E:$E,$C92)</f>
        <v/>
      </c>
      <c r="P92" s="24">
        <f>SUM(D92:O92)</f>
        <v/>
      </c>
      <c r="Q92" s="25" t="inlineStr">
        <is>
          <t>-&gt;</t>
        </is>
      </c>
    </row>
    <row r="93" hidden="1" outlineLevel="1" ht="12" customHeight="1">
      <c r="A93" s="23" t="inlineStr">
        <is>
          <t xml:space="preserve">            OPENAI</t>
        </is>
      </c>
      <c r="B93" s="4" t="n"/>
      <c r="C93" s="4" t="inlineStr">
        <is>
          <t>OPENAI</t>
        </is>
      </c>
      <c r="D93" s="5">
        <f>SUMIFS('g-expenses-sl'!$G:$G,'g-expenses-sl'!$A:$A,D$1,'g-expenses-sl'!$D:$D,"technology",'g-expenses-sl'!$E:$E,$C93)</f>
        <v/>
      </c>
      <c r="E93" s="5">
        <f>SUMIFS('g-expenses-sl'!$G:$G,'g-expenses-sl'!$A:$A,E$1,'g-expenses-sl'!$D:$D,"technology",'g-expenses-sl'!$E:$E,$C93)</f>
        <v/>
      </c>
      <c r="F93" s="5">
        <f>SUMIFS('g-expenses-sl'!$G:$G,'g-expenses-sl'!$A:$A,F$1,'g-expenses-sl'!$D:$D,"technology",'g-expenses-sl'!$E:$E,$C93)</f>
        <v/>
      </c>
      <c r="G93" s="5">
        <f>SUMIFS('g-expenses-sl'!$G:$G,'g-expenses-sl'!$A:$A,G$1,'g-expenses-sl'!$D:$D,"technology",'g-expenses-sl'!$E:$E,$C93)</f>
        <v/>
      </c>
      <c r="H93" s="5">
        <f>SUMIFS('g-expenses-sl'!$G:$G,'g-expenses-sl'!$A:$A,H$1,'g-expenses-sl'!$D:$D,"technology",'g-expenses-sl'!$E:$E,$C93)</f>
        <v/>
      </c>
      <c r="I93" s="5">
        <f>SUMIFS('g-expenses-sl'!$G:$G,'g-expenses-sl'!$A:$A,I$1,'g-expenses-sl'!$D:$D,"technology",'g-expenses-sl'!$E:$E,$C93)</f>
        <v/>
      </c>
      <c r="J93" s="5">
        <f>SUMIFS('g-expenses-sl'!$G:$G,'g-expenses-sl'!$A:$A,J$1,'g-expenses-sl'!$D:$D,"technology",'g-expenses-sl'!$E:$E,$C93)</f>
        <v/>
      </c>
      <c r="K93" s="5">
        <f>SUMIFS('g-expenses-sl'!$G:$G,'g-expenses-sl'!$A:$A,K$1,'g-expenses-sl'!$D:$D,"technology",'g-expenses-sl'!$E:$E,$C93)</f>
        <v/>
      </c>
      <c r="L93" s="5">
        <f>SUMIFS('g-expenses-sl'!$G:$G,'g-expenses-sl'!$A:$A,L$1,'g-expenses-sl'!$D:$D,"technology",'g-expenses-sl'!$E:$E,$C93)</f>
        <v/>
      </c>
      <c r="M93" s="5">
        <f>SUMIFS('g-expenses-sl'!$G:$G,'g-expenses-sl'!$A:$A,M$1,'g-expenses-sl'!$D:$D,"technology",'g-expenses-sl'!$E:$E,$C93)</f>
        <v/>
      </c>
      <c r="N93" s="5">
        <f>SUMIFS('g-expenses-sl'!$G:$G,'g-expenses-sl'!$A:$A,N$1,'g-expenses-sl'!$D:$D,"technology",'g-expenses-sl'!$E:$E,$C93)</f>
        <v/>
      </c>
      <c r="O93" s="5">
        <f>SUMIFS('g-expenses-sl'!$G:$G,'g-expenses-sl'!$A:$A,O$1,'g-expenses-sl'!$D:$D,"technology",'g-expenses-sl'!$E:$E,$C93)</f>
        <v/>
      </c>
      <c r="P93" s="24">
        <f>SUM(D93:O93)</f>
        <v/>
      </c>
      <c r="Q93" s="25" t="inlineStr">
        <is>
          <t>-&gt;</t>
        </is>
      </c>
    </row>
    <row r="94" hidden="1" outlineLevel="1" ht="12" customHeight="1">
      <c r="A94" s="23" t="inlineStr">
        <is>
          <t xml:space="preserve">            PRODUCTHERO</t>
        </is>
      </c>
      <c r="B94" s="4" t="n"/>
      <c r="C94" s="4" t="inlineStr">
        <is>
          <t>PRODUCTHERO</t>
        </is>
      </c>
      <c r="D94" s="5">
        <f>SUMIFS('g-expenses-sl'!$G:$G,'g-expenses-sl'!$A:$A,D$1,'g-expenses-sl'!$D:$D,"technology",'g-expenses-sl'!$E:$E,$C94)</f>
        <v/>
      </c>
      <c r="E94" s="5">
        <f>SUMIFS('g-expenses-sl'!$G:$G,'g-expenses-sl'!$A:$A,E$1,'g-expenses-sl'!$D:$D,"technology",'g-expenses-sl'!$E:$E,$C94)</f>
        <v/>
      </c>
      <c r="F94" s="5">
        <f>SUMIFS('g-expenses-sl'!$G:$G,'g-expenses-sl'!$A:$A,F$1,'g-expenses-sl'!$D:$D,"technology",'g-expenses-sl'!$E:$E,$C94)</f>
        <v/>
      </c>
      <c r="G94" s="5">
        <f>SUMIFS('g-expenses-sl'!$G:$G,'g-expenses-sl'!$A:$A,G$1,'g-expenses-sl'!$D:$D,"technology",'g-expenses-sl'!$E:$E,$C94)</f>
        <v/>
      </c>
      <c r="H94" s="5">
        <f>SUMIFS('g-expenses-sl'!$G:$G,'g-expenses-sl'!$A:$A,H$1,'g-expenses-sl'!$D:$D,"technology",'g-expenses-sl'!$E:$E,$C94)</f>
        <v/>
      </c>
      <c r="I94" s="5">
        <f>SUMIFS('g-expenses-sl'!$G:$G,'g-expenses-sl'!$A:$A,I$1,'g-expenses-sl'!$D:$D,"technology",'g-expenses-sl'!$E:$E,$C94)</f>
        <v/>
      </c>
      <c r="J94" s="5">
        <f>SUMIFS('g-expenses-sl'!$G:$G,'g-expenses-sl'!$A:$A,J$1,'g-expenses-sl'!$D:$D,"technology",'g-expenses-sl'!$E:$E,$C94)</f>
        <v/>
      </c>
      <c r="K94" s="5">
        <f>SUMIFS('g-expenses-sl'!$G:$G,'g-expenses-sl'!$A:$A,K$1,'g-expenses-sl'!$D:$D,"technology",'g-expenses-sl'!$E:$E,$C94)</f>
        <v/>
      </c>
      <c r="L94" s="5">
        <f>SUMIFS('g-expenses-sl'!$G:$G,'g-expenses-sl'!$A:$A,L$1,'g-expenses-sl'!$D:$D,"technology",'g-expenses-sl'!$E:$E,$C94)</f>
        <v/>
      </c>
      <c r="M94" s="5">
        <f>SUMIFS('g-expenses-sl'!$G:$G,'g-expenses-sl'!$A:$A,M$1,'g-expenses-sl'!$D:$D,"technology",'g-expenses-sl'!$E:$E,$C94)</f>
        <v/>
      </c>
      <c r="N94" s="5">
        <f>SUMIFS('g-expenses-sl'!$G:$G,'g-expenses-sl'!$A:$A,N$1,'g-expenses-sl'!$D:$D,"technology",'g-expenses-sl'!$E:$E,$C94)</f>
        <v/>
      </c>
      <c r="O94" s="5">
        <f>SUMIFS('g-expenses-sl'!$G:$G,'g-expenses-sl'!$A:$A,O$1,'g-expenses-sl'!$D:$D,"technology",'g-expenses-sl'!$E:$E,$C94)</f>
        <v/>
      </c>
      <c r="P94" s="24">
        <f>SUM(D94:O94)</f>
        <v/>
      </c>
      <c r="Q94" s="25" t="inlineStr">
        <is>
          <t>-&gt;</t>
        </is>
      </c>
    </row>
    <row r="95" hidden="1" outlineLevel="1" ht="12" customHeight="1">
      <c r="A95" s="23" t="inlineStr">
        <is>
          <t xml:space="preserve">            RAILWAY</t>
        </is>
      </c>
      <c r="B95" s="4" t="n"/>
      <c r="C95" s="4" t="inlineStr">
        <is>
          <t>RAILWAY</t>
        </is>
      </c>
      <c r="D95" s="5">
        <f>SUMIFS('g-expenses-sl'!$G:$G,'g-expenses-sl'!$A:$A,D$1,'g-expenses-sl'!$D:$D,"technology",'g-expenses-sl'!$E:$E,$C95)</f>
        <v/>
      </c>
      <c r="E95" s="5">
        <f>SUMIFS('g-expenses-sl'!$G:$G,'g-expenses-sl'!$A:$A,E$1,'g-expenses-sl'!$D:$D,"technology",'g-expenses-sl'!$E:$E,$C95)</f>
        <v/>
      </c>
      <c r="F95" s="5">
        <f>SUMIFS('g-expenses-sl'!$G:$G,'g-expenses-sl'!$A:$A,F$1,'g-expenses-sl'!$D:$D,"technology",'g-expenses-sl'!$E:$E,$C95)</f>
        <v/>
      </c>
      <c r="G95" s="5">
        <f>SUMIFS('g-expenses-sl'!$G:$G,'g-expenses-sl'!$A:$A,G$1,'g-expenses-sl'!$D:$D,"technology",'g-expenses-sl'!$E:$E,$C95)</f>
        <v/>
      </c>
      <c r="H95" s="5">
        <f>SUMIFS('g-expenses-sl'!$G:$G,'g-expenses-sl'!$A:$A,H$1,'g-expenses-sl'!$D:$D,"technology",'g-expenses-sl'!$E:$E,$C95)</f>
        <v/>
      </c>
      <c r="I95" s="5">
        <f>SUMIFS('g-expenses-sl'!$G:$G,'g-expenses-sl'!$A:$A,I$1,'g-expenses-sl'!$D:$D,"technology",'g-expenses-sl'!$E:$E,$C95)</f>
        <v/>
      </c>
      <c r="J95" s="5">
        <f>SUMIFS('g-expenses-sl'!$G:$G,'g-expenses-sl'!$A:$A,J$1,'g-expenses-sl'!$D:$D,"technology",'g-expenses-sl'!$E:$E,$C95)</f>
        <v/>
      </c>
      <c r="K95" s="5">
        <f>SUMIFS('g-expenses-sl'!$G:$G,'g-expenses-sl'!$A:$A,K$1,'g-expenses-sl'!$D:$D,"technology",'g-expenses-sl'!$E:$E,$C95)</f>
        <v/>
      </c>
      <c r="L95" s="5">
        <f>SUMIFS('g-expenses-sl'!$G:$G,'g-expenses-sl'!$A:$A,L$1,'g-expenses-sl'!$D:$D,"technology",'g-expenses-sl'!$E:$E,$C95)</f>
        <v/>
      </c>
      <c r="M95" s="5">
        <f>SUMIFS('g-expenses-sl'!$G:$G,'g-expenses-sl'!$A:$A,M$1,'g-expenses-sl'!$D:$D,"technology",'g-expenses-sl'!$E:$E,$C95)</f>
        <v/>
      </c>
      <c r="N95" s="5">
        <f>SUMIFS('g-expenses-sl'!$G:$G,'g-expenses-sl'!$A:$A,N$1,'g-expenses-sl'!$D:$D,"technology",'g-expenses-sl'!$E:$E,$C95)</f>
        <v/>
      </c>
      <c r="O95" s="5">
        <f>SUMIFS('g-expenses-sl'!$G:$G,'g-expenses-sl'!$A:$A,O$1,'g-expenses-sl'!$D:$D,"technology",'g-expenses-sl'!$E:$E,$C95)</f>
        <v/>
      </c>
      <c r="P95" s="24">
        <f>SUM(D95:O95)</f>
        <v/>
      </c>
      <c r="Q95" s="25" t="inlineStr">
        <is>
          <t>-&gt;</t>
        </is>
      </c>
    </row>
    <row r="96" hidden="1" outlineLevel="1" ht="12" customHeight="1">
      <c r="A96" s="23" t="inlineStr">
        <is>
          <t xml:space="preserve">            REVER</t>
        </is>
      </c>
      <c r="B96" s="4" t="n"/>
      <c r="C96" s="4" t="inlineStr">
        <is>
          <t>REVER</t>
        </is>
      </c>
      <c r="D96" s="5">
        <f>SUMIFS('g-expenses-sl'!$G:$G,'g-expenses-sl'!$A:$A,D$1,'g-expenses-sl'!$D:$D,"technology",'g-expenses-sl'!$E:$E,$C96)</f>
        <v/>
      </c>
      <c r="E96" s="5">
        <f>SUMIFS('g-expenses-sl'!$G:$G,'g-expenses-sl'!$A:$A,E$1,'g-expenses-sl'!$D:$D,"technology",'g-expenses-sl'!$E:$E,$C96)</f>
        <v/>
      </c>
      <c r="F96" s="5">
        <f>SUMIFS('g-expenses-sl'!$G:$G,'g-expenses-sl'!$A:$A,F$1,'g-expenses-sl'!$D:$D,"technology",'g-expenses-sl'!$E:$E,$C96)</f>
        <v/>
      </c>
      <c r="G96" s="5">
        <f>SUMIFS('g-expenses-sl'!$G:$G,'g-expenses-sl'!$A:$A,G$1,'g-expenses-sl'!$D:$D,"technology",'g-expenses-sl'!$E:$E,$C96)</f>
        <v/>
      </c>
      <c r="H96" s="5">
        <f>SUMIFS('g-expenses-sl'!$G:$G,'g-expenses-sl'!$A:$A,H$1,'g-expenses-sl'!$D:$D,"technology",'g-expenses-sl'!$E:$E,$C96)</f>
        <v/>
      </c>
      <c r="I96" s="5">
        <f>SUMIFS('g-expenses-sl'!$G:$G,'g-expenses-sl'!$A:$A,I$1,'g-expenses-sl'!$D:$D,"technology",'g-expenses-sl'!$E:$E,$C96)</f>
        <v/>
      </c>
      <c r="J96" s="5">
        <f>SUMIFS('g-expenses-sl'!$G:$G,'g-expenses-sl'!$A:$A,J$1,'g-expenses-sl'!$D:$D,"technology",'g-expenses-sl'!$E:$E,$C96)</f>
        <v/>
      </c>
      <c r="K96" s="5">
        <f>SUMIFS('g-expenses-sl'!$G:$G,'g-expenses-sl'!$A:$A,K$1,'g-expenses-sl'!$D:$D,"technology",'g-expenses-sl'!$E:$E,$C96)</f>
        <v/>
      </c>
      <c r="L96" s="5">
        <f>SUMIFS('g-expenses-sl'!$G:$G,'g-expenses-sl'!$A:$A,L$1,'g-expenses-sl'!$D:$D,"technology",'g-expenses-sl'!$E:$E,$C96)</f>
        <v/>
      </c>
      <c r="M96" s="5">
        <f>SUMIFS('g-expenses-sl'!$G:$G,'g-expenses-sl'!$A:$A,M$1,'g-expenses-sl'!$D:$D,"technology",'g-expenses-sl'!$E:$E,$C96)</f>
        <v/>
      </c>
      <c r="N96" s="5">
        <f>SUMIFS('g-expenses-sl'!$G:$G,'g-expenses-sl'!$A:$A,N$1,'g-expenses-sl'!$D:$D,"technology",'g-expenses-sl'!$E:$E,$C96)</f>
        <v/>
      </c>
      <c r="O96" s="5">
        <f>SUMIFS('g-expenses-sl'!$G:$G,'g-expenses-sl'!$A:$A,O$1,'g-expenses-sl'!$D:$D,"technology",'g-expenses-sl'!$E:$E,$C96)</f>
        <v/>
      </c>
      <c r="P96" s="24">
        <f>SUM(D96:O96)</f>
        <v/>
      </c>
      <c r="Q96" s="25" t="inlineStr">
        <is>
          <t>-&gt;</t>
        </is>
      </c>
    </row>
    <row r="97" hidden="1" outlineLevel="1" ht="12" customHeight="1">
      <c r="A97" s="23" t="inlineStr">
        <is>
          <t xml:space="preserve">            SHOPIFY</t>
        </is>
      </c>
      <c r="B97" s="4" t="n"/>
      <c r="C97" s="4" t="inlineStr">
        <is>
          <t>SHOPIFY</t>
        </is>
      </c>
      <c r="D97" s="5">
        <f>SUMIFS('g-expenses-sl'!$G:$G,'g-expenses-sl'!$A:$A,D$1,'g-expenses-sl'!$D:$D,"technology",'g-expenses-sl'!$E:$E,$C97)</f>
        <v/>
      </c>
      <c r="E97" s="5">
        <f>SUMIFS('g-expenses-sl'!$G:$G,'g-expenses-sl'!$A:$A,E$1,'g-expenses-sl'!$D:$D,"technology",'g-expenses-sl'!$E:$E,$C97)</f>
        <v/>
      </c>
      <c r="F97" s="5">
        <f>SUMIFS('g-expenses-sl'!$G:$G,'g-expenses-sl'!$A:$A,F$1,'g-expenses-sl'!$D:$D,"technology",'g-expenses-sl'!$E:$E,$C97)</f>
        <v/>
      </c>
      <c r="G97" s="5">
        <f>SUMIFS('g-expenses-sl'!$G:$G,'g-expenses-sl'!$A:$A,G$1,'g-expenses-sl'!$D:$D,"technology",'g-expenses-sl'!$E:$E,$C97)</f>
        <v/>
      </c>
      <c r="H97" s="5">
        <f>SUMIFS('g-expenses-sl'!$G:$G,'g-expenses-sl'!$A:$A,H$1,'g-expenses-sl'!$D:$D,"technology",'g-expenses-sl'!$E:$E,$C97)</f>
        <v/>
      </c>
      <c r="I97" s="5">
        <f>SUMIFS('g-expenses-sl'!$G:$G,'g-expenses-sl'!$A:$A,I$1,'g-expenses-sl'!$D:$D,"technology",'g-expenses-sl'!$E:$E,$C97)</f>
        <v/>
      </c>
      <c r="J97" s="5">
        <f>SUMIFS('g-expenses-sl'!$G:$G,'g-expenses-sl'!$A:$A,J$1,'g-expenses-sl'!$D:$D,"technology",'g-expenses-sl'!$E:$E,$C97)</f>
        <v/>
      </c>
      <c r="K97" s="5">
        <f>SUMIFS('g-expenses-sl'!$G:$G,'g-expenses-sl'!$A:$A,K$1,'g-expenses-sl'!$D:$D,"technology",'g-expenses-sl'!$E:$E,$C97)</f>
        <v/>
      </c>
      <c r="L97" s="5">
        <f>SUMIFS('g-expenses-sl'!$G:$G,'g-expenses-sl'!$A:$A,L$1,'g-expenses-sl'!$D:$D,"technology",'g-expenses-sl'!$E:$E,$C97)</f>
        <v/>
      </c>
      <c r="M97" s="5">
        <f>SUMIFS('g-expenses-sl'!$G:$G,'g-expenses-sl'!$A:$A,M$1,'g-expenses-sl'!$D:$D,"technology",'g-expenses-sl'!$E:$E,$C97)</f>
        <v/>
      </c>
      <c r="N97" s="5">
        <f>SUMIFS('g-expenses-sl'!$G:$G,'g-expenses-sl'!$A:$A,N$1,'g-expenses-sl'!$D:$D,"technology",'g-expenses-sl'!$E:$E,$C97)</f>
        <v/>
      </c>
      <c r="O97" s="5">
        <f>SUMIFS('g-expenses-sl'!$G:$G,'g-expenses-sl'!$A:$A,O$1,'g-expenses-sl'!$D:$D,"technology",'g-expenses-sl'!$E:$E,$C97)</f>
        <v/>
      </c>
      <c r="P97" s="24">
        <f>SUM(D97:O97)</f>
        <v/>
      </c>
      <c r="Q97" s="25" t="inlineStr">
        <is>
          <t>-&gt;</t>
        </is>
      </c>
    </row>
    <row r="98" hidden="1" outlineLevel="1" collapsed="1" ht="12" customHeight="1">
      <c r="A98" s="23" t="inlineStr">
        <is>
          <t xml:space="preserve">            YUMAAI</t>
        </is>
      </c>
      <c r="B98" s="4" t="n"/>
      <c r="C98" s="4" t="inlineStr">
        <is>
          <t>YUMAAI</t>
        </is>
      </c>
      <c r="D98" s="5">
        <f>SUMIFS('g-expenses-sl'!$G:$G,'g-expenses-sl'!$A:$A,D$1,'g-expenses-sl'!$D:$D,"technology",'g-expenses-sl'!$E:$E,$C98)</f>
        <v/>
      </c>
      <c r="E98" s="5">
        <f>SUMIFS('g-expenses-sl'!$G:$G,'g-expenses-sl'!$A:$A,E$1,'g-expenses-sl'!$D:$D,"technology",'g-expenses-sl'!$E:$E,$C98)</f>
        <v/>
      </c>
      <c r="F98" s="5">
        <f>SUMIFS('g-expenses-sl'!$G:$G,'g-expenses-sl'!$A:$A,F$1,'g-expenses-sl'!$D:$D,"technology",'g-expenses-sl'!$E:$E,$C98)</f>
        <v/>
      </c>
      <c r="G98" s="5">
        <f>SUMIFS('g-expenses-sl'!$G:$G,'g-expenses-sl'!$A:$A,G$1,'g-expenses-sl'!$D:$D,"technology",'g-expenses-sl'!$E:$E,$C98)</f>
        <v/>
      </c>
      <c r="H98" s="5">
        <f>SUMIFS('g-expenses-sl'!$G:$G,'g-expenses-sl'!$A:$A,H$1,'g-expenses-sl'!$D:$D,"technology",'g-expenses-sl'!$E:$E,$C98)</f>
        <v/>
      </c>
      <c r="I98" s="5">
        <f>SUMIFS('g-expenses-sl'!$G:$G,'g-expenses-sl'!$A:$A,I$1,'g-expenses-sl'!$D:$D,"technology",'g-expenses-sl'!$E:$E,$C98)</f>
        <v/>
      </c>
      <c r="J98" s="5">
        <f>SUMIFS('g-expenses-sl'!$G:$G,'g-expenses-sl'!$A:$A,J$1,'g-expenses-sl'!$D:$D,"technology",'g-expenses-sl'!$E:$E,$C98)</f>
        <v/>
      </c>
      <c r="K98" s="5">
        <f>SUMIFS('g-expenses-sl'!$G:$G,'g-expenses-sl'!$A:$A,K$1,'g-expenses-sl'!$D:$D,"technology",'g-expenses-sl'!$E:$E,$C98)</f>
        <v/>
      </c>
      <c r="L98" s="5">
        <f>SUMIFS('g-expenses-sl'!$G:$G,'g-expenses-sl'!$A:$A,L$1,'g-expenses-sl'!$D:$D,"technology",'g-expenses-sl'!$E:$E,$C98)</f>
        <v/>
      </c>
      <c r="M98" s="5">
        <f>SUMIFS('g-expenses-sl'!$G:$G,'g-expenses-sl'!$A:$A,M$1,'g-expenses-sl'!$D:$D,"technology",'g-expenses-sl'!$E:$E,$C98)</f>
        <v/>
      </c>
      <c r="N98" s="5">
        <f>SUMIFS('g-expenses-sl'!$G:$G,'g-expenses-sl'!$A:$A,N$1,'g-expenses-sl'!$D:$D,"technology",'g-expenses-sl'!$E:$E,$C98)</f>
        <v/>
      </c>
      <c r="O98" s="5">
        <f>SUMIFS('g-expenses-sl'!$G:$G,'g-expenses-sl'!$A:$A,O$1,'g-expenses-sl'!$D:$D,"technology",'g-expenses-sl'!$E:$E,$C98)</f>
        <v/>
      </c>
      <c r="P98" s="24">
        <f>SUM(D98:O98)</f>
        <v/>
      </c>
      <c r="Q98" s="25" t="inlineStr">
        <is>
          <t>-&gt;</t>
        </is>
      </c>
    </row>
    <row r="99" ht="12" customHeight="1">
      <c r="A99" s="4" t="n"/>
      <c r="B99" s="4" t="n"/>
      <c r="C99" s="4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24">
        <f>SUM(D99:O99)</f>
        <v/>
      </c>
      <c r="Q99" s="5" t="n"/>
    </row>
    <row r="100" ht="12" customHeight="1">
      <c r="A100" s="32" t="inlineStr">
        <is>
          <t>PROFIT</t>
        </is>
      </c>
      <c r="B100" s="33" t="n"/>
      <c r="C100" s="33" t="n"/>
      <c r="D100" s="34">
        <f>D4-D32-D60</f>
        <v/>
      </c>
      <c r="E100" s="34">
        <f>E4-E32-E60</f>
        <v/>
      </c>
      <c r="F100" s="34">
        <f>F4-F32-F60</f>
        <v/>
      </c>
      <c r="G100" s="34">
        <f>G4-G32-G60</f>
        <v/>
      </c>
      <c r="H100" s="34">
        <f>H4-H32-H60</f>
        <v/>
      </c>
      <c r="I100" s="34">
        <f>I4-I32-I60</f>
        <v/>
      </c>
      <c r="J100" s="34">
        <f>J4-J32-J60</f>
        <v/>
      </c>
      <c r="K100" s="34">
        <f>K4-K32-K60</f>
        <v/>
      </c>
      <c r="L100" s="34">
        <f>L4-L32-L60</f>
        <v/>
      </c>
      <c r="M100" s="34">
        <f>M4-M32-M60</f>
        <v/>
      </c>
      <c r="N100" s="34">
        <f>N4-N32-N60</f>
        <v/>
      </c>
      <c r="O100" s="34">
        <f>O4-O32-O60</f>
        <v/>
      </c>
      <c r="P100" s="9">
        <f>SUM(D100:O100)</f>
        <v/>
      </c>
      <c r="Q100" s="35" t="n"/>
    </row>
    <row r="101" ht="12" customHeight="1">
      <c r="A101" s="36" t="inlineStr">
        <is>
          <t xml:space="preserve">        % Profit / turnover</t>
        </is>
      </c>
      <c r="B101" s="37" t="n"/>
      <c r="C101" s="37" t="n"/>
      <c r="D101" s="38">
        <f>IFERROR(D100/D4,0)</f>
        <v/>
      </c>
      <c r="E101" s="38">
        <f>IFERROR(E100/E4,0)</f>
        <v/>
      </c>
      <c r="F101" s="38">
        <f>IFERROR(F100/F4,0)</f>
        <v/>
      </c>
      <c r="G101" s="38">
        <f>IFERROR(G100/G4,0)</f>
        <v/>
      </c>
      <c r="H101" s="38">
        <f>IFERROR(H100/H4,0)</f>
        <v/>
      </c>
      <c r="I101" s="38">
        <f>IFERROR(I100/I4,0)</f>
        <v/>
      </c>
      <c r="J101" s="38">
        <f>IFERROR(J100/J4,0)</f>
        <v/>
      </c>
      <c r="K101" s="38">
        <f>IFERROR(K100/K4,0)</f>
        <v/>
      </c>
      <c r="L101" s="38">
        <f>IFERROR(L100/L4,0)</f>
        <v/>
      </c>
      <c r="M101" s="38">
        <f>IFERROR(M100/M4,0)</f>
        <v/>
      </c>
      <c r="N101" s="38">
        <f>IFERROR(N100/N4,0)</f>
        <v/>
      </c>
      <c r="O101" s="38">
        <f>IFERROR(O100/O4,0)</f>
        <v/>
      </c>
      <c r="P101" s="39">
        <f>SUM(D101:O101)</f>
        <v/>
      </c>
      <c r="Q101" s="30" t="n"/>
    </row>
  </sheetData>
  <mergeCells count="2">
    <mergeCell ref="A3:C3"/>
    <mergeCell ref="A2:C2"/>
  </mergeCells>
  <hyperlinks>
    <hyperlink xmlns:r="http://schemas.openxmlformats.org/officeDocument/2006/relationships" ref="Q6" r:id="rId1"/>
    <hyperlink xmlns:r="http://schemas.openxmlformats.org/officeDocument/2006/relationships" ref="Q7" r:id="rId2"/>
    <hyperlink xmlns:r="http://schemas.openxmlformats.org/officeDocument/2006/relationships" ref="Q8" r:id="rId3"/>
    <hyperlink xmlns:r="http://schemas.openxmlformats.org/officeDocument/2006/relationships" ref="Q9" r:id="rId4"/>
    <hyperlink xmlns:r="http://schemas.openxmlformats.org/officeDocument/2006/relationships" ref="Q10" r:id="rId5"/>
    <hyperlink xmlns:r="http://schemas.openxmlformats.org/officeDocument/2006/relationships" ref="Q11" r:id="rId6"/>
    <hyperlink xmlns:r="http://schemas.openxmlformats.org/officeDocument/2006/relationships" ref="Q12" r:id="rId7"/>
    <hyperlink xmlns:r="http://schemas.openxmlformats.org/officeDocument/2006/relationships" ref="Q13" r:id="rId8"/>
    <hyperlink xmlns:r="http://schemas.openxmlformats.org/officeDocument/2006/relationships" ref="Q14" r:id="rId9"/>
    <hyperlink xmlns:r="http://schemas.openxmlformats.org/officeDocument/2006/relationships" ref="Q15" r:id="rId10"/>
    <hyperlink xmlns:r="http://schemas.openxmlformats.org/officeDocument/2006/relationships" ref="Q16" r:id="rId11"/>
    <hyperlink xmlns:r="http://schemas.openxmlformats.org/officeDocument/2006/relationships" ref="Q17" r:id="rId12"/>
    <hyperlink xmlns:r="http://schemas.openxmlformats.org/officeDocument/2006/relationships" ref="Q18" r:id="rId13"/>
    <hyperlink xmlns:r="http://schemas.openxmlformats.org/officeDocument/2006/relationships" ref="Q19" r:id="rId14"/>
    <hyperlink xmlns:r="http://schemas.openxmlformats.org/officeDocument/2006/relationships" ref="Q20" r:id="rId15"/>
    <hyperlink xmlns:r="http://schemas.openxmlformats.org/officeDocument/2006/relationships" ref="Q21" r:id="rId16"/>
    <hyperlink xmlns:r="http://schemas.openxmlformats.org/officeDocument/2006/relationships" ref="Q22" r:id="rId17"/>
    <hyperlink xmlns:r="http://schemas.openxmlformats.org/officeDocument/2006/relationships" ref="Q23" r:id="rId18"/>
    <hyperlink xmlns:r="http://schemas.openxmlformats.org/officeDocument/2006/relationships" ref="Q25" r:id="rId19"/>
    <hyperlink xmlns:r="http://schemas.openxmlformats.org/officeDocument/2006/relationships" ref="Q26" r:id="rId20"/>
    <hyperlink xmlns:r="http://schemas.openxmlformats.org/officeDocument/2006/relationships" ref="Q27" r:id="rId21"/>
    <hyperlink xmlns:r="http://schemas.openxmlformats.org/officeDocument/2006/relationships" ref="Q28" r:id="rId22"/>
    <hyperlink xmlns:r="http://schemas.openxmlformats.org/officeDocument/2006/relationships" ref="Q29" r:id="rId23"/>
    <hyperlink xmlns:r="http://schemas.openxmlformats.org/officeDocument/2006/relationships" ref="Q33" r:id="rId24"/>
    <hyperlink xmlns:r="http://schemas.openxmlformats.org/officeDocument/2006/relationships" ref="Q34" r:id="rId25"/>
    <hyperlink xmlns:r="http://schemas.openxmlformats.org/officeDocument/2006/relationships" ref="Q35" r:id="rId26"/>
    <hyperlink xmlns:r="http://schemas.openxmlformats.org/officeDocument/2006/relationships" ref="Q36" r:id="rId27"/>
    <hyperlink xmlns:r="http://schemas.openxmlformats.org/officeDocument/2006/relationships" ref="Q37" r:id="rId28"/>
    <hyperlink xmlns:r="http://schemas.openxmlformats.org/officeDocument/2006/relationships" ref="Q38" r:id="rId29"/>
    <hyperlink xmlns:r="http://schemas.openxmlformats.org/officeDocument/2006/relationships" ref="Q40" r:id="rId30"/>
    <hyperlink xmlns:r="http://schemas.openxmlformats.org/officeDocument/2006/relationships" ref="Q41" r:id="rId31"/>
    <hyperlink xmlns:r="http://schemas.openxmlformats.org/officeDocument/2006/relationships" ref="Q42" r:id="rId32"/>
    <hyperlink xmlns:r="http://schemas.openxmlformats.org/officeDocument/2006/relationships" ref="Q43" r:id="rId33"/>
    <hyperlink xmlns:r="http://schemas.openxmlformats.org/officeDocument/2006/relationships" ref="Q44" r:id="rId34"/>
    <hyperlink xmlns:r="http://schemas.openxmlformats.org/officeDocument/2006/relationships" ref="Q45" r:id="rId35"/>
    <hyperlink xmlns:r="http://schemas.openxmlformats.org/officeDocument/2006/relationships" ref="Q47" r:id="rId36"/>
    <hyperlink xmlns:r="http://schemas.openxmlformats.org/officeDocument/2006/relationships" ref="Q48" r:id="rId37"/>
    <hyperlink xmlns:r="http://schemas.openxmlformats.org/officeDocument/2006/relationships" ref="Q50" r:id="rId38"/>
    <hyperlink xmlns:r="http://schemas.openxmlformats.org/officeDocument/2006/relationships" ref="Q51" r:id="rId39"/>
    <hyperlink xmlns:r="http://schemas.openxmlformats.org/officeDocument/2006/relationships" ref="Q52" r:id="rId40"/>
    <hyperlink xmlns:r="http://schemas.openxmlformats.org/officeDocument/2006/relationships" ref="Q61" r:id="rId41"/>
    <hyperlink xmlns:r="http://schemas.openxmlformats.org/officeDocument/2006/relationships" ref="Q62" r:id="rId42"/>
    <hyperlink xmlns:r="http://schemas.openxmlformats.org/officeDocument/2006/relationships" ref="Q63" r:id="rId43"/>
    <hyperlink xmlns:r="http://schemas.openxmlformats.org/officeDocument/2006/relationships" ref="Q64" r:id="rId44"/>
    <hyperlink xmlns:r="http://schemas.openxmlformats.org/officeDocument/2006/relationships" ref="Q65" r:id="rId45"/>
    <hyperlink xmlns:r="http://schemas.openxmlformats.org/officeDocument/2006/relationships" ref="Q66" r:id="rId46"/>
    <hyperlink xmlns:r="http://schemas.openxmlformats.org/officeDocument/2006/relationships" ref="Q67" r:id="rId47"/>
    <hyperlink xmlns:r="http://schemas.openxmlformats.org/officeDocument/2006/relationships" ref="Q68" r:id="rId48"/>
    <hyperlink xmlns:r="http://schemas.openxmlformats.org/officeDocument/2006/relationships" ref="Q69" r:id="rId49"/>
    <hyperlink xmlns:r="http://schemas.openxmlformats.org/officeDocument/2006/relationships" ref="Q71" r:id="rId50"/>
    <hyperlink xmlns:r="http://schemas.openxmlformats.org/officeDocument/2006/relationships" ref="Q72" r:id="rId51"/>
    <hyperlink xmlns:r="http://schemas.openxmlformats.org/officeDocument/2006/relationships" ref="Q73" r:id="rId52"/>
    <hyperlink xmlns:r="http://schemas.openxmlformats.org/officeDocument/2006/relationships" ref="Q74" r:id="rId53"/>
    <hyperlink xmlns:r="http://schemas.openxmlformats.org/officeDocument/2006/relationships" ref="Q75" r:id="rId54"/>
    <hyperlink xmlns:r="http://schemas.openxmlformats.org/officeDocument/2006/relationships" ref="Q76" r:id="rId55"/>
    <hyperlink xmlns:r="http://schemas.openxmlformats.org/officeDocument/2006/relationships" ref="Q77" r:id="rId56"/>
    <hyperlink xmlns:r="http://schemas.openxmlformats.org/officeDocument/2006/relationships" ref="Q78" r:id="rId57"/>
    <hyperlink xmlns:r="http://schemas.openxmlformats.org/officeDocument/2006/relationships" ref="Q79" r:id="rId58"/>
    <hyperlink xmlns:r="http://schemas.openxmlformats.org/officeDocument/2006/relationships" ref="Q80" r:id="rId59"/>
    <hyperlink xmlns:r="http://schemas.openxmlformats.org/officeDocument/2006/relationships" ref="Q81" r:id="rId60"/>
    <hyperlink xmlns:r="http://schemas.openxmlformats.org/officeDocument/2006/relationships" ref="Q82" r:id="rId61"/>
    <hyperlink xmlns:r="http://schemas.openxmlformats.org/officeDocument/2006/relationships" ref="Q83" r:id="rId62"/>
    <hyperlink xmlns:r="http://schemas.openxmlformats.org/officeDocument/2006/relationships" ref="Q84" r:id="rId63"/>
    <hyperlink xmlns:r="http://schemas.openxmlformats.org/officeDocument/2006/relationships" ref="Q85" r:id="rId64"/>
    <hyperlink xmlns:r="http://schemas.openxmlformats.org/officeDocument/2006/relationships" ref="Q86" r:id="rId65"/>
    <hyperlink xmlns:r="http://schemas.openxmlformats.org/officeDocument/2006/relationships" ref="Q87" r:id="rId66"/>
    <hyperlink xmlns:r="http://schemas.openxmlformats.org/officeDocument/2006/relationships" ref="Q88" r:id="rId67"/>
    <hyperlink xmlns:r="http://schemas.openxmlformats.org/officeDocument/2006/relationships" ref="Q89" r:id="rId68"/>
    <hyperlink xmlns:r="http://schemas.openxmlformats.org/officeDocument/2006/relationships" ref="Q90" r:id="rId69"/>
    <hyperlink xmlns:r="http://schemas.openxmlformats.org/officeDocument/2006/relationships" ref="Q91" r:id="rId70"/>
    <hyperlink xmlns:r="http://schemas.openxmlformats.org/officeDocument/2006/relationships" ref="Q92" r:id="rId71"/>
    <hyperlink xmlns:r="http://schemas.openxmlformats.org/officeDocument/2006/relationships" ref="Q93" r:id="rId72"/>
    <hyperlink xmlns:r="http://schemas.openxmlformats.org/officeDocument/2006/relationships" ref="Q94" r:id="rId73"/>
    <hyperlink xmlns:r="http://schemas.openxmlformats.org/officeDocument/2006/relationships" ref="Q95" r:id="rId74"/>
    <hyperlink xmlns:r="http://schemas.openxmlformats.org/officeDocument/2006/relationships" ref="Q96" r:id="rId75"/>
    <hyperlink xmlns:r="http://schemas.openxmlformats.org/officeDocument/2006/relationships" ref="Q97" r:id="rId76"/>
    <hyperlink xmlns:r="http://schemas.openxmlformats.org/officeDocument/2006/relationships" ref="Q98" r:id="rId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key</t>
        </is>
      </c>
      <c r="B2" s="44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2026-03-23T08:23:57Z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t="n">
        <v>5482.24</v>
      </c>
      <c r="F3" t="inlineStr">
        <is>
          <t>EUR</t>
        </is>
      </c>
      <c r="G3" t="inlineStr">
        <is>
          <t>finance.ventas_pyg</t>
        </is>
      </c>
      <c r="H3" t="inlineStr"/>
      <c r="I3" t="inlineStr"/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t="n">
        <v>422.71</v>
      </c>
      <c r="F4" t="inlineStr">
        <is>
          <t>EUR</t>
        </is>
      </c>
      <c r="G4" t="inlineStr">
        <is>
          <t>finance.ventas_pyg</t>
        </is>
      </c>
      <c r="H4" t="inlineStr"/>
      <c r="I4" t="inlineStr"/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DE</t>
        </is>
      </c>
      <c r="D5" t="inlineStr">
        <is>
          <t>DE</t>
        </is>
      </c>
      <c r="E5" t="n">
        <v>20924.16</v>
      </c>
      <c r="F5" t="inlineStr">
        <is>
          <t>EUR</t>
        </is>
      </c>
      <c r="G5" t="inlineStr">
        <is>
          <t>finance.ventas_pyg</t>
        </is>
      </c>
      <c r="H5" t="inlineStr"/>
      <c r="I5" t="inlineStr"/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ES</t>
        </is>
      </c>
      <c r="D6" t="inlineStr">
        <is>
          <t>ES</t>
        </is>
      </c>
      <c r="E6" t="n">
        <v>61194.44</v>
      </c>
      <c r="F6" t="inlineStr">
        <is>
          <t>EUR</t>
        </is>
      </c>
      <c r="G6" t="inlineStr">
        <is>
          <t>finance.ventas_pyg</t>
        </is>
      </c>
      <c r="H6" t="inlineStr"/>
      <c r="I6" t="inlineStr"/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FR</t>
        </is>
      </c>
      <c r="D7" t="inlineStr">
        <is>
          <t>FR</t>
        </is>
      </c>
      <c r="E7" t="n">
        <v>25590.35</v>
      </c>
      <c r="F7" t="inlineStr">
        <is>
          <t>EUR</t>
        </is>
      </c>
      <c r="G7" t="inlineStr">
        <is>
          <t>finance.ventas_pyg</t>
        </is>
      </c>
      <c r="H7" t="inlineStr"/>
      <c r="I7" t="inlineStr"/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IT</t>
        </is>
      </c>
      <c r="D8" t="inlineStr">
        <is>
          <t>IT</t>
        </is>
      </c>
      <c r="E8" t="n">
        <v>18483.79</v>
      </c>
      <c r="F8" t="inlineStr">
        <is>
          <t>EUR</t>
        </is>
      </c>
      <c r="G8" t="inlineStr">
        <is>
          <t>finance.ventas_pyg</t>
        </is>
      </c>
      <c r="H8" t="inlineStr"/>
      <c r="I8" t="inlineStr"/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NL</t>
        </is>
      </c>
      <c r="D9" t="inlineStr">
        <is>
          <t>NL</t>
        </is>
      </c>
      <c r="E9" t="n">
        <v>115.58</v>
      </c>
      <c r="F9" t="inlineStr">
        <is>
          <t>EUR</t>
        </is>
      </c>
      <c r="G9" t="inlineStr">
        <is>
          <t>finance.ventas_pyg</t>
        </is>
      </c>
      <c r="H9" t="inlineStr"/>
      <c r="I9" t="inlineStr"/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PT</t>
        </is>
      </c>
      <c r="D10" t="inlineStr">
        <is>
          <t>PT</t>
        </is>
      </c>
      <c r="E10" t="n">
        <v>729.3099999999999</v>
      </c>
      <c r="F10" t="inlineStr">
        <is>
          <t>EUR</t>
        </is>
      </c>
      <c r="G10" t="inlineStr">
        <is>
          <t>finance.ventas_pyg</t>
        </is>
      </c>
      <c r="H10" t="inlineStr"/>
      <c r="I10" t="inlineStr"/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XX</t>
        </is>
      </c>
      <c r="D11" t="inlineStr">
        <is>
          <t>XX</t>
        </is>
      </c>
      <c r="E11" t="n">
        <v>691.1900000000001</v>
      </c>
      <c r="F11" t="inlineStr">
        <is>
          <t>EUR</t>
        </is>
      </c>
      <c r="G11" t="inlineStr">
        <is>
          <t>finance.ventas_pyg</t>
        </is>
      </c>
      <c r="H11" t="inlineStr"/>
      <c r="I11" t="inlineStr"/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AT</t>
        </is>
      </c>
      <c r="D12" t="inlineStr">
        <is>
          <t>AT</t>
        </is>
      </c>
      <c r="E12" t="n">
        <v>6077.94</v>
      </c>
      <c r="F12" t="inlineStr">
        <is>
          <t>EUR</t>
        </is>
      </c>
      <c r="G12" t="inlineStr">
        <is>
          <t>finance.ventas_pyg</t>
        </is>
      </c>
      <c r="H12" t="inlineStr"/>
      <c r="I12" t="inlineStr"/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BE</t>
        </is>
      </c>
      <c r="D13" t="inlineStr">
        <is>
          <t>BE</t>
        </is>
      </c>
      <c r="E13" t="n">
        <v>998.6799999999999</v>
      </c>
      <c r="F13" t="inlineStr">
        <is>
          <t>EUR</t>
        </is>
      </c>
      <c r="G13" t="inlineStr">
        <is>
          <t>finance.ventas_pyg</t>
        </is>
      </c>
      <c r="H13" t="inlineStr"/>
      <c r="I13" t="inlineStr"/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DE</t>
        </is>
      </c>
      <c r="D14" t="inlineStr">
        <is>
          <t>DE</t>
        </is>
      </c>
      <c r="E14" t="n">
        <v>19361.46</v>
      </c>
      <c r="F14" t="inlineStr">
        <is>
          <t>EUR</t>
        </is>
      </c>
      <c r="G14" t="inlineStr">
        <is>
          <t>finance.ventas_pyg</t>
        </is>
      </c>
      <c r="H14" t="inlineStr"/>
      <c r="I14" t="inlineStr"/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ES</t>
        </is>
      </c>
      <c r="D15" t="inlineStr">
        <is>
          <t>ES</t>
        </is>
      </c>
      <c r="E15" t="n">
        <v>73349.64</v>
      </c>
      <c r="F15" t="inlineStr">
        <is>
          <t>EUR</t>
        </is>
      </c>
      <c r="G15" t="inlineStr">
        <is>
          <t>finance.ventas_pyg</t>
        </is>
      </c>
      <c r="H15" t="inlineStr"/>
      <c r="I15" t="inlineStr"/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FR</t>
        </is>
      </c>
      <c r="D16" t="inlineStr">
        <is>
          <t>FR</t>
        </is>
      </c>
      <c r="E16" t="n">
        <v>27502.64</v>
      </c>
      <c r="F16" t="inlineStr">
        <is>
          <t>EUR</t>
        </is>
      </c>
      <c r="G16" t="inlineStr">
        <is>
          <t>finance.ventas_pyg</t>
        </is>
      </c>
      <c r="H16" t="inlineStr"/>
      <c r="I16" t="inlineStr"/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IT</t>
        </is>
      </c>
      <c r="D17" t="inlineStr">
        <is>
          <t>IT</t>
        </is>
      </c>
      <c r="E17" t="n">
        <v>20044.87</v>
      </c>
      <c r="F17" t="inlineStr">
        <is>
          <t>EUR</t>
        </is>
      </c>
      <c r="G17" t="inlineStr">
        <is>
          <t>finance.ventas_pyg</t>
        </is>
      </c>
      <c r="H17" t="inlineStr"/>
      <c r="I17" t="inlineStr"/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NL</t>
        </is>
      </c>
      <c r="D18" t="inlineStr">
        <is>
          <t>NL</t>
        </is>
      </c>
      <c r="E18" t="n">
        <v>175.87</v>
      </c>
      <c r="F18" t="inlineStr">
        <is>
          <t>EUR</t>
        </is>
      </c>
      <c r="G18" t="inlineStr">
        <is>
          <t>finance.ventas_pyg</t>
        </is>
      </c>
      <c r="H18" t="inlineStr"/>
      <c r="I18" t="inlineStr"/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PT</t>
        </is>
      </c>
      <c r="D19" t="inlineStr">
        <is>
          <t>PT</t>
        </is>
      </c>
      <c r="E19" t="n">
        <v>1281.5</v>
      </c>
      <c r="F19" t="inlineStr">
        <is>
          <t>EUR</t>
        </is>
      </c>
      <c r="G19" t="inlineStr">
        <is>
          <t>finance.ventas_pyg</t>
        </is>
      </c>
      <c r="H19" t="inlineStr"/>
      <c r="I19" t="inlineStr"/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XX</t>
        </is>
      </c>
      <c r="D20" t="inlineStr">
        <is>
          <t>XX</t>
        </is>
      </c>
      <c r="E20" t="n">
        <v>264.48</v>
      </c>
      <c r="F20" t="inlineStr">
        <is>
          <t>EUR</t>
        </is>
      </c>
      <c r="G20" t="inlineStr">
        <is>
          <t>finance.ventas_pyg</t>
        </is>
      </c>
      <c r="H20" t="inlineStr"/>
      <c r="I20" t="inlineStr"/>
    </row>
    <row r="21" ht="12" customHeight="1">
      <c r="A21" t="inlineStr">
        <is>
          <t>202603</t>
        </is>
      </c>
      <c r="B21" t="inlineStr">
        <is>
          <t>SL</t>
        </is>
      </c>
      <c r="C21" t="inlineStr">
        <is>
          <t>AT</t>
        </is>
      </c>
      <c r="D21" t="inlineStr">
        <is>
          <t>AT</t>
        </is>
      </c>
      <c r="E21" t="n">
        <v>3864.68</v>
      </c>
      <c r="F21" t="inlineStr">
        <is>
          <t>EUR</t>
        </is>
      </c>
      <c r="G21" t="inlineStr">
        <is>
          <t>finance.ventas_pyg</t>
        </is>
      </c>
      <c r="H21" t="inlineStr"/>
      <c r="I21" t="inlineStr"/>
    </row>
    <row r="22" ht="12" customHeight="1">
      <c r="A22" t="inlineStr">
        <is>
          <t>202603</t>
        </is>
      </c>
      <c r="B22" t="inlineStr">
        <is>
          <t>SL</t>
        </is>
      </c>
      <c r="C22" t="inlineStr">
        <is>
          <t>BE</t>
        </is>
      </c>
      <c r="D22" t="inlineStr">
        <is>
          <t>BE</t>
        </is>
      </c>
      <c r="E22" t="n">
        <v>26.36</v>
      </c>
      <c r="F22" t="inlineStr">
        <is>
          <t>EUR</t>
        </is>
      </c>
      <c r="G22" t="inlineStr">
        <is>
          <t>finance.ventas_pyg</t>
        </is>
      </c>
      <c r="H22" t="inlineStr"/>
      <c r="I22" t="inlineStr"/>
    </row>
    <row r="23" ht="12" customHeight="1">
      <c r="A23" t="inlineStr">
        <is>
          <t>202603</t>
        </is>
      </c>
      <c r="B23" t="inlineStr">
        <is>
          <t>SL</t>
        </is>
      </c>
      <c r="C23" t="inlineStr">
        <is>
          <t>DE</t>
        </is>
      </c>
      <c r="D23" t="inlineStr">
        <is>
          <t>DE</t>
        </is>
      </c>
      <c r="E23" t="n">
        <v>16131.41</v>
      </c>
      <c r="F23" t="inlineStr">
        <is>
          <t>EUR</t>
        </is>
      </c>
      <c r="G23" t="inlineStr">
        <is>
          <t>finance.ventas_pyg</t>
        </is>
      </c>
      <c r="H23" t="inlineStr"/>
      <c r="I23" t="inlineStr"/>
    </row>
    <row r="24" ht="12" customHeight="1">
      <c r="A24" t="inlineStr">
        <is>
          <t>202603</t>
        </is>
      </c>
      <c r="B24" t="inlineStr">
        <is>
          <t>SL</t>
        </is>
      </c>
      <c r="C24" t="inlineStr">
        <is>
          <t>ES</t>
        </is>
      </c>
      <c r="D24" t="inlineStr">
        <is>
          <t>ES</t>
        </is>
      </c>
      <c r="E24" t="n">
        <v>48155.32</v>
      </c>
      <c r="F24" t="inlineStr">
        <is>
          <t>EUR</t>
        </is>
      </c>
      <c r="G24" t="inlineStr">
        <is>
          <t>finance.ventas_pyg</t>
        </is>
      </c>
      <c r="H24" t="inlineStr"/>
      <c r="I24" t="inlineStr"/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FR</t>
        </is>
      </c>
      <c r="D25" t="inlineStr">
        <is>
          <t>FR</t>
        </is>
      </c>
      <c r="E25" t="n">
        <v>22586.42</v>
      </c>
      <c r="F25" t="inlineStr">
        <is>
          <t>EUR</t>
        </is>
      </c>
      <c r="G25" t="inlineStr">
        <is>
          <t>finance.ventas_pyg</t>
        </is>
      </c>
      <c r="H25" t="inlineStr"/>
      <c r="I25" t="inlineStr"/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IT</t>
        </is>
      </c>
      <c r="D26" t="inlineStr">
        <is>
          <t>IT</t>
        </is>
      </c>
      <c r="E26" t="n">
        <v>10972.4</v>
      </c>
      <c r="F26" t="inlineStr">
        <is>
          <t>EUR</t>
        </is>
      </c>
      <c r="G26" t="inlineStr">
        <is>
          <t>finance.ventas_pyg</t>
        </is>
      </c>
      <c r="H26" t="inlineStr"/>
      <c r="I26" t="inlineStr"/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NL</t>
        </is>
      </c>
      <c r="D27" t="inlineStr">
        <is>
          <t>NL</t>
        </is>
      </c>
      <c r="E27" t="n">
        <v>39.59</v>
      </c>
      <c r="F27" t="inlineStr">
        <is>
          <t>EUR</t>
        </is>
      </c>
      <c r="G27" t="inlineStr">
        <is>
          <t>finance.ventas_pyg</t>
        </is>
      </c>
      <c r="H27" t="inlineStr"/>
      <c r="I27" t="inlineStr"/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XX</t>
        </is>
      </c>
      <c r="D28" t="inlineStr">
        <is>
          <t>XX</t>
        </is>
      </c>
      <c r="E28" t="n">
        <v>227.22</v>
      </c>
      <c r="F28" t="inlineStr">
        <is>
          <t>EUR</t>
        </is>
      </c>
      <c r="G28" t="inlineStr">
        <is>
          <t>finance.ventas_pyg</t>
        </is>
      </c>
      <c r="H28" t="inlineStr"/>
      <c r="I28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t="n">
        <v>1419.7</v>
      </c>
      <c r="F3" t="inlineStr">
        <is>
          <t>EUR</t>
        </is>
      </c>
      <c r="G3" t="inlineStr">
        <is>
          <t>documents</t>
        </is>
      </c>
      <c r="H3" s="45" t="inlineStr">
        <is>
          <t>2026-0008</t>
        </is>
      </c>
      <c r="I3" t="inlineStr">
        <is>
          <t>https://drive.google.com/file/d/1SRHb07OiC_DmTMCjAnZJpaif5amIl7Fl/view?usp=drivesdk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HANNUN</t>
        </is>
      </c>
      <c r="D4" t="inlineStr">
        <is>
          <t>orders</t>
        </is>
      </c>
      <c r="E4" t="n">
        <v>1128.42</v>
      </c>
      <c r="F4" t="inlineStr">
        <is>
          <t>EUR</t>
        </is>
      </c>
      <c r="G4" t="inlineStr">
        <is>
          <t>documents</t>
        </is>
      </c>
      <c r="H4" s="45" t="inlineStr">
        <is>
          <t>2026-0013</t>
        </is>
      </c>
      <c r="I4" t="inlineStr">
        <is>
          <t>https://drive.google.com/file/d/1CmAISLBvUVe78NnGfNvevigmLiHzSEsg/view?usp=drivesdk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TOASTY</t>
        </is>
      </c>
      <c r="D5" t="inlineStr">
        <is>
          <t>b2b_partner</t>
        </is>
      </c>
      <c r="E5" t="n">
        <v>1746.6</v>
      </c>
      <c r="F5" t="inlineStr">
        <is>
          <t>EUR</t>
        </is>
      </c>
      <c r="G5" t="inlineStr">
        <is>
          <t>documents</t>
        </is>
      </c>
      <c r="H5" s="45" t="inlineStr">
        <is>
          <t>AS-99158</t>
        </is>
      </c>
      <c r="I5" t="inlineStr">
        <is>
          <t>https://drive.google.com/file/d/1Caf6SbLhjNsliYTmwyaOj9tn_dQke6Ff/view?usp=drivesdk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CHOOSE</t>
        </is>
      </c>
      <c r="D6" t="inlineStr">
        <is>
          <t>campaign</t>
        </is>
      </c>
      <c r="E6" t="n">
        <v>15609.96</v>
      </c>
      <c r="F6" t="inlineStr">
        <is>
          <t>EUR</t>
        </is>
      </c>
      <c r="G6" t="inlineStr">
        <is>
          <t>documents</t>
        </is>
      </c>
      <c r="H6" s="45" t="inlineStr">
        <is>
          <t>AS-101940</t>
        </is>
      </c>
      <c r="I6" t="inlineStr">
        <is>
          <t>https://drive.google.com/file/d/18nd9g2717srK8fdaeAjNuV-HtW9zUU3A/view?usp=drivesdk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t="n">
        <v>-1118.95</v>
      </c>
      <c r="F3" t="inlineStr">
        <is>
          <t>EUR</t>
        </is>
      </c>
      <c r="G3" t="inlineStr">
        <is>
          <t>documents</t>
        </is>
      </c>
      <c r="H3" s="45" t="inlineStr">
        <is>
          <t>A_2026-0006</t>
        </is>
      </c>
      <c r="I3" t="inlineStr">
        <is>
          <t>https://drive.google.com/file/d/1TatcT909r9lQss48nnCsBt5kjo76SoJK/view?usp=drivesdk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supplied_note</t>
        </is>
      </c>
      <c r="E3" t="n">
        <v>-1753.49</v>
      </c>
      <c r="F3" t="inlineStr">
        <is>
          <t>EUR</t>
        </is>
      </c>
      <c r="G3" t="inlineStr">
        <is>
          <t>documents</t>
        </is>
      </c>
      <c r="H3" s="45" t="inlineStr">
        <is>
          <t>SUPPLIED-202512</t>
        </is>
      </c>
      <c r="I3" t="inlineStr">
        <is>
          <t>https://drive.google.com/file/d/1fcDMocaa4cpTPjITHzeqYj2_zqO3NWYG/view?usp=drivesdk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REVER</t>
        </is>
      </c>
      <c r="D4" t="inlineStr">
        <is>
          <t>supplied_note</t>
        </is>
      </c>
      <c r="E4" t="n">
        <v>-422.97</v>
      </c>
      <c r="F4" t="inlineStr">
        <is>
          <t>EUR</t>
        </is>
      </c>
      <c r="G4" t="inlineStr">
        <is>
          <t>documents</t>
        </is>
      </c>
      <c r="H4" s="45" t="inlineStr">
        <is>
          <t>SUPPLIED-202601</t>
        </is>
      </c>
      <c r="I4" t="inlineStr">
        <is>
          <t>https://drive.google.com/file/d/1JrhdQBAxThJrJre0y6m_O_546LXVrueL/view?usp=drivesdk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REVER</t>
        </is>
      </c>
      <c r="D5" t="inlineStr">
        <is>
          <t>supplied_note</t>
        </is>
      </c>
      <c r="E5" t="n">
        <v>-522.54</v>
      </c>
      <c r="F5" t="inlineStr">
        <is>
          <t>EUR</t>
        </is>
      </c>
      <c r="G5" t="inlineStr">
        <is>
          <t>documents</t>
        </is>
      </c>
      <c r="H5" s="45" t="inlineStr">
        <is>
          <t>SUPPLIED-202602</t>
        </is>
      </c>
      <c r="I5" t="inlineStr">
        <is>
          <t>https://drive.google.com/file/d/1P7U8R2vW7HJBpC4dFcTfQ6Fl5v7lZf-T/view?usp=drivesdk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renting_cnc</t>
        </is>
      </c>
      <c r="E3" t="n">
        <v>1661.16</v>
      </c>
      <c r="F3" t="inlineStr">
        <is>
          <t>EUR</t>
        </is>
      </c>
      <c r="G3" t="inlineStr">
        <is>
          <t>documents</t>
        </is>
      </c>
      <c r="H3" s="45" t="inlineStr">
        <is>
          <t>2026-0006</t>
        </is>
      </c>
      <c r="I3" t="inlineStr">
        <is>
          <t>https://drive.google.com/file/d/1ZNEswgq6fNRQmQBRT6GcjgdY_sepQuvN/view?usp=drivesdk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staff</t>
        </is>
      </c>
      <c r="E4" t="n">
        <v>1191.18</v>
      </c>
      <c r="F4" t="inlineStr">
        <is>
          <t>EUR</t>
        </is>
      </c>
      <c r="G4" t="inlineStr">
        <is>
          <t>documents</t>
        </is>
      </c>
      <c r="H4" s="45" t="inlineStr">
        <is>
          <t>2026-0007</t>
        </is>
      </c>
      <c r="I4" t="inlineStr">
        <is>
          <t>https://drive.google.com/file/d/1NSgOhocDqu_GBFUbkAHX1ly92CIuLykN/view?usp=drivesdk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Inc</t>
        </is>
      </c>
      <c r="D5" t="inlineStr">
        <is>
          <t>shared_services</t>
        </is>
      </c>
      <c r="E5" t="n">
        <v>7334.44</v>
      </c>
      <c r="F5" t="inlineStr">
        <is>
          <t>EUR</t>
        </is>
      </c>
      <c r="G5" t="inlineStr">
        <is>
          <t>documents:shared_services</t>
        </is>
      </c>
      <c r="H5" s="45" t="inlineStr">
        <is>
          <t>2026-0009</t>
        </is>
      </c>
      <c r="I5" t="inlineStr">
        <is>
          <t>https://drive.google.com/file/d/1f0y-ak8qjEua6xrzfcweFpWZqOtA8h9C/view?usp=drivesdk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Ltd</t>
        </is>
      </c>
      <c r="D6" t="inlineStr">
        <is>
          <t>shared_services</t>
        </is>
      </c>
      <c r="E6" t="n">
        <v>10732.87</v>
      </c>
      <c r="F6" t="inlineStr">
        <is>
          <t>EUR</t>
        </is>
      </c>
      <c r="G6" t="inlineStr">
        <is>
          <t>documents:shared_services</t>
        </is>
      </c>
      <c r="H6" s="45" t="inlineStr">
        <is>
          <t>2026-0010</t>
        </is>
      </c>
      <c r="I6" t="inlineStr">
        <is>
          <t>https://drive.google.com/file/d/1DVbcrKI34TY_XRmPCWYxFfktOzy1Bqmr/view?usp=drivesdk</t>
        </is>
      </c>
    </row>
    <row r="7" ht="12" customHeight="1">
      <c r="A7" t="inlineStr">
        <is>
          <t>202602</t>
        </is>
      </c>
      <c r="B7" t="inlineStr">
        <is>
          <t>SL</t>
        </is>
      </c>
      <c r="C7" t="inlineStr">
        <is>
          <t>HANNUN</t>
        </is>
      </c>
      <c r="D7" t="inlineStr">
        <is>
          <t>staff</t>
        </is>
      </c>
      <c r="E7" t="n">
        <v>1191.18</v>
      </c>
      <c r="F7" t="inlineStr">
        <is>
          <t>EUR</t>
        </is>
      </c>
      <c r="G7" t="inlineStr">
        <is>
          <t>documents</t>
        </is>
      </c>
      <c r="H7" s="45" t="inlineStr">
        <is>
          <t>2026-0011</t>
        </is>
      </c>
      <c r="I7" t="inlineStr">
        <is>
          <t>https://drive.google.com/file/d/1il-dTsdyMbUZFKcN_lnqoNWLpAFjKN7A/view?usp=drivesdk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Inc</t>
        </is>
      </c>
      <c r="D8" t="inlineStr">
        <is>
          <t>shared_services</t>
        </is>
      </c>
      <c r="E8" t="n">
        <v>8462.360000000001</v>
      </c>
      <c r="F8" t="inlineStr">
        <is>
          <t>EUR</t>
        </is>
      </c>
      <c r="G8" t="inlineStr">
        <is>
          <t>documents:shared_services</t>
        </is>
      </c>
      <c r="H8" s="45" t="inlineStr">
        <is>
          <t>2026-0014</t>
        </is>
      </c>
      <c r="I8" t="inlineStr">
        <is>
          <t>https://drive.google.com/file/d/1rlqcAuJUaWxt0Udjbpq3E6fP_lfRq58_/view?usp=drivesdk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Ltd</t>
        </is>
      </c>
      <c r="D9" t="inlineStr">
        <is>
          <t>shared_services</t>
        </is>
      </c>
      <c r="E9" t="n">
        <v>13068.98</v>
      </c>
      <c r="F9" t="inlineStr">
        <is>
          <t>EUR</t>
        </is>
      </c>
      <c r="G9" t="inlineStr">
        <is>
          <t>documents:shared_services</t>
        </is>
      </c>
      <c r="H9" s="45" t="inlineStr">
        <is>
          <t>2026-0015</t>
        </is>
      </c>
      <c r="I9" t="inlineStr">
        <is>
          <t>https://drive.google.com/file/d/1pNRISEZAlDdg2kXsh98mNhDndQFk42mV/view?usp=drivesdk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QHANDS</t>
        </is>
      </c>
      <c r="D10" t="inlineStr">
        <is>
          <t>renting_cnc</t>
        </is>
      </c>
      <c r="E10" t="n">
        <v>1661.16</v>
      </c>
      <c r="F10" t="inlineStr">
        <is>
          <t>EUR</t>
        </is>
      </c>
      <c r="G10" t="inlineStr">
        <is>
          <t>documents</t>
        </is>
      </c>
      <c r="H10" s="45" t="inlineStr">
        <is>
          <t>2026-0012</t>
        </is>
      </c>
      <c r="I10" t="inlineStr">
        <is>
          <t>https://drive.google.com/file/d/1m_ONfUFq-mhxCI2SVs0iWw4Ss3ohvEPU/view?usp=drivesdk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hidden="1" width="14" customWidth="1" min="11" max="11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category</t>
        </is>
      </c>
      <c r="D2" s="44" t="inlineStr">
        <is>
          <t>subcategory</t>
        </is>
      </c>
      <c r="E2" s="44" t="inlineStr">
        <is>
          <t>supplier_code</t>
        </is>
      </c>
      <c r="F2" s="44" t="inlineStr">
        <is>
          <t>detail</t>
        </is>
      </c>
      <c r="G2" s="44" t="inlineStr">
        <is>
          <t>amount_net</t>
        </is>
      </c>
      <c r="H2" s="44" t="inlineStr">
        <is>
          <t>currency</t>
        </is>
      </c>
      <c r="I2" s="44" t="inlineStr">
        <is>
          <t>source</t>
        </is>
      </c>
      <c r="J2" s="44" t="inlineStr">
        <is>
          <t>invoice_number</t>
        </is>
      </c>
      <c r="K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RAILWAY</t>
        </is>
      </c>
      <c r="F3" t="inlineStr"/>
      <c r="G3" t="n">
        <v>20</v>
      </c>
      <c r="H3" t="inlineStr">
        <is>
          <t>USD</t>
        </is>
      </c>
      <c r="I3" t="inlineStr">
        <is>
          <t>documents</t>
        </is>
      </c>
      <c r="J3" s="45" t="inlineStr">
        <is>
          <t>1602C2F5-0015</t>
        </is>
      </c>
      <c r="K3" t="inlineStr">
        <is>
          <t>https://drive.google.com/file/d/1ih8AMHNM7ZQvhfJOhpZ3dpM0Bv3oyAA-/view?usp=drivesdk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opex</t>
        </is>
      </c>
      <c r="D4" t="inlineStr">
        <is>
          <t>technology</t>
        </is>
      </c>
      <c r="E4" t="inlineStr">
        <is>
          <t>RAILWAY</t>
        </is>
      </c>
      <c r="F4" t="inlineStr"/>
      <c r="G4" t="n">
        <v>20</v>
      </c>
      <c r="H4" t="inlineStr">
        <is>
          <t>USD</t>
        </is>
      </c>
      <c r="I4" t="inlineStr">
        <is>
          <t>documents</t>
        </is>
      </c>
      <c r="J4" s="45" t="inlineStr">
        <is>
          <t>1602C2F5-0016</t>
        </is>
      </c>
      <c r="K4" t="inlineStr">
        <is>
          <t>https://drive.google.com/file/d/1nql7QpcMxbeNk-s_Ku_8yFOrf0x8QVss/view?usp=drivesdk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opex</t>
        </is>
      </c>
      <c r="D5" t="inlineStr">
        <is>
          <t>technology</t>
        </is>
      </c>
      <c r="E5" t="inlineStr">
        <is>
          <t>ADOBE</t>
        </is>
      </c>
      <c r="F5" t="inlineStr"/>
      <c r="G5" t="n">
        <v>33.49</v>
      </c>
      <c r="H5" t="inlineStr">
        <is>
          <t>EUR</t>
        </is>
      </c>
      <c r="I5" t="inlineStr">
        <is>
          <t>documents</t>
        </is>
      </c>
      <c r="J5" s="45" t="inlineStr">
        <is>
          <t>IEE2026001813920</t>
        </is>
      </c>
      <c r="K5" t="inlineStr">
        <is>
          <t>https://drive.google.com/file/d/1bfLhUT5wi1Zga5-YKV-y_tFqtaYvhqG_/view?usp=drivesdk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cogs</t>
        </is>
      </c>
      <c r="D6" t="inlineStr">
        <is>
          <t>manufacturing</t>
        </is>
      </c>
      <c r="E6" t="inlineStr">
        <is>
          <t>APPHOTOCAN</t>
        </is>
      </c>
      <c r="F6" t="inlineStr"/>
      <c r="G6" t="n">
        <v>29.22</v>
      </c>
      <c r="H6" t="inlineStr">
        <is>
          <t>EUR</t>
        </is>
      </c>
      <c r="I6" t="inlineStr">
        <is>
          <t>documents</t>
        </is>
      </c>
      <c r="J6" s="45" t="inlineStr">
        <is>
          <t>26-1-147</t>
        </is>
      </c>
      <c r="K6" t="inlineStr">
        <is>
          <t>https://drive.google.com/file/d/1R3F1S4DkkMdWjQCije5h6JcXrv2oanjz/view?usp=drivesdk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cogs</t>
        </is>
      </c>
      <c r="D7" t="inlineStr">
        <is>
          <t>manufacturing</t>
        </is>
      </c>
      <c r="E7" t="inlineStr">
        <is>
          <t>APPHOTOES</t>
        </is>
      </c>
      <c r="F7" t="inlineStr"/>
      <c r="G7" t="n">
        <v>4472.74</v>
      </c>
      <c r="H7" t="inlineStr">
        <is>
          <t>EUR</t>
        </is>
      </c>
      <c r="I7" t="inlineStr">
        <is>
          <t>documents</t>
        </is>
      </c>
      <c r="J7" s="45" t="inlineStr">
        <is>
          <t>1-1115</t>
        </is>
      </c>
      <c r="K7" t="inlineStr">
        <is>
          <t>https://drive.google.com/file/d/1WUqPHPgca1EQI6FEQ45b4g1OBJLlBFy7/view?usp=drivesdk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manufacturing</t>
        </is>
      </c>
      <c r="E8" t="inlineStr">
        <is>
          <t>APPHOTOES</t>
        </is>
      </c>
      <c r="F8" t="inlineStr"/>
      <c r="G8" t="n">
        <v>2583.61</v>
      </c>
      <c r="H8" t="inlineStr">
        <is>
          <t>EUR</t>
        </is>
      </c>
      <c r="I8" t="inlineStr">
        <is>
          <t>documents</t>
        </is>
      </c>
      <c r="J8" s="45" t="inlineStr">
        <is>
          <t>1-412</t>
        </is>
      </c>
      <c r="K8" t="inlineStr">
        <is>
          <t>https://drive.google.com/file/d/1HSHnKuD3wT5VaYKRyqQtc1Kn3jvbtI5z/view?usp=drivesdk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cogs</t>
        </is>
      </c>
      <c r="D9" t="inlineStr">
        <is>
          <t>manufacturing</t>
        </is>
      </c>
      <c r="E9" t="inlineStr">
        <is>
          <t>APPHOTOES</t>
        </is>
      </c>
      <c r="F9" t="inlineStr"/>
      <c r="G9" t="n">
        <v>1083.14</v>
      </c>
      <c r="H9" t="inlineStr">
        <is>
          <t>EUR</t>
        </is>
      </c>
      <c r="I9" t="inlineStr">
        <is>
          <t>documents</t>
        </is>
      </c>
      <c r="J9" s="45" t="inlineStr">
        <is>
          <t>1-527</t>
        </is>
      </c>
      <c r="K9" t="inlineStr">
        <is>
          <t>https://drive.google.com/file/d/1QiOFa-Pu55ImYk1EgtLQ-1AJeKteGKKN/view?usp=drivesdk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cogs</t>
        </is>
      </c>
      <c r="D10" t="inlineStr">
        <is>
          <t>manufacturing</t>
        </is>
      </c>
      <c r="E10" t="inlineStr">
        <is>
          <t>APPHOTOES</t>
        </is>
      </c>
      <c r="F10" t="inlineStr"/>
      <c r="G10" t="n">
        <v>9758.59</v>
      </c>
      <c r="H10" t="inlineStr">
        <is>
          <t>EUR</t>
        </is>
      </c>
      <c r="I10" t="inlineStr">
        <is>
          <t>documents</t>
        </is>
      </c>
      <c r="J10" s="45" t="inlineStr">
        <is>
          <t>1-841</t>
        </is>
      </c>
      <c r="K10" t="inlineStr">
        <is>
          <t>https://drive.google.com/file/d/1Nv_kf16K0jbiVtLvDOdsF2s81ubDK86-/view?usp=drivesdk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opex</t>
        </is>
      </c>
      <c r="D11" t="inlineStr">
        <is>
          <t>technology</t>
        </is>
      </c>
      <c r="E11" t="inlineStr">
        <is>
          <t>CANVA</t>
        </is>
      </c>
      <c r="F11" t="inlineStr"/>
      <c r="G11" t="n">
        <v>9.91</v>
      </c>
      <c r="H11" t="inlineStr">
        <is>
          <t>EUR</t>
        </is>
      </c>
      <c r="I11" t="inlineStr">
        <is>
          <t>documents</t>
        </is>
      </c>
      <c r="J11" s="45" t="inlineStr">
        <is>
          <t>04765-19148572</t>
        </is>
      </c>
      <c r="K11" t="inlineStr">
        <is>
          <t>https://drive.google.com/file/d/1F1T1ZbmwTiAvZymdmK5UN5ILkYzAcyjE/view?usp=drivesdk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opex</t>
        </is>
      </c>
      <c r="D12" t="inlineStr">
        <is>
          <t>administration</t>
        </is>
      </c>
      <c r="E12" t="inlineStr">
        <is>
          <t>CLARIS</t>
        </is>
      </c>
      <c r="F12" t="inlineStr"/>
      <c r="G12" t="n">
        <v>808.08</v>
      </c>
      <c r="H12" t="inlineStr">
        <is>
          <t>EUR</t>
        </is>
      </c>
      <c r="I12" t="inlineStr">
        <is>
          <t>documents</t>
        </is>
      </c>
      <c r="J12" s="45" t="inlineStr">
        <is>
          <t>F00036/26</t>
        </is>
      </c>
      <c r="K12" t="inlineStr">
        <is>
          <t>https://drive.google.com/file/d/1sZGtXApoakTTNvLB9pud8pMEBdr3FgDZ/view?usp=drivesdk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cogs</t>
        </is>
      </c>
      <c r="D13" t="inlineStr">
        <is>
          <t>logistics</t>
        </is>
      </c>
      <c r="E13" t="inlineStr">
        <is>
          <t>CORREOS</t>
        </is>
      </c>
      <c r="F13" t="inlineStr"/>
      <c r="G13" t="n">
        <v>155.8</v>
      </c>
      <c r="H13" t="inlineStr">
        <is>
          <t>EUR</t>
        </is>
      </c>
      <c r="I13" t="inlineStr">
        <is>
          <t>documents</t>
        </is>
      </c>
      <c r="J13" s="45" t="inlineStr">
        <is>
          <t>4004550727</t>
        </is>
      </c>
      <c r="K13" t="inlineStr">
        <is>
          <t>https://drive.google.com/file/d/13rt7yQ8sQuRvlpYE9WCitcMHEZMp3m_O/view?usp=drivesdk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cogs</t>
        </is>
      </c>
      <c r="D14" t="inlineStr">
        <is>
          <t>logistics</t>
        </is>
      </c>
      <c r="E14" t="inlineStr">
        <is>
          <t>CORREOS</t>
        </is>
      </c>
      <c r="F14" t="inlineStr"/>
      <c r="G14" t="n">
        <v>397.96</v>
      </c>
      <c r="H14" t="inlineStr">
        <is>
          <t>EUR</t>
        </is>
      </c>
      <c r="I14" t="inlineStr">
        <is>
          <t>documents</t>
        </is>
      </c>
      <c r="J14" s="45" t="inlineStr">
        <is>
          <t>4004566874</t>
        </is>
      </c>
      <c r="K14" t="inlineStr">
        <is>
          <t>https://drive.google.com/file/d/19fXXs3bT9JRPi6FOU7JWx3Antd-__jQl/view?usp=drivesdk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cogs</t>
        </is>
      </c>
      <c r="D15" t="inlineStr">
        <is>
          <t>manufacturing</t>
        </is>
      </c>
      <c r="E15" t="inlineStr">
        <is>
          <t>DCT</t>
        </is>
      </c>
      <c r="F15" t="inlineStr"/>
      <c r="G15" t="n">
        <v>5835.02</v>
      </c>
      <c r="H15" t="inlineStr">
        <is>
          <t>EUR</t>
        </is>
      </c>
      <c r="I15" t="inlineStr">
        <is>
          <t>documents</t>
        </is>
      </c>
      <c r="J15" s="45" t="inlineStr">
        <is>
          <t>26-0045</t>
        </is>
      </c>
      <c r="K15" t="inlineStr">
        <is>
          <t>https://drive.google.com/file/d/1CyeswzB650BIBblZ0j3XZapFNejIKlS7/view?usp=drivesdk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cogs</t>
        </is>
      </c>
      <c r="D16" t="inlineStr">
        <is>
          <t>manufacturing</t>
        </is>
      </c>
      <c r="E16" t="inlineStr">
        <is>
          <t>DCT</t>
        </is>
      </c>
      <c r="F16" t="inlineStr"/>
      <c r="G16" t="n">
        <v>3802.59</v>
      </c>
      <c r="H16" t="inlineStr">
        <is>
          <t>EUR</t>
        </is>
      </c>
      <c r="I16" t="inlineStr">
        <is>
          <t>documents</t>
        </is>
      </c>
      <c r="J16" s="45" t="inlineStr">
        <is>
          <t>26-0166</t>
        </is>
      </c>
      <c r="K16" t="inlineStr">
        <is>
          <t>https://drive.google.com/file/d/1bFtmiVMoUJHrjmSz3_aAWbUn5HmF4v7t/view?usp=drivesdk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cogs</t>
        </is>
      </c>
      <c r="D17" t="inlineStr">
        <is>
          <t>manufacturing</t>
        </is>
      </c>
      <c r="E17" t="inlineStr">
        <is>
          <t>DCT</t>
        </is>
      </c>
      <c r="F17" t="inlineStr"/>
      <c r="G17" t="n">
        <v>92.5</v>
      </c>
      <c r="H17" t="inlineStr">
        <is>
          <t>EUR</t>
        </is>
      </c>
      <c r="I17" t="inlineStr">
        <is>
          <t>documents</t>
        </is>
      </c>
      <c r="J17" s="45" t="inlineStr">
        <is>
          <t>26-0167</t>
        </is>
      </c>
      <c r="K17" t="inlineStr">
        <is>
          <t>https://drive.google.com/file/d/1KknDEkSlyPD0Pdkhf322Awt1eAP1q8Gk/view?usp=drivesdk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cogs</t>
        </is>
      </c>
      <c r="D18" t="inlineStr">
        <is>
          <t>logistics</t>
        </is>
      </c>
      <c r="E18" t="inlineStr">
        <is>
          <t>GLS</t>
        </is>
      </c>
      <c r="F18" t="inlineStr"/>
      <c r="G18" t="n">
        <v>12319.26</v>
      </c>
      <c r="H18" t="inlineStr">
        <is>
          <t>EUR</t>
        </is>
      </c>
      <c r="I18" t="inlineStr">
        <is>
          <t>documents</t>
        </is>
      </c>
      <c r="J18" s="45" t="inlineStr">
        <is>
          <t>20260014</t>
        </is>
      </c>
      <c r="K18" t="inlineStr">
        <is>
          <t>https://drive.google.com/file/d/1RtCS-MVwMjJZx5mk-fbeVnp34j-MJNaK/view?usp=drivesdk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opex</t>
        </is>
      </c>
      <c r="D19" t="inlineStr">
        <is>
          <t>technology</t>
        </is>
      </c>
      <c r="E19" t="inlineStr">
        <is>
          <t>GODADDY</t>
        </is>
      </c>
      <c r="F19" t="inlineStr"/>
      <c r="G19" t="n">
        <v>16.99</v>
      </c>
      <c r="H19" t="inlineStr">
        <is>
          <t>EUR</t>
        </is>
      </c>
      <c r="I19" t="inlineStr">
        <is>
          <t>documents</t>
        </is>
      </c>
      <c r="J19" s="45" t="inlineStr">
        <is>
          <t>3984999752</t>
        </is>
      </c>
      <c r="K19" t="inlineStr">
        <is>
          <t>https://drive.google.com/file/d/1Gm9gJDGHIBXQ_WXv2YkF4lyQ6EIMS-DA/view?usp=drivesdk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opex</t>
        </is>
      </c>
      <c r="D20" t="inlineStr">
        <is>
          <t>technology</t>
        </is>
      </c>
      <c r="E20" t="inlineStr">
        <is>
          <t>GODADDY</t>
        </is>
      </c>
      <c r="F20" t="inlineStr"/>
      <c r="G20" t="n">
        <v>17.24</v>
      </c>
      <c r="H20" t="inlineStr">
        <is>
          <t>EUR</t>
        </is>
      </c>
      <c r="I20" t="inlineStr">
        <is>
          <t>documents</t>
        </is>
      </c>
      <c r="J20" s="45" t="inlineStr">
        <is>
          <t>3994794936</t>
        </is>
      </c>
      <c r="K20" t="inlineStr">
        <is>
          <t>https://drive.google.com/file/d/1wr9Nejy--4BUDpyg8riD4WzBFOQ_RYAA/view?usp=drivesdk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marketing</t>
        </is>
      </c>
      <c r="E21" t="inlineStr">
        <is>
          <t>GOOGLEADS</t>
        </is>
      </c>
      <c r="F21" t="inlineStr">
        <is>
          <t>eu</t>
        </is>
      </c>
      <c r="G21" t="n">
        <v>24746.34</v>
      </c>
      <c r="H21" t="inlineStr">
        <is>
          <t>EUR</t>
        </is>
      </c>
      <c r="I21" t="inlineStr">
        <is>
          <t>documents</t>
        </is>
      </c>
      <c r="J21" s="45" t="inlineStr">
        <is>
          <t>5489506571</t>
        </is>
      </c>
      <c r="K21" t="inlineStr">
        <is>
          <t>https://drive.google.com/file/d/18pxQbj0cm3VVE381utczsaBPUOMg2_rE/view?usp=drivesdk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marketing</t>
        </is>
      </c>
      <c r="E22" t="inlineStr">
        <is>
          <t>GOOGLEADS</t>
        </is>
      </c>
      <c r="F22" t="inlineStr">
        <is>
          <t>uk</t>
        </is>
      </c>
      <c r="G22" t="n">
        <v>2298.67</v>
      </c>
      <c r="H22" t="inlineStr">
        <is>
          <t>EUR</t>
        </is>
      </c>
      <c r="I22" t="inlineStr">
        <is>
          <t>documents</t>
        </is>
      </c>
      <c r="J22" s="45" t="inlineStr">
        <is>
          <t>5489506571</t>
        </is>
      </c>
      <c r="K22" t="inlineStr">
        <is>
          <t>https://drive.google.com/file/d/18pxQbj0cm3VVE381utczsaBPUOMg2_rE/view?usp=drivesdk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opex</t>
        </is>
      </c>
      <c r="D23" t="inlineStr">
        <is>
          <t>marketing</t>
        </is>
      </c>
      <c r="E23" t="inlineStr">
        <is>
          <t>GOOGLEADS</t>
        </is>
      </c>
      <c r="F23" t="inlineStr">
        <is>
          <t>us</t>
        </is>
      </c>
      <c r="G23" t="n">
        <v>2119.05</v>
      </c>
      <c r="H23" t="inlineStr">
        <is>
          <t>EUR</t>
        </is>
      </c>
      <c r="I23" t="inlineStr">
        <is>
          <t>documents</t>
        </is>
      </c>
      <c r="J23" s="45" t="inlineStr">
        <is>
          <t>5489506571</t>
        </is>
      </c>
      <c r="K23" t="inlineStr">
        <is>
          <t>https://drive.google.com/file/d/18pxQbj0cm3VVE381utczsaBPUOMg2_rE/view?usp=drivesdk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technology</t>
        </is>
      </c>
      <c r="E24" t="inlineStr">
        <is>
          <t>GOOGLEWORKSPACE</t>
        </is>
      </c>
      <c r="F24" t="inlineStr"/>
      <c r="G24" t="n">
        <v>194.4</v>
      </c>
      <c r="H24" t="inlineStr">
        <is>
          <t>EUR</t>
        </is>
      </c>
      <c r="I24" t="inlineStr">
        <is>
          <t>documents</t>
        </is>
      </c>
      <c r="J24" s="45" t="inlineStr">
        <is>
          <t>5472439457</t>
        </is>
      </c>
      <c r="K24" t="inlineStr">
        <is>
          <t>https://drive.google.com/file/d/1iux2hxJTx8pApkdRTQ8TxrWAycKskSLW/view?usp=drivesdk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technology</t>
        </is>
      </c>
      <c r="E25" t="inlineStr">
        <is>
          <t>GORGIAS</t>
        </is>
      </c>
      <c r="F25" t="inlineStr"/>
      <c r="G25" t="n">
        <v>201.2</v>
      </c>
      <c r="H25" t="inlineStr">
        <is>
          <t>USD</t>
        </is>
      </c>
      <c r="I25" t="inlineStr">
        <is>
          <t>documents</t>
        </is>
      </c>
      <c r="J25" s="45" t="inlineStr">
        <is>
          <t>INC-01-2026-35934</t>
        </is>
      </c>
      <c r="K25" t="inlineStr">
        <is>
          <t>https://drive.google.com/file/d/1cCVWMZjXH5GZ4KJ7Owu69neJD3Mu8nhQ/view?usp=drivesdk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opex</t>
        </is>
      </c>
      <c r="D26" t="inlineStr">
        <is>
          <t>technology</t>
        </is>
      </c>
      <c r="E26" t="inlineStr">
        <is>
          <t>HETZNER</t>
        </is>
      </c>
      <c r="F26" t="inlineStr"/>
      <c r="G26" t="n">
        <v>10.9</v>
      </c>
      <c r="H26" t="inlineStr">
        <is>
          <t>EUR</t>
        </is>
      </c>
      <c r="I26" t="inlineStr">
        <is>
          <t>documents</t>
        </is>
      </c>
      <c r="J26" s="45" t="inlineStr">
        <is>
          <t>084000695806</t>
        </is>
      </c>
      <c r="K26" t="inlineStr">
        <is>
          <t>https://drive.google.com/file/d/1mtjFeFve-rSAPTA0bq7zwh6FvresB1tx/view?usp=drivesdk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opex</t>
        </is>
      </c>
      <c r="D27" t="inlineStr">
        <is>
          <t>technology</t>
        </is>
      </c>
      <c r="E27" t="inlineStr">
        <is>
          <t>KONVOAI</t>
        </is>
      </c>
      <c r="F27" t="inlineStr"/>
      <c r="G27" t="n">
        <v>114.89</v>
      </c>
      <c r="H27" t="inlineStr">
        <is>
          <t>EUR</t>
        </is>
      </c>
      <c r="I27" t="inlineStr">
        <is>
          <t>documents</t>
        </is>
      </c>
      <c r="J27" s="45" t="inlineStr">
        <is>
          <t>B5F7DF3C-6721</t>
        </is>
      </c>
      <c r="K27" t="inlineStr">
        <is>
          <t>https://drive.google.com/file/d/1FvjQkV9yZwLwYyh31yDEv4r6Ws9x-Gee/view?usp=drivesdk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technology</t>
        </is>
      </c>
      <c r="E28" t="inlineStr">
        <is>
          <t>KONVOAI</t>
        </is>
      </c>
      <c r="F28" t="inlineStr"/>
      <c r="G28" t="n">
        <v>339</v>
      </c>
      <c r="H28" t="inlineStr">
        <is>
          <t>EUR</t>
        </is>
      </c>
      <c r="I28" t="inlineStr">
        <is>
          <t>documents</t>
        </is>
      </c>
      <c r="J28" s="45" t="inlineStr">
        <is>
          <t>B5F7DF3C-6940</t>
        </is>
      </c>
      <c r="K28" t="inlineStr">
        <is>
          <t>https://drive.google.com/file/d/1saa91nUMC9fiC166aUrnROE5ZHw8d_r6/view?usp=drivesdk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opex</t>
        </is>
      </c>
      <c r="D29" t="inlineStr">
        <is>
          <t>technology</t>
        </is>
      </c>
      <c r="E29" t="inlineStr">
        <is>
          <t>MASMOVIL</t>
        </is>
      </c>
      <c r="F29" t="inlineStr"/>
      <c r="G29" t="n">
        <v>5</v>
      </c>
      <c r="H29" t="inlineStr">
        <is>
          <t>EUR</t>
        </is>
      </c>
      <c r="I29" t="inlineStr">
        <is>
          <t>documents</t>
        </is>
      </c>
      <c r="J29" s="45" t="inlineStr">
        <is>
          <t>MC260001070524</t>
        </is>
      </c>
      <c r="K29" t="inlineStr">
        <is>
          <t>https://drive.google.com/file/d/1Dqpxqnn8K6M513jJX6b-_iaNJoHc9CRf/view?usp=drivesdk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opex</t>
        </is>
      </c>
      <c r="D30" t="inlineStr">
        <is>
          <t>marketing</t>
        </is>
      </c>
      <c r="E30" t="inlineStr">
        <is>
          <t>METAADS</t>
        </is>
      </c>
      <c r="F30" t="inlineStr">
        <is>
          <t>eu</t>
        </is>
      </c>
      <c r="G30" t="n">
        <v>20319.32</v>
      </c>
      <c r="H30" t="inlineStr">
        <is>
          <t>EUR</t>
        </is>
      </c>
      <c r="I30" t="inlineStr">
        <is>
          <t>documents</t>
        </is>
      </c>
      <c r="J30" s="45" t="inlineStr">
        <is>
          <t>250807809</t>
        </is>
      </c>
      <c r="K30" t="inlineStr">
        <is>
          <t>https://drive.google.com/file/d/18umjaalA1qWOFkhllNu22AbrnmcOGohV/view?usp=drivesdk</t>
        </is>
      </c>
    </row>
    <row r="31" ht="12" customHeight="1">
      <c r="A31" t="inlineStr">
        <is>
          <t>202601</t>
        </is>
      </c>
      <c r="B31" t="inlineStr">
        <is>
          <t>SL</t>
        </is>
      </c>
      <c r="C31" t="inlineStr">
        <is>
          <t>opex</t>
        </is>
      </c>
      <c r="D31" t="inlineStr">
        <is>
          <t>marketing</t>
        </is>
      </c>
      <c r="E31" t="inlineStr">
        <is>
          <t>METAADS</t>
        </is>
      </c>
      <c r="F31" t="inlineStr">
        <is>
          <t>uk</t>
        </is>
      </c>
      <c r="G31" t="n">
        <v>3385.46</v>
      </c>
      <c r="H31" t="inlineStr">
        <is>
          <t>EUR</t>
        </is>
      </c>
      <c r="I31" t="inlineStr">
        <is>
          <t>documents</t>
        </is>
      </c>
      <c r="J31" s="45" t="inlineStr">
        <is>
          <t>250807809</t>
        </is>
      </c>
      <c r="K31" t="inlineStr">
        <is>
          <t>https://drive.google.com/file/d/18umjaalA1qWOFkhllNu22AbrnmcOGohV/view?usp=drivesdk</t>
        </is>
      </c>
    </row>
    <row r="32" ht="12" customHeight="1">
      <c r="A32" t="inlineStr">
        <is>
          <t>202601</t>
        </is>
      </c>
      <c r="B32" t="inlineStr">
        <is>
          <t>SL</t>
        </is>
      </c>
      <c r="C32" t="inlineStr">
        <is>
          <t>opex</t>
        </is>
      </c>
      <c r="D32" t="inlineStr">
        <is>
          <t>marketing</t>
        </is>
      </c>
      <c r="E32" t="inlineStr">
        <is>
          <t>METAADS</t>
        </is>
      </c>
      <c r="F32" t="inlineStr">
        <is>
          <t>us</t>
        </is>
      </c>
      <c r="G32" t="n">
        <v>1779.68</v>
      </c>
      <c r="H32" t="inlineStr">
        <is>
          <t>EUR</t>
        </is>
      </c>
      <c r="I32" t="inlineStr">
        <is>
          <t>documents</t>
        </is>
      </c>
      <c r="J32" s="45" t="inlineStr">
        <is>
          <t>250807809</t>
        </is>
      </c>
      <c r="K32" t="inlineStr">
        <is>
          <t>https://drive.google.com/file/d/18umjaalA1qWOFkhllNu22AbrnmcOGohV/view?usp=drivesdk</t>
        </is>
      </c>
    </row>
    <row r="33" ht="12" customHeight="1">
      <c r="A33" t="inlineStr">
        <is>
          <t>202601</t>
        </is>
      </c>
      <c r="B33" t="inlineStr">
        <is>
          <t>SL</t>
        </is>
      </c>
      <c r="C33" t="inlineStr">
        <is>
          <t>opex</t>
        </is>
      </c>
      <c r="D33" t="inlineStr">
        <is>
          <t>technology</t>
        </is>
      </c>
      <c r="E33" t="inlineStr">
        <is>
          <t>MICROSOFT</t>
        </is>
      </c>
      <c r="F33" t="inlineStr"/>
      <c r="G33" t="n">
        <v>30.87</v>
      </c>
      <c r="H33" t="inlineStr">
        <is>
          <t>EUR</t>
        </is>
      </c>
      <c r="I33" t="inlineStr">
        <is>
          <t>documents</t>
        </is>
      </c>
      <c r="J33" s="45" t="inlineStr">
        <is>
          <t>G135222851</t>
        </is>
      </c>
      <c r="K33" t="inlineStr">
        <is>
          <t>https://drive.google.com/file/d/1YkkVd0CygsXrJ-x-3pub1Sw9g6ZsG1la/view?usp=drivesdk</t>
        </is>
      </c>
    </row>
    <row r="34" ht="12" customHeight="1">
      <c r="A34" t="inlineStr">
        <is>
          <t>202601</t>
        </is>
      </c>
      <c r="B34" t="inlineStr">
        <is>
          <t>SL</t>
        </is>
      </c>
      <c r="C34" t="inlineStr">
        <is>
          <t>opex</t>
        </is>
      </c>
      <c r="D34" t="inlineStr">
        <is>
          <t>technology</t>
        </is>
      </c>
      <c r="E34" t="inlineStr">
        <is>
          <t>OPENAI</t>
        </is>
      </c>
      <c r="F34" t="inlineStr">
        <is>
          <t>api_usage</t>
        </is>
      </c>
      <c r="G34" t="n">
        <v>10</v>
      </c>
      <c r="H34" t="inlineStr">
        <is>
          <t>USD</t>
        </is>
      </c>
      <c r="I34" t="inlineStr">
        <is>
          <t>documents</t>
        </is>
      </c>
      <c r="J34" s="45" t="inlineStr">
        <is>
          <t>BZHJNTUB0001</t>
        </is>
      </c>
      <c r="K34" t="inlineStr">
        <is>
          <t>https://drive.google.com/file/d/1c_a7u0uC_WNkVQzPENEHHzZf2GoRgYzp/view?usp=drivesdk</t>
        </is>
      </c>
    </row>
    <row r="35" ht="12" customHeight="1">
      <c r="A35" t="inlineStr">
        <is>
          <t>202601</t>
        </is>
      </c>
      <c r="B35" t="inlineStr">
        <is>
          <t>SL</t>
        </is>
      </c>
      <c r="C35" t="inlineStr">
        <is>
          <t>opex</t>
        </is>
      </c>
      <c r="D35" t="inlineStr">
        <is>
          <t>technology</t>
        </is>
      </c>
      <c r="E35" t="inlineStr">
        <is>
          <t>OPENAI</t>
        </is>
      </c>
      <c r="F35" t="inlineStr">
        <is>
          <t>chatgpt_plus</t>
        </is>
      </c>
      <c r="G35" t="n">
        <v>19.01</v>
      </c>
      <c r="H35" t="inlineStr">
        <is>
          <t>EUR</t>
        </is>
      </c>
      <c r="I35" t="inlineStr">
        <is>
          <t>documents</t>
        </is>
      </c>
      <c r="J35" s="45" t="inlineStr">
        <is>
          <t>7BSDV5AM0001</t>
        </is>
      </c>
      <c r="K35" t="inlineStr">
        <is>
          <t>https://drive.google.com/file/d/1Z8crn0ZC5tm2cibuFjiaNGAUQ32eDz4H/view?usp=drivesdk</t>
        </is>
      </c>
    </row>
    <row r="36" ht="12" customHeight="1">
      <c r="A36" t="inlineStr">
        <is>
          <t>202601</t>
        </is>
      </c>
      <c r="B36" t="inlineStr">
        <is>
          <t>SL</t>
        </is>
      </c>
      <c r="C36" t="inlineStr">
        <is>
          <t>cogs</t>
        </is>
      </c>
      <c r="D36" t="inlineStr">
        <is>
          <t>manufacturing</t>
        </is>
      </c>
      <c r="E36" t="inlineStr">
        <is>
          <t>PRESSING</t>
        </is>
      </c>
      <c r="F36" t="inlineStr"/>
      <c r="G36" t="n">
        <v>28979.31</v>
      </c>
      <c r="H36" t="inlineStr">
        <is>
          <t>EUR</t>
        </is>
      </c>
      <c r="I36" t="inlineStr">
        <is>
          <t>documents</t>
        </is>
      </c>
      <c r="J36" s="45" t="inlineStr">
        <is>
          <t>FAC/2026/26100000691</t>
        </is>
      </c>
      <c r="K36" t="inlineStr">
        <is>
          <t>https://drive.google.com/file/d/1OUc0Fa83_INuKCsZQC_juJA8WSWOmU7e/view?usp=drivesdk</t>
        </is>
      </c>
    </row>
    <row r="37" ht="12" customHeight="1">
      <c r="A37" t="inlineStr">
        <is>
          <t>202601</t>
        </is>
      </c>
      <c r="B37" t="inlineStr">
        <is>
          <t>SL</t>
        </is>
      </c>
      <c r="C37" t="inlineStr">
        <is>
          <t>opex</t>
        </is>
      </c>
      <c r="D37" t="inlineStr">
        <is>
          <t>technology</t>
        </is>
      </c>
      <c r="E37" t="inlineStr">
        <is>
          <t>PRODUCTHERO</t>
        </is>
      </c>
      <c r="F37" t="inlineStr"/>
      <c r="G37" t="n">
        <v>134</v>
      </c>
      <c r="H37" t="inlineStr">
        <is>
          <t>EUR</t>
        </is>
      </c>
      <c r="I37" t="inlineStr">
        <is>
          <t>documents</t>
        </is>
      </c>
      <c r="J37" s="45" t="inlineStr">
        <is>
          <t>205588</t>
        </is>
      </c>
      <c r="K37" t="inlineStr">
        <is>
          <t>https://drive.google.com/file/d/14DyM0O39wOTD_wOQwkZ2nqk44A4Xr0Pd/view?usp=drivesdk</t>
        </is>
      </c>
    </row>
    <row r="38" ht="12" customHeight="1">
      <c r="A38" t="inlineStr">
        <is>
          <t>202601</t>
        </is>
      </c>
      <c r="B38" t="inlineStr">
        <is>
          <t>SL</t>
        </is>
      </c>
      <c r="C38" t="inlineStr">
        <is>
          <t>opex</t>
        </is>
      </c>
      <c r="D38" t="inlineStr">
        <is>
          <t>technology</t>
        </is>
      </c>
      <c r="E38" t="inlineStr">
        <is>
          <t>REVER</t>
        </is>
      </c>
      <c r="F38" t="inlineStr"/>
      <c r="G38" t="n">
        <v>434.8</v>
      </c>
      <c r="H38" t="inlineStr">
        <is>
          <t>EUR</t>
        </is>
      </c>
      <c r="I38" t="inlineStr">
        <is>
          <t>documents</t>
        </is>
      </c>
      <c r="J38" s="45" t="inlineStr">
        <is>
          <t>RVR-16471</t>
        </is>
      </c>
      <c r="K38" t="inlineStr">
        <is>
          <t>https://drive.google.com/file/d/1MOlMl6uaY6n-XUO8ZDVih0oyxqYCdtvw/view?usp=drivesdk</t>
        </is>
      </c>
    </row>
    <row r="39" ht="12" customHeight="1">
      <c r="A39" t="inlineStr">
        <is>
          <t>202601</t>
        </is>
      </c>
      <c r="B39" t="inlineStr">
        <is>
          <t>SL</t>
        </is>
      </c>
      <c r="C39" t="inlineStr">
        <is>
          <t>opex</t>
        </is>
      </c>
      <c r="D39" t="inlineStr">
        <is>
          <t>technology</t>
        </is>
      </c>
      <c r="E39" t="inlineStr">
        <is>
          <t>REVER</t>
        </is>
      </c>
      <c r="F39" t="inlineStr"/>
      <c r="G39" t="n">
        <v>79</v>
      </c>
      <c r="H39" t="inlineStr">
        <is>
          <t>EUR</t>
        </is>
      </c>
      <c r="I39" t="inlineStr">
        <is>
          <t>documents</t>
        </is>
      </c>
      <c r="J39" s="45" t="inlineStr">
        <is>
          <t>RVR-16823</t>
        </is>
      </c>
      <c r="K39" t="inlineStr">
        <is>
          <t>https://drive.google.com/file/d/15PYo6Nf9Rs0V66jula2uxmSQ1q_sREm9/view?usp=drivesdk</t>
        </is>
      </c>
    </row>
    <row r="40" ht="12" customHeight="1">
      <c r="A40" t="inlineStr">
        <is>
          <t>202601</t>
        </is>
      </c>
      <c r="B40" t="inlineStr">
        <is>
          <t>SL</t>
        </is>
      </c>
      <c r="C40" t="inlineStr">
        <is>
          <t>opex</t>
        </is>
      </c>
      <c r="D40" t="inlineStr">
        <is>
          <t>technology</t>
        </is>
      </c>
      <c r="E40" t="inlineStr">
        <is>
          <t>SHOPIFY</t>
        </is>
      </c>
      <c r="F40" t="inlineStr"/>
      <c r="G40" t="n">
        <v>2674.4</v>
      </c>
      <c r="H40" t="inlineStr">
        <is>
          <t>USD</t>
        </is>
      </c>
      <c r="I40" t="inlineStr">
        <is>
          <t>documents</t>
        </is>
      </c>
      <c r="J40" s="45" t="inlineStr">
        <is>
          <t>479105361</t>
        </is>
      </c>
      <c r="K40" t="inlineStr">
        <is>
          <t>https://drive.google.com/file/d/1xcXRJuhK0s-9Giwr-lbqS68FlhkSzTWB/view?usp=drivesdk</t>
        </is>
      </c>
    </row>
    <row r="41" ht="12" customHeight="1">
      <c r="A41" t="inlineStr">
        <is>
          <t>202601</t>
        </is>
      </c>
      <c r="B41" t="inlineStr">
        <is>
          <t>SL</t>
        </is>
      </c>
      <c r="C41" t="inlineStr">
        <is>
          <t>cogs</t>
        </is>
      </c>
      <c r="D41" t="inlineStr">
        <is>
          <t>logistics</t>
        </is>
      </c>
      <c r="E41" t="inlineStr">
        <is>
          <t>SPRINGGDS</t>
        </is>
      </c>
      <c r="F41" t="inlineStr"/>
      <c r="G41" t="n">
        <v>3.3</v>
      </c>
      <c r="H41" t="inlineStr">
        <is>
          <t>EUR</t>
        </is>
      </c>
      <c r="I41" t="inlineStr">
        <is>
          <t>documents</t>
        </is>
      </c>
      <c r="J41" s="45" t="inlineStr">
        <is>
          <t>E2600764</t>
        </is>
      </c>
      <c r="K41" t="inlineStr">
        <is>
          <t>https://drive.google.com/file/d/1VbeIR7bk7enIlMQGnI8ZlR-KDaMoHDKn/view?usp=drivesdk</t>
        </is>
      </c>
    </row>
    <row r="42" ht="12" customHeight="1">
      <c r="A42" t="inlineStr">
        <is>
          <t>202601</t>
        </is>
      </c>
      <c r="B42" t="inlineStr">
        <is>
          <t>SL</t>
        </is>
      </c>
      <c r="C42" t="inlineStr">
        <is>
          <t>opex</t>
        </is>
      </c>
      <c r="D42" t="inlineStr">
        <is>
          <t>administration</t>
        </is>
      </c>
      <c r="E42" t="inlineStr">
        <is>
          <t>TORRAS</t>
        </is>
      </c>
      <c r="F42" t="inlineStr"/>
      <c r="G42" t="n">
        <v>15</v>
      </c>
      <c r="H42" t="inlineStr">
        <is>
          <t>EUR</t>
        </is>
      </c>
      <c r="I42" t="inlineStr">
        <is>
          <t>documents</t>
        </is>
      </c>
      <c r="J42" s="45" t="inlineStr">
        <is>
          <t>7/186</t>
        </is>
      </c>
      <c r="K42" t="inlineStr">
        <is>
          <t>https://drive.google.com/file/d/1PKaZMRQ1ZsO4JALcKcucZLVdRyUxpOON/view?usp=drivesdk</t>
        </is>
      </c>
    </row>
    <row r="43" ht="12" customHeight="1">
      <c r="A43" t="inlineStr">
        <is>
          <t>202601</t>
        </is>
      </c>
      <c r="B43" t="inlineStr">
        <is>
          <t>SL</t>
        </is>
      </c>
      <c r="C43" t="inlineStr">
        <is>
          <t>cogs</t>
        </is>
      </c>
      <c r="D43" t="inlineStr">
        <is>
          <t>logistics</t>
        </is>
      </c>
      <c r="E43" t="inlineStr">
        <is>
          <t>UPS</t>
        </is>
      </c>
      <c r="F43" t="inlineStr"/>
      <c r="G43" t="n">
        <v>204.42</v>
      </c>
      <c r="H43" t="inlineStr">
        <is>
          <t>EUR</t>
        </is>
      </c>
      <c r="I43" t="inlineStr">
        <is>
          <t>documents</t>
        </is>
      </c>
      <c r="J43" s="45" t="inlineStr">
        <is>
          <t>326821409</t>
        </is>
      </c>
      <c r="K43" t="inlineStr">
        <is>
          <t>https://drive.google.com/file/d/1j2ya4FHybtMpbOwe_dwCTFuK0BuXysGa/view?usp=drivesdk</t>
        </is>
      </c>
    </row>
    <row r="44" ht="12" customHeight="1">
      <c r="A44" t="inlineStr">
        <is>
          <t>202601</t>
        </is>
      </c>
      <c r="B44" t="inlineStr">
        <is>
          <t>SL</t>
        </is>
      </c>
      <c r="C44" t="inlineStr">
        <is>
          <t>cogs</t>
        </is>
      </c>
      <c r="D44" t="inlineStr">
        <is>
          <t>logistics</t>
        </is>
      </c>
      <c r="E44" t="inlineStr">
        <is>
          <t>UPS</t>
        </is>
      </c>
      <c r="F44" t="inlineStr"/>
      <c r="G44" t="n">
        <v>440.99</v>
      </c>
      <c r="H44" t="inlineStr">
        <is>
          <t>EUR</t>
        </is>
      </c>
      <c r="I44" t="inlineStr">
        <is>
          <t>documents</t>
        </is>
      </c>
      <c r="J44" s="45" t="inlineStr">
        <is>
          <t>326838548</t>
        </is>
      </c>
      <c r="K44" t="inlineStr">
        <is>
          <t>https://drive.google.com/file/d/1zXVkELtv1Sfm3Hs-3PVSAH4pEWbvWaOX/view?usp=drivesdk</t>
        </is>
      </c>
    </row>
    <row r="45" ht="12" customHeight="1">
      <c r="A45" t="inlineStr">
        <is>
          <t>202601</t>
        </is>
      </c>
      <c r="B45" t="inlineStr">
        <is>
          <t>SL</t>
        </is>
      </c>
      <c r="C45" t="inlineStr">
        <is>
          <t>cogs</t>
        </is>
      </c>
      <c r="D45" t="inlineStr">
        <is>
          <t>logistics</t>
        </is>
      </c>
      <c r="E45" t="inlineStr">
        <is>
          <t>UPS</t>
        </is>
      </c>
      <c r="F45" t="inlineStr"/>
      <c r="G45" t="n">
        <v>2253.28</v>
      </c>
      <c r="H45" t="inlineStr">
        <is>
          <t>EUR</t>
        </is>
      </c>
      <c r="I45" t="inlineStr">
        <is>
          <t>documents</t>
        </is>
      </c>
      <c r="J45" s="45" t="inlineStr">
        <is>
          <t>326867966</t>
        </is>
      </c>
      <c r="K45" t="inlineStr">
        <is>
          <t>https://drive.google.com/file/d/1icRXW3dXluuRK-dzvuDcN-maR8sKfRW3/view?usp=drivesdk</t>
        </is>
      </c>
    </row>
    <row r="46" ht="12" customHeight="1">
      <c r="A46" t="inlineStr">
        <is>
          <t>202601</t>
        </is>
      </c>
      <c r="B46" t="inlineStr">
        <is>
          <t>SL</t>
        </is>
      </c>
      <c r="C46" t="inlineStr">
        <is>
          <t>cogs</t>
        </is>
      </c>
      <c r="D46" t="inlineStr">
        <is>
          <t>logistics</t>
        </is>
      </c>
      <c r="E46" t="inlineStr">
        <is>
          <t>UPS</t>
        </is>
      </c>
      <c r="F46" t="inlineStr"/>
      <c r="G46" t="n">
        <v>602.88</v>
      </c>
      <c r="H46" t="inlineStr">
        <is>
          <t>EUR</t>
        </is>
      </c>
      <c r="I46" t="inlineStr">
        <is>
          <t>documents</t>
        </is>
      </c>
      <c r="J46" s="45" t="inlineStr">
        <is>
          <t>326899416</t>
        </is>
      </c>
      <c r="K46" t="inlineStr">
        <is>
          <t>https://drive.google.com/file/d/148ysN83vJtMLS2_lbKu7r5cH1NMHbVNL/view?usp=drivesdk</t>
        </is>
      </c>
    </row>
    <row r="47" ht="12" customHeight="1">
      <c r="A47" t="inlineStr">
        <is>
          <t>202601</t>
        </is>
      </c>
      <c r="B47" t="inlineStr">
        <is>
          <t>SL</t>
        </is>
      </c>
      <c r="C47" t="inlineStr">
        <is>
          <t>cogs</t>
        </is>
      </c>
      <c r="D47" t="inlineStr">
        <is>
          <t>logistics</t>
        </is>
      </c>
      <c r="E47" t="inlineStr">
        <is>
          <t>UPS</t>
        </is>
      </c>
      <c r="F47" t="inlineStr"/>
      <c r="G47" t="n">
        <v>604.6</v>
      </c>
      <c r="H47" t="inlineStr">
        <is>
          <t>EUR</t>
        </is>
      </c>
      <c r="I47" t="inlineStr">
        <is>
          <t>documents</t>
        </is>
      </c>
      <c r="J47" s="45" t="inlineStr">
        <is>
          <t>326966374</t>
        </is>
      </c>
      <c r="K47" t="inlineStr">
        <is>
          <t>https://drive.google.com/file/d/1P3C1c_Df7dkPtnnAevEEMApNVP550O_O/view?usp=drivesdk</t>
        </is>
      </c>
    </row>
    <row r="48" ht="12" customHeight="1">
      <c r="A48" t="inlineStr">
        <is>
          <t>202601</t>
        </is>
      </c>
      <c r="B48" t="inlineStr">
        <is>
          <t>SL</t>
        </is>
      </c>
      <c r="C48" t="inlineStr">
        <is>
          <t>cogs</t>
        </is>
      </c>
      <c r="D48" t="inlineStr">
        <is>
          <t>logistics</t>
        </is>
      </c>
      <c r="E48" t="inlineStr">
        <is>
          <t>UPS</t>
        </is>
      </c>
      <c r="F48" t="inlineStr"/>
      <c r="G48" t="n">
        <v>57.25</v>
      </c>
      <c r="H48" t="inlineStr">
        <is>
          <t>EUR</t>
        </is>
      </c>
      <c r="I48" t="inlineStr">
        <is>
          <t>documents</t>
        </is>
      </c>
      <c r="J48" s="45" t="inlineStr">
        <is>
          <t>837858124</t>
        </is>
      </c>
      <c r="K48" t="inlineStr">
        <is>
          <t>https://drive.google.com/file/d/1I3WwwPF0JqyQdA18mDR4k4jmM8MZ-34b/view?usp=drivesdk</t>
        </is>
      </c>
    </row>
    <row r="49" ht="12" customHeight="1">
      <c r="A49" t="inlineStr">
        <is>
          <t>202601</t>
        </is>
      </c>
      <c r="B49" t="inlineStr">
        <is>
          <t>SL</t>
        </is>
      </c>
      <c r="C49" t="inlineStr">
        <is>
          <t>cogs</t>
        </is>
      </c>
      <c r="D49" t="inlineStr">
        <is>
          <t>logistics</t>
        </is>
      </c>
      <c r="E49" t="inlineStr">
        <is>
          <t>UPS</t>
        </is>
      </c>
      <c r="F49" t="inlineStr"/>
      <c r="G49" t="n">
        <v>14.96</v>
      </c>
      <c r="H49" t="inlineStr">
        <is>
          <t>EUR</t>
        </is>
      </c>
      <c r="I49" t="inlineStr">
        <is>
          <t>documents</t>
        </is>
      </c>
      <c r="J49" s="45" t="inlineStr">
        <is>
          <t>837882632</t>
        </is>
      </c>
      <c r="K49" t="inlineStr">
        <is>
          <t>https://drive.google.com/file/d/1iayAhp3nvlv4ajwf9Cp6C3s4OQi-rpMN/view?usp=drivesdk</t>
        </is>
      </c>
    </row>
    <row r="50" ht="12" customHeight="1">
      <c r="A50" t="inlineStr">
        <is>
          <t>202601</t>
        </is>
      </c>
      <c r="B50" t="inlineStr">
        <is>
          <t>SL</t>
        </is>
      </c>
      <c r="C50" t="inlineStr">
        <is>
          <t>cogs</t>
        </is>
      </c>
      <c r="D50" t="inlineStr">
        <is>
          <t>logistics</t>
        </is>
      </c>
      <c r="E50" t="inlineStr">
        <is>
          <t>UPS</t>
        </is>
      </c>
      <c r="F50" t="inlineStr"/>
      <c r="G50" t="n">
        <v>5.04</v>
      </c>
      <c r="H50" t="inlineStr">
        <is>
          <t>EUR</t>
        </is>
      </c>
      <c r="I50" t="inlineStr">
        <is>
          <t>documents</t>
        </is>
      </c>
      <c r="J50" s="45" t="inlineStr">
        <is>
          <t>837917747</t>
        </is>
      </c>
      <c r="K50" t="inlineStr">
        <is>
          <t>https://drive.google.com/file/d/11mh2NdZI0VULVE09eg0fTaW_8G7fyWkg/view?usp=drivesdk</t>
        </is>
      </c>
    </row>
    <row r="51" ht="12" customHeight="1">
      <c r="A51" t="inlineStr">
        <is>
          <t>202601</t>
        </is>
      </c>
      <c r="B51" t="inlineStr">
        <is>
          <t>SL</t>
        </is>
      </c>
      <c r="C51" t="inlineStr">
        <is>
          <t>cogs</t>
        </is>
      </c>
      <c r="D51" t="inlineStr">
        <is>
          <t>logistics</t>
        </is>
      </c>
      <c r="E51" t="inlineStr">
        <is>
          <t>UPS</t>
        </is>
      </c>
      <c r="F51" t="inlineStr"/>
      <c r="G51" t="n">
        <v>12.81</v>
      </c>
      <c r="H51" t="inlineStr">
        <is>
          <t>EUR</t>
        </is>
      </c>
      <c r="I51" t="inlineStr">
        <is>
          <t>documents</t>
        </is>
      </c>
      <c r="J51" s="45" t="inlineStr">
        <is>
          <t>837954641</t>
        </is>
      </c>
      <c r="K51" t="inlineStr">
        <is>
          <t>https://drive.google.com/file/d/1Hk8kIqp-95Akk1GsQde0mmkisvp1vUic/view?usp=drivesdk</t>
        </is>
      </c>
    </row>
    <row r="52" ht="12" customHeight="1">
      <c r="A52" t="inlineStr">
        <is>
          <t>202601</t>
        </is>
      </c>
      <c r="B52" t="inlineStr">
        <is>
          <t>SL</t>
        </is>
      </c>
      <c r="C52" t="inlineStr">
        <is>
          <t>cogs</t>
        </is>
      </c>
      <c r="D52" t="inlineStr">
        <is>
          <t>logistics</t>
        </is>
      </c>
      <c r="E52" t="inlineStr">
        <is>
          <t>UPS</t>
        </is>
      </c>
      <c r="F52" t="inlineStr"/>
      <c r="G52" t="n">
        <v>10.46</v>
      </c>
      <c r="H52" t="inlineStr">
        <is>
          <t>EUR</t>
        </is>
      </c>
      <c r="I52" t="inlineStr">
        <is>
          <t>documents</t>
        </is>
      </c>
      <c r="J52" s="45" t="inlineStr">
        <is>
          <t>837993499</t>
        </is>
      </c>
      <c r="K52" t="inlineStr">
        <is>
          <t>https://drive.google.com/file/d/1p1JLbXly83gPcOqdBiZfX0WvuqP5ZBhv/view?usp=drivesdk</t>
        </is>
      </c>
    </row>
    <row r="53" ht="12" customHeight="1">
      <c r="A53" t="inlineStr">
        <is>
          <t>202601</t>
        </is>
      </c>
      <c r="B53" t="inlineStr">
        <is>
          <t>SL</t>
        </is>
      </c>
      <c r="C53" t="inlineStr">
        <is>
          <t>cogs</t>
        </is>
      </c>
      <c r="D53" t="inlineStr">
        <is>
          <t>logistics</t>
        </is>
      </c>
      <c r="E53" t="inlineStr">
        <is>
          <t>UPS</t>
        </is>
      </c>
      <c r="F53" t="inlineStr"/>
      <c r="G53" t="n">
        <v>98.86</v>
      </c>
      <c r="H53" t="inlineStr">
        <is>
          <t>EUR</t>
        </is>
      </c>
      <c r="I53" t="inlineStr">
        <is>
          <t>documents</t>
        </is>
      </c>
      <c r="J53" s="45" t="inlineStr">
        <is>
          <t>838043671</t>
        </is>
      </c>
      <c r="K53" t="inlineStr">
        <is>
          <t>https://drive.google.com/file/d/1rom4VLbflbUgw0GzIGfwfWAceAGqsDve/view?usp=drivesdk</t>
        </is>
      </c>
    </row>
    <row r="54" ht="12" customHeight="1">
      <c r="A54" t="inlineStr">
        <is>
          <t>202601</t>
        </is>
      </c>
      <c r="B54" t="inlineStr">
        <is>
          <t>SL</t>
        </is>
      </c>
      <c r="C54" t="inlineStr">
        <is>
          <t>opex</t>
        </is>
      </c>
      <c r="D54" t="inlineStr">
        <is>
          <t>technology</t>
        </is>
      </c>
      <c r="E54" t="inlineStr">
        <is>
          <t>YUMAAI</t>
        </is>
      </c>
      <c r="F54" t="inlineStr"/>
      <c r="G54" t="n">
        <v>507.2</v>
      </c>
      <c r="H54" t="inlineStr">
        <is>
          <t>EUR</t>
        </is>
      </c>
      <c r="I54" t="inlineStr">
        <is>
          <t>documents</t>
        </is>
      </c>
      <c r="J54" s="45" t="inlineStr">
        <is>
          <t>OQXBYXMP-0004</t>
        </is>
      </c>
      <c r="K54" t="inlineStr">
        <is>
          <t>https://drive.google.com/file/d/1la8-DKsyw-txh4_Z2nzrkJVhivR6U6M2/view?usp=drivesdk</t>
        </is>
      </c>
    </row>
    <row r="55" ht="12" customHeight="1">
      <c r="A55" t="inlineStr">
        <is>
          <t>202602</t>
        </is>
      </c>
      <c r="B55" t="inlineStr">
        <is>
          <t>SL</t>
        </is>
      </c>
      <c r="C55" t="inlineStr">
        <is>
          <t>opex</t>
        </is>
      </c>
      <c r="D55" t="inlineStr">
        <is>
          <t>technology</t>
        </is>
      </c>
      <c r="E55" t="inlineStr">
        <is>
          <t>ADOBE</t>
        </is>
      </c>
      <c r="F55" t="inlineStr"/>
      <c r="G55" t="n">
        <v>33.49</v>
      </c>
      <c r="H55" t="inlineStr">
        <is>
          <t>EUR</t>
        </is>
      </c>
      <c r="I55" t="inlineStr">
        <is>
          <t>documents</t>
        </is>
      </c>
      <c r="J55" s="45" t="inlineStr">
        <is>
          <t>IEE2026003947036</t>
        </is>
      </c>
      <c r="K55" t="inlineStr">
        <is>
          <t>https://drive.google.com/file/d/1CkpniiuuecmyeP38MmkWhzUPj8iF7tyN/view?usp=drivesdk</t>
        </is>
      </c>
    </row>
    <row r="56" ht="12" customHeight="1">
      <c r="A56" t="inlineStr">
        <is>
          <t>202602</t>
        </is>
      </c>
      <c r="B56" t="inlineStr">
        <is>
          <t>SL</t>
        </is>
      </c>
      <c r="C56" t="inlineStr">
        <is>
          <t>cogs</t>
        </is>
      </c>
      <c r="D56" t="inlineStr">
        <is>
          <t>manufacturing</t>
        </is>
      </c>
      <c r="E56" t="inlineStr">
        <is>
          <t>APPHOTOCAN</t>
        </is>
      </c>
      <c r="F56" t="inlineStr"/>
      <c r="G56" t="n">
        <v>59.84</v>
      </c>
      <c r="H56" t="inlineStr">
        <is>
          <t>EUR</t>
        </is>
      </c>
      <c r="I56" t="inlineStr">
        <is>
          <t>documents</t>
        </is>
      </c>
      <c r="J56" s="45" t="inlineStr">
        <is>
          <t>26-1-377</t>
        </is>
      </c>
      <c r="K56" t="inlineStr">
        <is>
          <t>https://drive.google.com/file/d/1U-mcMTxSs8WKlovQ9_HAwLEU39hou9sQ/view?usp=drivesdk</t>
        </is>
      </c>
    </row>
    <row r="57" ht="12" customHeight="1">
      <c r="A57" t="inlineStr">
        <is>
          <t>202602</t>
        </is>
      </c>
      <c r="B57" t="inlineStr">
        <is>
          <t>SL</t>
        </is>
      </c>
      <c r="C57" t="inlineStr">
        <is>
          <t>cogs</t>
        </is>
      </c>
      <c r="D57" t="inlineStr">
        <is>
          <t>manufacturing</t>
        </is>
      </c>
      <c r="E57" t="inlineStr">
        <is>
          <t>APPHOTOES</t>
        </is>
      </c>
      <c r="F57" t="inlineStr"/>
      <c r="G57" t="n">
        <v>761.54</v>
      </c>
      <c r="H57" t="inlineStr">
        <is>
          <t>EUR</t>
        </is>
      </c>
      <c r="I57" t="inlineStr">
        <is>
          <t>documents</t>
        </is>
      </c>
      <c r="J57" s="45" t="inlineStr">
        <is>
          <t>1-1413</t>
        </is>
      </c>
      <c r="K57" t="inlineStr">
        <is>
          <t>https://drive.google.com/file/d/1i1KIDpqSuLOk5KfVZf0GwoQN3ddbzHi4/view?usp=drivesdk</t>
        </is>
      </c>
    </row>
    <row r="58" ht="12" customHeight="1">
      <c r="A58" t="inlineStr">
        <is>
          <t>202602</t>
        </is>
      </c>
      <c r="B58" t="inlineStr">
        <is>
          <t>SL</t>
        </is>
      </c>
      <c r="C58" t="inlineStr">
        <is>
          <t>cogs</t>
        </is>
      </c>
      <c r="D58" t="inlineStr">
        <is>
          <t>manufacturing</t>
        </is>
      </c>
      <c r="E58" t="inlineStr">
        <is>
          <t>APPHOTOES</t>
        </is>
      </c>
      <c r="F58" t="inlineStr"/>
      <c r="G58" t="n">
        <v>4679.01</v>
      </c>
      <c r="H58" t="inlineStr">
        <is>
          <t>EUR</t>
        </is>
      </c>
      <c r="I58" t="inlineStr">
        <is>
          <t>documents</t>
        </is>
      </c>
      <c r="J58" s="45" t="inlineStr">
        <is>
          <t>1-1578</t>
        </is>
      </c>
      <c r="K58" t="inlineStr">
        <is>
          <t>https://drive.google.com/file/d/1aVT0Kp1FXhiwKuldPvpR5jmS_HrroAcz/view?usp=drivesdk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cogs</t>
        </is>
      </c>
      <c r="D59" t="inlineStr">
        <is>
          <t>manufacturing</t>
        </is>
      </c>
      <c r="E59" t="inlineStr">
        <is>
          <t>APPHOTOES</t>
        </is>
      </c>
      <c r="F59" t="inlineStr"/>
      <c r="G59" t="n">
        <v>4387.66</v>
      </c>
      <c r="H59" t="inlineStr">
        <is>
          <t>EUR</t>
        </is>
      </c>
      <c r="I59" t="inlineStr">
        <is>
          <t>documents</t>
        </is>
      </c>
      <c r="J59" s="45" t="inlineStr">
        <is>
          <t>1-1960</t>
        </is>
      </c>
      <c r="K59" t="inlineStr">
        <is>
          <t>https://drive.google.com/file/d/1c3rAE8MZ72DBnTA6LZZqeHMMgZkJtDwC/view?usp=drivesdk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cogs</t>
        </is>
      </c>
      <c r="D60" t="inlineStr">
        <is>
          <t>manufacturing</t>
        </is>
      </c>
      <c r="E60" t="inlineStr">
        <is>
          <t>APPHOTOES</t>
        </is>
      </c>
      <c r="F60" t="inlineStr"/>
      <c r="G60" t="n">
        <v>1523.96</v>
      </c>
      <c r="H60" t="inlineStr">
        <is>
          <t>EUR</t>
        </is>
      </c>
      <c r="I60" t="inlineStr">
        <is>
          <t>documents</t>
        </is>
      </c>
      <c r="J60" s="45" t="inlineStr">
        <is>
          <t>1-2275</t>
        </is>
      </c>
      <c r="K60" t="inlineStr">
        <is>
          <t>https://drive.google.com/file/d/1hZiPKVEudy0sryGytMftZTSO75OBheV_/view?usp=drivesdk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cogs</t>
        </is>
      </c>
      <c r="D61" t="inlineStr">
        <is>
          <t>manufacturing</t>
        </is>
      </c>
      <c r="E61" t="inlineStr">
        <is>
          <t>APPHOTOES</t>
        </is>
      </c>
      <c r="F61" t="inlineStr"/>
      <c r="G61" t="n">
        <v>4898.31</v>
      </c>
      <c r="H61" t="inlineStr">
        <is>
          <t>EUR</t>
        </is>
      </c>
      <c r="I61" t="inlineStr">
        <is>
          <t>documents</t>
        </is>
      </c>
      <c r="J61" s="45" t="inlineStr">
        <is>
          <t>1-2355</t>
        </is>
      </c>
      <c r="K61" t="inlineStr">
        <is>
          <t>https://drive.google.com/file/d/1aXemXVZg0sBlWBgHV0_QAg0jVjv1bksN/view?usp=drivesdk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cogs</t>
        </is>
      </c>
      <c r="D62" t="inlineStr">
        <is>
          <t>manufacturing</t>
        </is>
      </c>
      <c r="E62" t="inlineStr">
        <is>
          <t>APPHOTOES</t>
        </is>
      </c>
      <c r="F62" t="inlineStr"/>
      <c r="G62" t="n">
        <v>975.1900000000001</v>
      </c>
      <c r="H62" t="inlineStr">
        <is>
          <t>EUR</t>
        </is>
      </c>
      <c r="I62" t="inlineStr">
        <is>
          <t>documents</t>
        </is>
      </c>
      <c r="J62" s="45" t="inlineStr">
        <is>
          <t>1-2471</t>
        </is>
      </c>
      <c r="K62" t="inlineStr">
        <is>
          <t>https://drive.google.com/file/d/1vWJy2P4bu0ZZHbeutrY9ydZYIScfPKex/view?usp=drivesdk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cogs</t>
        </is>
      </c>
      <c r="D63" t="inlineStr">
        <is>
          <t>manufacturing</t>
        </is>
      </c>
      <c r="E63" t="inlineStr">
        <is>
          <t>APPHOTOES</t>
        </is>
      </c>
      <c r="F63" t="inlineStr"/>
      <c r="G63" t="n">
        <v>5761.46</v>
      </c>
      <c r="H63" t="inlineStr">
        <is>
          <t>EUR</t>
        </is>
      </c>
      <c r="I63" t="inlineStr">
        <is>
          <t>documents</t>
        </is>
      </c>
      <c r="J63" s="45" t="inlineStr">
        <is>
          <t>1-2675</t>
        </is>
      </c>
      <c r="K63" t="inlineStr">
        <is>
          <t>https://drive.google.com/file/d/1OPWZpghAzzfVFLFx4iBRHO4-0daxuz20/view?usp=drivesdk</t>
        </is>
      </c>
    </row>
    <row r="64" ht="12" customHeight="1">
      <c r="A64" t="inlineStr">
        <is>
          <t>202602</t>
        </is>
      </c>
      <c r="B64" t="inlineStr">
        <is>
          <t>SL</t>
        </is>
      </c>
      <c r="C64" t="inlineStr">
        <is>
          <t>opex</t>
        </is>
      </c>
      <c r="D64" t="inlineStr">
        <is>
          <t>technology</t>
        </is>
      </c>
      <c r="E64" t="inlineStr">
        <is>
          <t>CANVA</t>
        </is>
      </c>
      <c r="F64" t="inlineStr"/>
      <c r="G64" t="n">
        <v>9.91</v>
      </c>
      <c r="H64" t="inlineStr">
        <is>
          <t>EUR</t>
        </is>
      </c>
      <c r="I64" t="inlineStr">
        <is>
          <t>documents</t>
        </is>
      </c>
      <c r="J64" s="45" t="inlineStr">
        <is>
          <t>04796-33900634</t>
        </is>
      </c>
      <c r="K64" t="inlineStr">
        <is>
          <t>https://drive.google.com/file/d/1dEu5a12XOSJxoPOd8AIxLplDtcRjC5z9/view?usp=drivesdk</t>
        </is>
      </c>
    </row>
    <row r="65" ht="12" customHeight="1">
      <c r="A65" t="inlineStr">
        <is>
          <t>202602</t>
        </is>
      </c>
      <c r="B65" t="inlineStr">
        <is>
          <t>SL</t>
        </is>
      </c>
      <c r="C65" t="inlineStr">
        <is>
          <t>opex</t>
        </is>
      </c>
      <c r="D65" t="inlineStr">
        <is>
          <t>administration</t>
        </is>
      </c>
      <c r="E65" t="inlineStr">
        <is>
          <t>CLARIS</t>
        </is>
      </c>
      <c r="F65" t="inlineStr"/>
      <c r="G65" t="n">
        <v>808.08</v>
      </c>
      <c r="H65" t="inlineStr">
        <is>
          <t>EUR</t>
        </is>
      </c>
      <c r="I65" t="inlineStr">
        <is>
          <t>documents</t>
        </is>
      </c>
      <c r="J65" s="45" t="inlineStr">
        <is>
          <t>F00299/26</t>
        </is>
      </c>
      <c r="K65" t="inlineStr">
        <is>
          <t>https://drive.google.com/file/d/1wkA555zHmi_P1F3K0yzi2R1ybg40M_IH/view?usp=drivesdk</t>
        </is>
      </c>
    </row>
    <row r="66" ht="12" customHeight="1">
      <c r="A66" t="inlineStr">
        <is>
          <t>202602</t>
        </is>
      </c>
      <c r="B66" t="inlineStr">
        <is>
          <t>SL</t>
        </is>
      </c>
      <c r="C66" t="inlineStr">
        <is>
          <t>cogs</t>
        </is>
      </c>
      <c r="D66" t="inlineStr">
        <is>
          <t>logistics</t>
        </is>
      </c>
      <c r="E66" t="inlineStr">
        <is>
          <t>CORREOS</t>
        </is>
      </c>
      <c r="F66" t="inlineStr"/>
      <c r="G66" t="n">
        <v>96.77</v>
      </c>
      <c r="H66" t="inlineStr">
        <is>
          <t>EUR</t>
        </is>
      </c>
      <c r="I66" t="inlineStr">
        <is>
          <t>documents</t>
        </is>
      </c>
      <c r="J66" s="45" t="inlineStr">
        <is>
          <t>4004608215</t>
        </is>
      </c>
      <c r="K66" t="inlineStr">
        <is>
          <t>https://drive.google.com/file/d/1Bu6kn877nOS0BSzL7ECg9Z62seXoHaCe/view?usp=drivesdk</t>
        </is>
      </c>
    </row>
    <row r="67" ht="12" customHeight="1">
      <c r="A67" t="inlineStr">
        <is>
          <t>202602</t>
        </is>
      </c>
      <c r="B67" t="inlineStr">
        <is>
          <t>SL</t>
        </is>
      </c>
      <c r="C67" t="inlineStr">
        <is>
          <t>cogs</t>
        </is>
      </c>
      <c r="D67" t="inlineStr">
        <is>
          <t>logistics</t>
        </is>
      </c>
      <c r="E67" t="inlineStr">
        <is>
          <t>CORREOSCAN</t>
        </is>
      </c>
      <c r="F67" t="inlineStr"/>
      <c r="G67" t="n">
        <v>16.45</v>
      </c>
      <c r="H67" t="inlineStr">
        <is>
          <t>EUR</t>
        </is>
      </c>
      <c r="I67" t="inlineStr">
        <is>
          <t>documents</t>
        </is>
      </c>
      <c r="J67" s="45" t="inlineStr">
        <is>
          <t>4004608216</t>
        </is>
      </c>
      <c r="K67" t="inlineStr">
        <is>
          <t>https://drive.google.com/file/d/1eD4nKiQgwGYnGZ5fv7hh4V3unZ6MIKqH/view?usp=drivesdk</t>
        </is>
      </c>
    </row>
    <row r="68" ht="12" customHeight="1">
      <c r="A68" t="inlineStr">
        <is>
          <t>202602</t>
        </is>
      </c>
      <c r="B68" t="inlineStr">
        <is>
          <t>SL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DCT</t>
        </is>
      </c>
      <c r="F68" t="inlineStr"/>
      <c r="G68" t="n">
        <v>3443.83</v>
      </c>
      <c r="H68" t="inlineStr">
        <is>
          <t>EUR</t>
        </is>
      </c>
      <c r="I68" t="inlineStr">
        <is>
          <t>documents</t>
        </is>
      </c>
      <c r="J68" s="45" t="inlineStr">
        <is>
          <t>26-0281</t>
        </is>
      </c>
      <c r="K68" t="inlineStr">
        <is>
          <t>https://drive.google.com/file/d/1H2ikEjq_KT22RCYpKdLTU6AyxE-eiIW-/view?usp=drivesdk</t>
        </is>
      </c>
    </row>
    <row r="69" ht="12" customHeight="1">
      <c r="A69" t="inlineStr">
        <is>
          <t>202602</t>
        </is>
      </c>
      <c r="B69" t="inlineStr">
        <is>
          <t>SL</t>
        </is>
      </c>
      <c r="C69" t="inlineStr">
        <is>
          <t>cogs</t>
        </is>
      </c>
      <c r="D69" t="inlineStr">
        <is>
          <t>manufacturing</t>
        </is>
      </c>
      <c r="E69" t="inlineStr">
        <is>
          <t>DCT</t>
        </is>
      </c>
      <c r="F69" t="inlineStr"/>
      <c r="G69" t="n">
        <v>3438.99</v>
      </c>
      <c r="H69" t="inlineStr">
        <is>
          <t>EUR</t>
        </is>
      </c>
      <c r="I69" t="inlineStr">
        <is>
          <t>documents</t>
        </is>
      </c>
      <c r="J69" s="45" t="inlineStr">
        <is>
          <t>26-0364</t>
        </is>
      </c>
      <c r="K69" t="inlineStr">
        <is>
          <t>https://drive.google.com/file/d/1YrSUC_u5-Y5IQ7Aslne-0xU3mQfg3jDp/view?usp=drivesdk</t>
        </is>
      </c>
    </row>
    <row r="70" ht="12" customHeight="1">
      <c r="A70" t="inlineStr">
        <is>
          <t>202602</t>
        </is>
      </c>
      <c r="B70" t="inlineStr">
        <is>
          <t>SL</t>
        </is>
      </c>
      <c r="C70" t="inlineStr">
        <is>
          <t>cogs</t>
        </is>
      </c>
      <c r="D70" t="inlineStr">
        <is>
          <t>manufacturing</t>
        </is>
      </c>
      <c r="E70" t="inlineStr">
        <is>
          <t>DCT</t>
        </is>
      </c>
      <c r="F70" t="inlineStr"/>
      <c r="G70" t="n">
        <v>42.5</v>
      </c>
      <c r="H70" t="inlineStr">
        <is>
          <t>EUR</t>
        </is>
      </c>
      <c r="I70" t="inlineStr">
        <is>
          <t>documents</t>
        </is>
      </c>
      <c r="J70" s="45" t="inlineStr">
        <is>
          <t>26-0365</t>
        </is>
      </c>
      <c r="K70" t="inlineStr">
        <is>
          <t>https://drive.google.com/file/d/109-KgtoaX4vV_BNFkqOESzhRasVQ1S_Q/view?usp=drivesdk</t>
        </is>
      </c>
    </row>
    <row r="71" ht="12" customHeight="1">
      <c r="A71" t="inlineStr">
        <is>
          <t>202602</t>
        </is>
      </c>
      <c r="B71" t="inlineStr">
        <is>
          <t>SL</t>
        </is>
      </c>
      <c r="C71" t="inlineStr">
        <is>
          <t>cogs</t>
        </is>
      </c>
      <c r="D71" t="inlineStr">
        <is>
          <t>logistics</t>
        </is>
      </c>
      <c r="E71" t="inlineStr">
        <is>
          <t>GLS</t>
        </is>
      </c>
      <c r="F71" t="inlineStr"/>
      <c r="G71" t="n">
        <v>15947.02</v>
      </c>
      <c r="H71" t="inlineStr">
        <is>
          <t>EUR</t>
        </is>
      </c>
      <c r="I71" t="inlineStr">
        <is>
          <t>documents</t>
        </is>
      </c>
      <c r="J71" s="45" t="inlineStr">
        <is>
          <t>20260082</t>
        </is>
      </c>
      <c r="K71" t="inlineStr">
        <is>
          <t>https://drive.google.com/file/d/1KY46ho8xsJpWU6Q3w32ZWRQ8btywV8Ax/view?usp=drivesdk</t>
        </is>
      </c>
    </row>
    <row r="72" ht="12" customHeight="1">
      <c r="A72" t="inlineStr">
        <is>
          <t>202602</t>
        </is>
      </c>
      <c r="B72" t="inlineStr">
        <is>
          <t>SL</t>
        </is>
      </c>
      <c r="C72" t="inlineStr">
        <is>
          <t>opex</t>
        </is>
      </c>
      <c r="D72" t="inlineStr">
        <is>
          <t>marketing</t>
        </is>
      </c>
      <c r="E72" t="inlineStr">
        <is>
          <t>GOOGLEADS</t>
        </is>
      </c>
      <c r="F72" t="inlineStr">
        <is>
          <t>eu</t>
        </is>
      </c>
      <c r="G72" t="n">
        <v>19199.14</v>
      </c>
      <c r="H72" t="inlineStr">
        <is>
          <t>EUR</t>
        </is>
      </c>
      <c r="I72" t="inlineStr">
        <is>
          <t>documents</t>
        </is>
      </c>
      <c r="J72" s="45" t="inlineStr">
        <is>
          <t>5509802536</t>
        </is>
      </c>
      <c r="K72" t="inlineStr">
        <is>
          <t>https://drive.google.com/file/d/192ghVBMKOyFtFrKk5lPoccixcsZlK4GH/view?usp=drivesdk</t>
        </is>
      </c>
    </row>
    <row r="73" ht="12" customHeight="1">
      <c r="A73" t="inlineStr">
        <is>
          <t>202602</t>
        </is>
      </c>
      <c r="B73" t="inlineStr">
        <is>
          <t>SL</t>
        </is>
      </c>
      <c r="C73" t="inlineStr">
        <is>
          <t>opex</t>
        </is>
      </c>
      <c r="D73" t="inlineStr">
        <is>
          <t>marketing</t>
        </is>
      </c>
      <c r="E73" t="inlineStr">
        <is>
          <t>GOOGLEADS</t>
        </is>
      </c>
      <c r="F73" t="inlineStr">
        <is>
          <t>uk</t>
        </is>
      </c>
      <c r="G73" t="n">
        <v>5006.17</v>
      </c>
      <c r="H73" t="inlineStr">
        <is>
          <t>EUR</t>
        </is>
      </c>
      <c r="I73" t="inlineStr">
        <is>
          <t>documents</t>
        </is>
      </c>
      <c r="J73" s="45" t="inlineStr">
        <is>
          <t>5509802536</t>
        </is>
      </c>
      <c r="K73" t="inlineStr">
        <is>
          <t>https://drive.google.com/file/d/192ghVBMKOyFtFrKk5lPoccixcsZlK4GH/view?usp=drivesdk</t>
        </is>
      </c>
    </row>
    <row r="74" ht="12" customHeight="1">
      <c r="A74" t="inlineStr">
        <is>
          <t>202602</t>
        </is>
      </c>
      <c r="B74" t="inlineStr">
        <is>
          <t>SL</t>
        </is>
      </c>
      <c r="C74" t="inlineStr">
        <is>
          <t>opex</t>
        </is>
      </c>
      <c r="D74" t="inlineStr">
        <is>
          <t>marketing</t>
        </is>
      </c>
      <c r="E74" t="inlineStr">
        <is>
          <t>GOOGLEADS</t>
        </is>
      </c>
      <c r="F74" t="inlineStr">
        <is>
          <t>us</t>
        </is>
      </c>
      <c r="G74" t="n">
        <v>3345.8</v>
      </c>
      <c r="H74" t="inlineStr">
        <is>
          <t>EUR</t>
        </is>
      </c>
      <c r="I74" t="inlineStr">
        <is>
          <t>documents</t>
        </is>
      </c>
      <c r="J74" s="45" t="inlineStr">
        <is>
          <t>5509802536</t>
        </is>
      </c>
      <c r="K74" t="inlineStr">
        <is>
          <t>https://drive.google.com/file/d/192ghVBMKOyFtFrKk5lPoccixcsZlK4GH/view?usp=drivesdk</t>
        </is>
      </c>
    </row>
    <row r="75" ht="12" customHeight="1">
      <c r="A75" t="inlineStr">
        <is>
          <t>202602</t>
        </is>
      </c>
      <c r="B75" t="inlineStr">
        <is>
          <t>SL</t>
        </is>
      </c>
      <c r="C75" t="inlineStr">
        <is>
          <t>opex</t>
        </is>
      </c>
      <c r="D75" t="inlineStr">
        <is>
          <t>technology</t>
        </is>
      </c>
      <c r="E75" t="inlineStr">
        <is>
          <t>GOOGLEWORKSPACE</t>
        </is>
      </c>
      <c r="F75" t="inlineStr"/>
      <c r="G75" t="n">
        <v>201.91</v>
      </c>
      <c r="H75" t="inlineStr">
        <is>
          <t>EUR</t>
        </is>
      </c>
      <c r="I75" t="inlineStr">
        <is>
          <t>documents</t>
        </is>
      </c>
      <c r="J75" s="45" t="inlineStr">
        <is>
          <t>5505030303</t>
        </is>
      </c>
      <c r="K75" t="inlineStr">
        <is>
          <t>https://drive.google.com/file/d/1_odcqxdXxEYZNzgQx5UzslhIG3hh5krH/view?usp=drivesdk</t>
        </is>
      </c>
    </row>
    <row r="76" ht="12" customHeight="1">
      <c r="A76" t="inlineStr">
        <is>
          <t>202602</t>
        </is>
      </c>
      <c r="B76" t="inlineStr">
        <is>
          <t>SL</t>
        </is>
      </c>
      <c r="C76" t="inlineStr">
        <is>
          <t>opex</t>
        </is>
      </c>
      <c r="D76" t="inlineStr">
        <is>
          <t>technology</t>
        </is>
      </c>
      <c r="E76" t="inlineStr">
        <is>
          <t>GORGIAS</t>
        </is>
      </c>
      <c r="F76" t="inlineStr"/>
      <c r="G76" t="n">
        <v>120</v>
      </c>
      <c r="H76" t="inlineStr">
        <is>
          <t>USD</t>
        </is>
      </c>
      <c r="I76" t="inlineStr">
        <is>
          <t>documents</t>
        </is>
      </c>
      <c r="J76" s="45" t="inlineStr">
        <is>
          <t>INC-02-2026-50341</t>
        </is>
      </c>
      <c r="K76" t="inlineStr">
        <is>
          <t>https://drive.google.com/file/d/1tAciOjLJ3-E_udDrY3cL0A7b-CfOvIlm/view?usp=drivesdk</t>
        </is>
      </c>
    </row>
    <row r="77" ht="12" customHeight="1">
      <c r="A77" t="inlineStr">
        <is>
          <t>202602</t>
        </is>
      </c>
      <c r="B77" t="inlineStr">
        <is>
          <t>SL</t>
        </is>
      </c>
      <c r="C77" t="inlineStr">
        <is>
          <t>opex</t>
        </is>
      </c>
      <c r="D77" t="inlineStr">
        <is>
          <t>administration</t>
        </is>
      </c>
      <c r="E77" t="inlineStr">
        <is>
          <t>HANNUN</t>
        </is>
      </c>
      <c r="F77" t="inlineStr">
        <is>
          <t>administration</t>
        </is>
      </c>
      <c r="G77" t="n">
        <v>43192.69</v>
      </c>
      <c r="H77" t="inlineStr">
        <is>
          <t>EUR</t>
        </is>
      </c>
      <c r="I77" t="inlineStr">
        <is>
          <t>documents</t>
        </is>
      </c>
      <c r="J77" s="45" t="inlineStr">
        <is>
          <t>VTA/26-007207</t>
        </is>
      </c>
      <c r="K77" t="inlineStr">
        <is>
          <t>https://drive.google.com/file/d/1FAnrtU5R53FcPCbpc94bYjpEq0clb5Pm/view?usp=drivesdk</t>
        </is>
      </c>
    </row>
    <row r="78" ht="12" customHeight="1">
      <c r="A78" t="inlineStr">
        <is>
          <t>202601</t>
        </is>
      </c>
      <c r="B78" t="inlineStr">
        <is>
          <t>SL</t>
        </is>
      </c>
      <c r="C78" t="inlineStr">
        <is>
          <t>opex</t>
        </is>
      </c>
      <c r="D78" t="inlineStr">
        <is>
          <t>administration</t>
        </is>
      </c>
      <c r="E78" t="inlineStr">
        <is>
          <t>HANNUN</t>
        </is>
      </c>
      <c r="F78" t="inlineStr">
        <is>
          <t>office</t>
        </is>
      </c>
      <c r="G78" t="n">
        <v>175</v>
      </c>
      <c r="H78" t="inlineStr">
        <is>
          <t>EUR</t>
        </is>
      </c>
      <c r="I78" t="inlineStr">
        <is>
          <t>documents</t>
        </is>
      </c>
      <c r="J78" s="45" t="inlineStr">
        <is>
          <t>VTA/26-010327</t>
        </is>
      </c>
      <c r="K78" t="inlineStr">
        <is>
          <t>https://drive.google.com/file/d/1E8JfN7YXvjRIfPjaLKj_8zJSQJ-990YT/view?usp=drivesdk</t>
        </is>
      </c>
    </row>
    <row r="79" ht="12" customHeight="1">
      <c r="A79" t="inlineStr">
        <is>
          <t>202602</t>
        </is>
      </c>
      <c r="B79" t="inlineStr">
        <is>
          <t>SL</t>
        </is>
      </c>
      <c r="C79" t="inlineStr">
        <is>
          <t>opex</t>
        </is>
      </c>
      <c r="D79" t="inlineStr">
        <is>
          <t>administration</t>
        </is>
      </c>
      <c r="E79" t="inlineStr">
        <is>
          <t>HANNUN</t>
        </is>
      </c>
      <c r="F79" t="inlineStr">
        <is>
          <t>office</t>
        </is>
      </c>
      <c r="G79" t="n">
        <v>175</v>
      </c>
      <c r="H79" t="inlineStr">
        <is>
          <t>EUR</t>
        </is>
      </c>
      <c r="I79" t="inlineStr">
        <is>
          <t>documents</t>
        </is>
      </c>
      <c r="J79" s="45" t="inlineStr">
        <is>
          <t>VTA/26-010329</t>
        </is>
      </c>
      <c r="K79" t="inlineStr">
        <is>
          <t>https://drive.google.com/file/d/1r2Hw0N7VZ6vvloF4IqY4SxfuvX_2VozE/view?usp=drivesdk</t>
        </is>
      </c>
    </row>
    <row r="80" ht="12" customHeight="1">
      <c r="A80" t="inlineStr">
        <is>
          <t>202601</t>
        </is>
      </c>
      <c r="B80" t="inlineStr">
        <is>
          <t>SL</t>
        </is>
      </c>
      <c r="C80" t="inlineStr">
        <is>
          <t>opex</t>
        </is>
      </c>
      <c r="D80" t="inlineStr">
        <is>
          <t>administration</t>
        </is>
      </c>
      <c r="E80" t="inlineStr">
        <is>
          <t>HANNUN</t>
        </is>
      </c>
      <c r="F80" t="inlineStr">
        <is>
          <t>services</t>
        </is>
      </c>
      <c r="G80" t="n">
        <v>1504.92</v>
      </c>
      <c r="H80" t="inlineStr">
        <is>
          <t>EUR</t>
        </is>
      </c>
      <c r="I80" t="inlineStr">
        <is>
          <t>documents</t>
        </is>
      </c>
      <c r="J80" s="45" t="inlineStr">
        <is>
          <t>VTA/26-010328</t>
        </is>
      </c>
      <c r="K80" t="inlineStr">
        <is>
          <t>https://drive.google.com/file/d/1PRJ__aaxThVGTbIcvHAJI7pgUFchpvsa/view?usp=drivesdk</t>
        </is>
      </c>
    </row>
    <row r="81" ht="12" customHeight="1">
      <c r="A81" t="inlineStr">
        <is>
          <t>202602</t>
        </is>
      </c>
      <c r="B81" t="inlineStr">
        <is>
          <t>SL</t>
        </is>
      </c>
      <c r="C81" t="inlineStr">
        <is>
          <t>opex</t>
        </is>
      </c>
      <c r="D81" t="inlineStr">
        <is>
          <t>administration</t>
        </is>
      </c>
      <c r="E81" t="inlineStr">
        <is>
          <t>HANNUN</t>
        </is>
      </c>
      <c r="F81" t="inlineStr">
        <is>
          <t>services</t>
        </is>
      </c>
      <c r="G81" t="n">
        <v>1504.92</v>
      </c>
      <c r="H81" t="inlineStr">
        <is>
          <t>EUR</t>
        </is>
      </c>
      <c r="I81" t="inlineStr">
        <is>
          <t>documents</t>
        </is>
      </c>
      <c r="J81" s="45" t="inlineStr">
        <is>
          <t>VTA/26-010330</t>
        </is>
      </c>
      <c r="K81" t="inlineStr">
        <is>
          <t>https://drive.google.com/file/d/1HgIvIqgrCSyQY0-INtfhp-GPqb5Et1eA/view?usp=drivesdk</t>
        </is>
      </c>
    </row>
    <row r="82" ht="12" customHeight="1">
      <c r="A82" t="inlineStr">
        <is>
          <t>202602</t>
        </is>
      </c>
      <c r="B82" t="inlineStr">
        <is>
          <t>SL</t>
        </is>
      </c>
      <c r="C82" t="inlineStr">
        <is>
          <t>opex</t>
        </is>
      </c>
      <c r="D82" t="inlineStr">
        <is>
          <t>technology</t>
        </is>
      </c>
      <c r="E82" t="inlineStr">
        <is>
          <t>HETZNER</t>
        </is>
      </c>
      <c r="F82" t="inlineStr"/>
      <c r="G82" t="n">
        <v>10.9</v>
      </c>
      <c r="H82" t="inlineStr">
        <is>
          <t>EUR</t>
        </is>
      </c>
      <c r="I82" t="inlineStr">
        <is>
          <t>documents</t>
        </is>
      </c>
      <c r="J82" s="45" t="inlineStr">
        <is>
          <t>086000751422</t>
        </is>
      </c>
      <c r="K82" t="inlineStr">
        <is>
          <t>https://drive.google.com/file/d/1bMdMTYSXLytnvUKxINvo3C-fdr43SmgJ/view?usp=drivesdk</t>
        </is>
      </c>
    </row>
    <row r="83" ht="12" customHeight="1">
      <c r="A83" t="inlineStr">
        <is>
          <t>202602</t>
        </is>
      </c>
      <c r="B83" t="inlineStr">
        <is>
          <t>SL</t>
        </is>
      </c>
      <c r="C83" t="inlineStr">
        <is>
          <t>opex</t>
        </is>
      </c>
      <c r="D83" t="inlineStr">
        <is>
          <t>technology</t>
        </is>
      </c>
      <c r="E83" t="inlineStr">
        <is>
          <t>KONVOAI</t>
        </is>
      </c>
      <c r="F83" t="inlineStr"/>
      <c r="G83" t="n">
        <v>136.96</v>
      </c>
      <c r="H83" t="inlineStr">
        <is>
          <t>EUR</t>
        </is>
      </c>
      <c r="I83" t="inlineStr">
        <is>
          <t>documents</t>
        </is>
      </c>
      <c r="J83" s="45" t="inlineStr">
        <is>
          <t>B5F7DF3C-7132</t>
        </is>
      </c>
      <c r="K83" t="inlineStr">
        <is>
          <t>https://drive.google.com/file/d/1n2bq_tMI3rNE2XsFpxvWnwo1ZZV6_K21/view?usp=drivesdk</t>
        </is>
      </c>
    </row>
    <row r="84" ht="12" customHeight="1">
      <c r="A84" t="inlineStr">
        <is>
          <t>202602</t>
        </is>
      </c>
      <c r="B84" t="inlineStr">
        <is>
          <t>SL</t>
        </is>
      </c>
      <c r="C84" t="inlineStr">
        <is>
          <t>opex</t>
        </is>
      </c>
      <c r="D84" t="inlineStr">
        <is>
          <t>technology</t>
        </is>
      </c>
      <c r="E84" t="inlineStr">
        <is>
          <t>KONVOAI</t>
        </is>
      </c>
      <c r="F84" t="inlineStr"/>
      <c r="G84" t="n">
        <v>339</v>
      </c>
      <c r="H84" t="inlineStr">
        <is>
          <t>EUR</t>
        </is>
      </c>
      <c r="I84" t="inlineStr">
        <is>
          <t>documents</t>
        </is>
      </c>
      <c r="J84" s="45" t="inlineStr">
        <is>
          <t>B5F7DF3C-7296</t>
        </is>
      </c>
      <c r="K84" t="inlineStr">
        <is>
          <t>https://drive.google.com/file/d/1Mbfxr1V40xsgbj8F0soExM05QND6zjoa/view?usp=drivesdk</t>
        </is>
      </c>
    </row>
    <row r="85" ht="12" customHeight="1">
      <c r="A85" t="inlineStr">
        <is>
          <t>202602</t>
        </is>
      </c>
      <c r="B85" t="inlineStr">
        <is>
          <t>SL</t>
        </is>
      </c>
      <c r="C85" t="inlineStr">
        <is>
          <t>opex</t>
        </is>
      </c>
      <c r="D85" t="inlineStr">
        <is>
          <t>technology</t>
        </is>
      </c>
      <c r="E85" t="inlineStr">
        <is>
          <t>MASMOVIL</t>
        </is>
      </c>
      <c r="F85" t="inlineStr"/>
      <c r="G85" t="n">
        <v>5</v>
      </c>
      <c r="H85" t="inlineStr">
        <is>
          <t>EUR</t>
        </is>
      </c>
      <c r="I85" t="inlineStr">
        <is>
          <t>documents</t>
        </is>
      </c>
      <c r="J85" s="45" t="inlineStr">
        <is>
          <t>MC260002345804</t>
        </is>
      </c>
      <c r="K85" t="inlineStr">
        <is>
          <t>https://drive.google.com/file/d/1WOvzAAmEygTW3UfGCE2EpvFGcNYl4yVq/view?usp=drivesdk</t>
        </is>
      </c>
    </row>
    <row r="86" ht="12" customHeight="1">
      <c r="A86" t="inlineStr">
        <is>
          <t>202602</t>
        </is>
      </c>
      <c r="B86" t="inlineStr">
        <is>
          <t>SL</t>
        </is>
      </c>
      <c r="C86" t="inlineStr">
        <is>
          <t>opex</t>
        </is>
      </c>
      <c r="D86" t="inlineStr">
        <is>
          <t>marketing</t>
        </is>
      </c>
      <c r="E86" t="inlineStr">
        <is>
          <t>METAADS</t>
        </is>
      </c>
      <c r="F86" t="inlineStr">
        <is>
          <t>eu</t>
        </is>
      </c>
      <c r="G86" t="n">
        <v>15883.55</v>
      </c>
      <c r="H86" t="inlineStr">
        <is>
          <t>EUR</t>
        </is>
      </c>
      <c r="I86" t="inlineStr">
        <is>
          <t>documents</t>
        </is>
      </c>
      <c r="J86" s="45" t="inlineStr">
        <is>
          <t>251380763</t>
        </is>
      </c>
      <c r="K86" t="inlineStr">
        <is>
          <t>https://drive.google.com/file/d/1fDDyyoah7JlWMHXzqFDIqm2howZDBJMq/view?usp=drivesdk</t>
        </is>
      </c>
    </row>
    <row r="87" ht="12" customHeight="1">
      <c r="A87" t="inlineStr">
        <is>
          <t>202602</t>
        </is>
      </c>
      <c r="B87" t="inlineStr">
        <is>
          <t>SL</t>
        </is>
      </c>
      <c r="C87" t="inlineStr">
        <is>
          <t>opex</t>
        </is>
      </c>
      <c r="D87" t="inlineStr">
        <is>
          <t>marketing</t>
        </is>
      </c>
      <c r="E87" t="inlineStr">
        <is>
          <t>METAADS</t>
        </is>
      </c>
      <c r="F87" t="inlineStr">
        <is>
          <t>uk</t>
        </is>
      </c>
      <c r="G87" t="n">
        <v>2794.04</v>
      </c>
      <c r="H87" t="inlineStr">
        <is>
          <t>EUR</t>
        </is>
      </c>
      <c r="I87" t="inlineStr">
        <is>
          <t>documents</t>
        </is>
      </c>
      <c r="J87" s="45" t="inlineStr">
        <is>
          <t>251380763</t>
        </is>
      </c>
      <c r="K87" t="inlineStr">
        <is>
          <t>https://drive.google.com/file/d/1fDDyyoah7JlWMHXzqFDIqm2howZDBJMq/view?usp=drivesdk</t>
        </is>
      </c>
    </row>
    <row r="88" ht="12" customHeight="1">
      <c r="A88" t="inlineStr">
        <is>
          <t>202602</t>
        </is>
      </c>
      <c r="B88" t="inlineStr">
        <is>
          <t>SL</t>
        </is>
      </c>
      <c r="C88" t="inlineStr">
        <is>
          <t>opex</t>
        </is>
      </c>
      <c r="D88" t="inlineStr">
        <is>
          <t>marketing</t>
        </is>
      </c>
      <c r="E88" t="inlineStr">
        <is>
          <t>METAADS</t>
        </is>
      </c>
      <c r="F88" t="inlineStr">
        <is>
          <t>us</t>
        </is>
      </c>
      <c r="G88" t="n">
        <v>1397.4</v>
      </c>
      <c r="H88" t="inlineStr">
        <is>
          <t>EUR</t>
        </is>
      </c>
      <c r="I88" t="inlineStr">
        <is>
          <t>documents</t>
        </is>
      </c>
      <c r="J88" s="45" t="inlineStr">
        <is>
          <t>251380763</t>
        </is>
      </c>
      <c r="K88" t="inlineStr">
        <is>
          <t>https://drive.google.com/file/d/1fDDyyoah7JlWMHXzqFDIqm2howZDBJMq/view?usp=drivesdk</t>
        </is>
      </c>
    </row>
    <row r="89" ht="12" customHeight="1">
      <c r="A89" t="inlineStr">
        <is>
          <t>202602</t>
        </is>
      </c>
      <c r="B89" t="inlineStr">
        <is>
          <t>SL</t>
        </is>
      </c>
      <c r="C89" t="inlineStr">
        <is>
          <t>opex</t>
        </is>
      </c>
      <c r="D89" t="inlineStr">
        <is>
          <t>technology</t>
        </is>
      </c>
      <c r="E89" t="inlineStr">
        <is>
          <t>MICROSOFT</t>
        </is>
      </c>
      <c r="F89" t="inlineStr"/>
      <c r="G89" t="n">
        <v>30.87</v>
      </c>
      <c r="H89" t="inlineStr">
        <is>
          <t>EUR</t>
        </is>
      </c>
      <c r="I89" t="inlineStr">
        <is>
          <t>documents</t>
        </is>
      </c>
      <c r="J89" s="45" t="inlineStr">
        <is>
          <t>G140910268</t>
        </is>
      </c>
      <c r="K89" t="inlineStr">
        <is>
          <t>https://drive.google.com/file/d/1IS2fSxolw6pxcI9vC65EJRYlFK7zyUTY/view?usp=drivesdk</t>
        </is>
      </c>
    </row>
    <row r="90" ht="12" customHeight="1">
      <c r="A90" t="inlineStr">
        <is>
          <t>202602</t>
        </is>
      </c>
      <c r="B90" t="inlineStr">
        <is>
          <t>SL</t>
        </is>
      </c>
      <c r="C90" t="inlineStr">
        <is>
          <t>opex</t>
        </is>
      </c>
      <c r="D90" t="inlineStr">
        <is>
          <t>technology</t>
        </is>
      </c>
      <c r="E90" t="inlineStr">
        <is>
          <t>OPENAI</t>
        </is>
      </c>
      <c r="F90" t="inlineStr">
        <is>
          <t>api_usage</t>
        </is>
      </c>
      <c r="G90" t="n">
        <v>10.12</v>
      </c>
      <c r="H90" t="inlineStr">
        <is>
          <t>USD</t>
        </is>
      </c>
      <c r="I90" t="inlineStr">
        <is>
          <t>documents</t>
        </is>
      </c>
      <c r="J90" s="45" t="inlineStr">
        <is>
          <t>BZHJNTUB0003</t>
        </is>
      </c>
      <c r="K90" t="inlineStr">
        <is>
          <t>https://drive.google.com/file/d/1bbYR8-vHGj7nUKVcEnARnepPzYzNIFVw/view?usp=drivesdk</t>
        </is>
      </c>
    </row>
    <row r="91" ht="12" customHeight="1">
      <c r="A91" t="inlineStr">
        <is>
          <t>202602</t>
        </is>
      </c>
      <c r="B91" t="inlineStr">
        <is>
          <t>SL</t>
        </is>
      </c>
      <c r="C91" t="inlineStr">
        <is>
          <t>opex</t>
        </is>
      </c>
      <c r="D91" t="inlineStr">
        <is>
          <t>technology</t>
        </is>
      </c>
      <c r="E91" t="inlineStr">
        <is>
          <t>OPENAI</t>
        </is>
      </c>
      <c r="F91" t="inlineStr">
        <is>
          <t>api_usage</t>
        </is>
      </c>
      <c r="G91" t="n">
        <v>10.19</v>
      </c>
      <c r="H91" t="inlineStr">
        <is>
          <t>USD</t>
        </is>
      </c>
      <c r="I91" t="inlineStr">
        <is>
          <t>documents</t>
        </is>
      </c>
      <c r="J91" s="45" t="inlineStr">
        <is>
          <t>BZHJNTUB0005</t>
        </is>
      </c>
      <c r="K91" t="inlineStr">
        <is>
          <t>https://drive.google.com/file/d/1s-Ni6ccpvcuZUGwwhFepiSbUNzPwXVDG/view?usp=drivesdk</t>
        </is>
      </c>
    </row>
    <row r="92" ht="12" customHeight="1">
      <c r="A92" t="inlineStr">
        <is>
          <t>202602</t>
        </is>
      </c>
      <c r="B92" t="inlineStr">
        <is>
          <t>SL</t>
        </is>
      </c>
      <c r="C92" t="inlineStr">
        <is>
          <t>opex</t>
        </is>
      </c>
      <c r="D92" t="inlineStr">
        <is>
          <t>technology</t>
        </is>
      </c>
      <c r="E92" t="inlineStr">
        <is>
          <t>OPENAI</t>
        </is>
      </c>
      <c r="F92" t="inlineStr">
        <is>
          <t>api_usage</t>
        </is>
      </c>
      <c r="G92" t="n">
        <v>30</v>
      </c>
      <c r="H92" t="inlineStr">
        <is>
          <t>USD</t>
        </is>
      </c>
      <c r="I92" t="inlineStr">
        <is>
          <t>documents</t>
        </is>
      </c>
      <c r="J92" s="45" t="inlineStr">
        <is>
          <t>BZHJNTUB0006</t>
        </is>
      </c>
      <c r="K92" t="inlineStr">
        <is>
          <t>https://drive.google.com/file/d/1j0GTnf9iA8T0YG7zocdvmE1v-yFf-dmk/view?usp=drivesdk</t>
        </is>
      </c>
    </row>
    <row r="93" ht="12" customHeight="1">
      <c r="A93" t="inlineStr">
        <is>
          <t>202602</t>
        </is>
      </c>
      <c r="B93" t="inlineStr">
        <is>
          <t>SL</t>
        </is>
      </c>
      <c r="C93" t="inlineStr">
        <is>
          <t>opex</t>
        </is>
      </c>
      <c r="D93" t="inlineStr">
        <is>
          <t>technology</t>
        </is>
      </c>
      <c r="E93" t="inlineStr">
        <is>
          <t>OPENAI</t>
        </is>
      </c>
      <c r="F93" t="inlineStr">
        <is>
          <t>api_usage</t>
        </is>
      </c>
      <c r="G93" t="n">
        <v>10.41</v>
      </c>
      <c r="H93" t="inlineStr">
        <is>
          <t>USD</t>
        </is>
      </c>
      <c r="I93" t="inlineStr">
        <is>
          <t>documents</t>
        </is>
      </c>
      <c r="J93" s="45" t="inlineStr">
        <is>
          <t>BZHJNTUB0007</t>
        </is>
      </c>
      <c r="K93" t="inlineStr">
        <is>
          <t>https://drive.google.com/file/d/1kgfYW187O8CHpqvovwje1T5Vb0O1df6d/view?usp=drivesdk</t>
        </is>
      </c>
    </row>
    <row r="94" ht="12" customHeight="1">
      <c r="A94" t="inlineStr">
        <is>
          <t>202602</t>
        </is>
      </c>
      <c r="B94" t="inlineStr">
        <is>
          <t>SL</t>
        </is>
      </c>
      <c r="C94" t="inlineStr">
        <is>
          <t>opex</t>
        </is>
      </c>
      <c r="D94" t="inlineStr">
        <is>
          <t>technology</t>
        </is>
      </c>
      <c r="E94" t="inlineStr">
        <is>
          <t>OPENAI</t>
        </is>
      </c>
      <c r="F94" t="inlineStr">
        <is>
          <t>receipt</t>
        </is>
      </c>
      <c r="G94" t="n">
        <v>10.13</v>
      </c>
      <c r="H94" t="inlineStr">
        <is>
          <t>USD</t>
        </is>
      </c>
      <c r="I94" t="inlineStr">
        <is>
          <t>documents</t>
        </is>
      </c>
      <c r="J94" s="45" t="inlineStr">
        <is>
          <t>BZHJNTUB0004</t>
        </is>
      </c>
      <c r="K94" t="inlineStr">
        <is>
          <t>https://drive.google.com/file/d/1ylJiskEHkRFsuhK4EXI9Mv5Hk31tTSeX/view?usp=drivesdk</t>
        </is>
      </c>
    </row>
    <row r="95" ht="12" customHeight="1">
      <c r="A95" t="inlineStr">
        <is>
          <t>202602</t>
        </is>
      </c>
      <c r="B95" t="inlineStr">
        <is>
          <t>SL</t>
        </is>
      </c>
      <c r="C95" t="inlineStr">
        <is>
          <t>cogs</t>
        </is>
      </c>
      <c r="D95" t="inlineStr">
        <is>
          <t>manufacturing</t>
        </is>
      </c>
      <c r="E95" t="inlineStr">
        <is>
          <t>PRESSING</t>
        </is>
      </c>
      <c r="F95" t="inlineStr"/>
      <c r="G95" t="n">
        <v>33510.62</v>
      </c>
      <c r="H95" t="inlineStr">
        <is>
          <t>EUR</t>
        </is>
      </c>
      <c r="I95" t="inlineStr">
        <is>
          <t>documents</t>
        </is>
      </c>
      <c r="J95" s="45" t="inlineStr">
        <is>
          <t>FAC/2026/26100001651</t>
        </is>
      </c>
      <c r="K95" t="inlineStr">
        <is>
          <t>https://drive.google.com/file/d/1Ht3FP9y_KBG3F1Wui0f7dj36Nz4gORY9/view?usp=drivesdk</t>
        </is>
      </c>
    </row>
    <row r="96" ht="12" customHeight="1">
      <c r="A96" t="inlineStr">
        <is>
          <t>202602</t>
        </is>
      </c>
      <c r="B96" t="inlineStr">
        <is>
          <t>SL</t>
        </is>
      </c>
      <c r="C96" t="inlineStr">
        <is>
          <t>opex</t>
        </is>
      </c>
      <c r="D96" t="inlineStr">
        <is>
          <t>technology</t>
        </is>
      </c>
      <c r="E96" t="inlineStr">
        <is>
          <t>PRODUCTHERO</t>
        </is>
      </c>
      <c r="F96" t="inlineStr"/>
      <c r="G96" t="n">
        <v>134</v>
      </c>
      <c r="H96" t="inlineStr">
        <is>
          <t>EUR</t>
        </is>
      </c>
      <c r="I96" t="inlineStr">
        <is>
          <t>documents</t>
        </is>
      </c>
      <c r="J96" s="45" t="inlineStr">
        <is>
          <t>211723</t>
        </is>
      </c>
      <c r="K96" t="inlineStr">
        <is>
          <t>https://drive.google.com/file/d/1axe5iqNHDnZKEyTVyAhJ5hBtI1BR5ejL/view?usp=drivesdk</t>
        </is>
      </c>
    </row>
    <row r="97" ht="12" customHeight="1">
      <c r="A97" t="inlineStr">
        <is>
          <t>202602</t>
        </is>
      </c>
      <c r="B97" t="inlineStr">
        <is>
          <t>SL</t>
        </is>
      </c>
      <c r="C97" t="inlineStr">
        <is>
          <t>opex</t>
        </is>
      </c>
      <c r="D97" t="inlineStr">
        <is>
          <t>technology</t>
        </is>
      </c>
      <c r="E97" t="inlineStr">
        <is>
          <t>REVER</t>
        </is>
      </c>
      <c r="F97" t="inlineStr"/>
      <c r="G97" t="n">
        <v>79</v>
      </c>
      <c r="H97" t="inlineStr">
        <is>
          <t>EUR</t>
        </is>
      </c>
      <c r="I97" t="inlineStr">
        <is>
          <t>documents</t>
        </is>
      </c>
      <c r="J97" s="45" t="inlineStr">
        <is>
          <t>RVR-17688</t>
        </is>
      </c>
      <c r="K97" t="inlineStr">
        <is>
          <t>https://drive.google.com/file/d/1D3oOwMbnoMx_ZwdzSUQ07lRdDelVCXX6/view?usp=drivesdk</t>
        </is>
      </c>
    </row>
    <row r="98" ht="12" customHeight="1">
      <c r="A98" t="inlineStr">
        <is>
          <t>202602</t>
        </is>
      </c>
      <c r="B98" t="inlineStr">
        <is>
          <t>SL</t>
        </is>
      </c>
      <c r="C98" t="inlineStr">
        <is>
          <t>opex</t>
        </is>
      </c>
      <c r="D98" t="inlineStr">
        <is>
          <t>technology</t>
        </is>
      </c>
      <c r="E98" t="inlineStr">
        <is>
          <t>SHOPIFY</t>
        </is>
      </c>
      <c r="F98" t="inlineStr"/>
      <c r="G98" t="n">
        <v>2812.25</v>
      </c>
      <c r="H98" t="inlineStr">
        <is>
          <t>USD</t>
        </is>
      </c>
      <c r="I98" t="inlineStr">
        <is>
          <t>documents</t>
        </is>
      </c>
      <c r="J98" s="45" t="inlineStr">
        <is>
          <t>493806587</t>
        </is>
      </c>
      <c r="K98" t="inlineStr">
        <is>
          <t>https://drive.google.com/file/d/1FNZalAzXj8a7ZNUt2CefEIFu_sLZ6iOY/view?usp=drivesdk</t>
        </is>
      </c>
    </row>
    <row r="99" ht="12" customHeight="1">
      <c r="A99" t="inlineStr">
        <is>
          <t>202602</t>
        </is>
      </c>
      <c r="B99" t="inlineStr">
        <is>
          <t>SL</t>
        </is>
      </c>
      <c r="C99" t="inlineStr">
        <is>
          <t>opex</t>
        </is>
      </c>
      <c r="D99" t="inlineStr">
        <is>
          <t>administration</t>
        </is>
      </c>
      <c r="E99" t="inlineStr">
        <is>
          <t>TORRAS</t>
        </is>
      </c>
      <c r="F99" t="inlineStr"/>
      <c r="G99" t="n">
        <v>15</v>
      </c>
      <c r="H99" t="inlineStr">
        <is>
          <t>EUR</t>
        </is>
      </c>
      <c r="I99" t="inlineStr">
        <is>
          <t>documents</t>
        </is>
      </c>
      <c r="J99" s="45" t="inlineStr">
        <is>
          <t>7/517</t>
        </is>
      </c>
      <c r="K99" t="inlineStr">
        <is>
          <t>https://drive.google.com/file/d/1ryYPmeaeN0WBdXxhk4O9pmdF4BlNsACt/view?usp=drivesdk</t>
        </is>
      </c>
    </row>
    <row r="100" ht="12" customHeight="1">
      <c r="A100" t="inlineStr">
        <is>
          <t>202602</t>
        </is>
      </c>
      <c r="B100" t="inlineStr">
        <is>
          <t>SL</t>
        </is>
      </c>
      <c r="C100" t="inlineStr">
        <is>
          <t>cogs</t>
        </is>
      </c>
      <c r="D100" t="inlineStr">
        <is>
          <t>logistics</t>
        </is>
      </c>
      <c r="E100" t="inlineStr">
        <is>
          <t>UPS</t>
        </is>
      </c>
      <c r="F100" t="inlineStr"/>
      <c r="G100" t="n">
        <v>643.8200000000001</v>
      </c>
      <c r="H100" t="inlineStr">
        <is>
          <t>EUR</t>
        </is>
      </c>
      <c r="I100" t="inlineStr">
        <is>
          <t>documents</t>
        </is>
      </c>
      <c r="J100" s="45" t="inlineStr">
        <is>
          <t>326997856</t>
        </is>
      </c>
      <c r="K100" t="inlineStr">
        <is>
          <t>https://drive.google.com/file/d/1FyBHZEA9qWMwRhMfdTuL7ySwcplaqQc2/view?usp=drivesdk</t>
        </is>
      </c>
    </row>
    <row r="101" ht="12" customHeight="1">
      <c r="A101" t="inlineStr">
        <is>
          <t>202602</t>
        </is>
      </c>
      <c r="B101" t="inlineStr">
        <is>
          <t>SL</t>
        </is>
      </c>
      <c r="C101" t="inlineStr">
        <is>
          <t>cogs</t>
        </is>
      </c>
      <c r="D101" t="inlineStr">
        <is>
          <t>logistics</t>
        </is>
      </c>
      <c r="E101" t="inlineStr">
        <is>
          <t>UPS</t>
        </is>
      </c>
      <c r="F101" t="inlineStr"/>
      <c r="G101" t="n">
        <v>629.73</v>
      </c>
      <c r="H101" t="inlineStr">
        <is>
          <t>EUR</t>
        </is>
      </c>
      <c r="I101" t="inlineStr">
        <is>
          <t>documents</t>
        </is>
      </c>
      <c r="J101" s="45" t="inlineStr">
        <is>
          <t>327030108</t>
        </is>
      </c>
      <c r="K101" t="inlineStr">
        <is>
          <t>https://drive.google.com/file/d/1iPkhcnUQ6IlOI2t9Y4lt6fcN9NoE8559/view?usp=drivesdk</t>
        </is>
      </c>
    </row>
    <row r="102" ht="12" customHeight="1">
      <c r="A102" t="inlineStr">
        <is>
          <t>202602</t>
        </is>
      </c>
      <c r="B102" t="inlineStr">
        <is>
          <t>SL</t>
        </is>
      </c>
      <c r="C102" t="inlineStr">
        <is>
          <t>cogs</t>
        </is>
      </c>
      <c r="D102" t="inlineStr">
        <is>
          <t>logistics</t>
        </is>
      </c>
      <c r="E102" t="inlineStr">
        <is>
          <t>UPS</t>
        </is>
      </c>
      <c r="F102" t="inlineStr"/>
      <c r="G102" t="n">
        <v>512.62</v>
      </c>
      <c r="H102" t="inlineStr">
        <is>
          <t>EUR</t>
        </is>
      </c>
      <c r="I102" t="inlineStr">
        <is>
          <t>documents</t>
        </is>
      </c>
      <c r="J102" s="45" t="inlineStr">
        <is>
          <t>327061645</t>
        </is>
      </c>
      <c r="K102" t="inlineStr">
        <is>
          <t>https://drive.google.com/file/d/1nrrH_8TfwdiHGNLlFgfu6hEx8mBDTA67/view?usp=drivesdk</t>
        </is>
      </c>
    </row>
    <row r="103" ht="12" customHeight="1">
      <c r="A103" t="inlineStr">
        <is>
          <t>202602</t>
        </is>
      </c>
      <c r="B103" t="inlineStr">
        <is>
          <t>SL</t>
        </is>
      </c>
      <c r="C103" t="inlineStr">
        <is>
          <t>cogs</t>
        </is>
      </c>
      <c r="D103" t="inlineStr">
        <is>
          <t>logistics</t>
        </is>
      </c>
      <c r="E103" t="inlineStr">
        <is>
          <t>UPS</t>
        </is>
      </c>
      <c r="F103" t="inlineStr"/>
      <c r="G103" t="n">
        <v>40.32</v>
      </c>
      <c r="H103" t="inlineStr">
        <is>
          <t>EUR</t>
        </is>
      </c>
      <c r="I103" t="inlineStr">
        <is>
          <t>documents</t>
        </is>
      </c>
      <c r="J103" s="45" t="inlineStr">
        <is>
          <t>838088024</t>
        </is>
      </c>
      <c r="K103" t="inlineStr">
        <is>
          <t>https://drive.google.com/file/d/1Lq08NNbxsMBp7B7MMjUiEknDIr3kxPc0/view?usp=drivesdk</t>
        </is>
      </c>
    </row>
    <row r="104" ht="12" customHeight="1">
      <c r="A104" t="inlineStr">
        <is>
          <t>202602</t>
        </is>
      </c>
      <c r="B104" t="inlineStr">
        <is>
          <t>SL</t>
        </is>
      </c>
      <c r="C104" t="inlineStr">
        <is>
          <t>opex</t>
        </is>
      </c>
      <c r="D104" t="inlineStr">
        <is>
          <t>technology</t>
        </is>
      </c>
      <c r="E104" t="inlineStr">
        <is>
          <t>YUMAAI</t>
        </is>
      </c>
      <c r="F104" t="inlineStr"/>
      <c r="G104" t="n">
        <v>440</v>
      </c>
      <c r="H104" t="inlineStr">
        <is>
          <t>EUR</t>
        </is>
      </c>
      <c r="I104" t="inlineStr">
        <is>
          <t>documents</t>
        </is>
      </c>
      <c r="J104" s="45" t="inlineStr">
        <is>
          <t>OQXBYXMP-0005</t>
        </is>
      </c>
      <c r="K104" t="inlineStr">
        <is>
          <t>https://drive.google.com/file/d/1y53mv0-BjFCp7Z4Tp9mguo1WuS7RRlVK/view?usp=drivesdk</t>
        </is>
      </c>
    </row>
    <row r="105" ht="12" customHeight="1">
      <c r="A105" t="inlineStr">
        <is>
          <t>202603</t>
        </is>
      </c>
      <c r="B105" t="inlineStr">
        <is>
          <t>SL</t>
        </is>
      </c>
      <c r="C105" t="inlineStr">
        <is>
          <t>cogs</t>
        </is>
      </c>
      <c r="D105" t="inlineStr">
        <is>
          <t>manufacturing</t>
        </is>
      </c>
      <c r="E105" t="inlineStr">
        <is>
          <t>APPHOTOES</t>
        </is>
      </c>
      <c r="F105" t="inlineStr"/>
      <c r="G105" t="n">
        <v>697.99</v>
      </c>
      <c r="H105" t="inlineStr">
        <is>
          <t>EUR</t>
        </is>
      </c>
      <c r="I105" t="inlineStr">
        <is>
          <t>documents</t>
        </is>
      </c>
      <c r="J105" s="45" t="inlineStr">
        <is>
          <t>1-2805</t>
        </is>
      </c>
      <c r="K105" t="inlineStr">
        <is>
          <t>https://drive.google.com/file/d/1n1TdGRm0xbbUrhiWxso3ucgcPhj4jbzx/view?usp=drivesdk</t>
        </is>
      </c>
    </row>
    <row r="106" ht="12" customHeight="1">
      <c r="A106" t="inlineStr">
        <is>
          <t>202603</t>
        </is>
      </c>
      <c r="B106" t="inlineStr">
        <is>
          <t>SL</t>
        </is>
      </c>
      <c r="C106" t="inlineStr">
        <is>
          <t>cogs</t>
        </is>
      </c>
      <c r="D106" t="inlineStr">
        <is>
          <t>manufacturing</t>
        </is>
      </c>
      <c r="E106" t="inlineStr">
        <is>
          <t>APPHOTOES</t>
        </is>
      </c>
      <c r="F106" t="inlineStr"/>
      <c r="G106" t="n">
        <v>26.57</v>
      </c>
      <c r="H106" t="inlineStr">
        <is>
          <t>EUR</t>
        </is>
      </c>
      <c r="I106" t="inlineStr">
        <is>
          <t>documents</t>
        </is>
      </c>
      <c r="J106" s="45" t="inlineStr">
        <is>
          <t>1-2806</t>
        </is>
      </c>
      <c r="K106" t="inlineStr">
        <is>
          <t>https://drive.google.com/file/d/1ao5r16qm7GhBSrW3YeiF3erPmxlcHELA/view?usp=drivesdk</t>
        </is>
      </c>
    </row>
    <row r="107" ht="12" customHeight="1">
      <c r="A107" t="inlineStr">
        <is>
          <t>202603</t>
        </is>
      </c>
      <c r="B107" t="inlineStr">
        <is>
          <t>SL</t>
        </is>
      </c>
      <c r="C107" t="inlineStr">
        <is>
          <t>cogs</t>
        </is>
      </c>
      <c r="D107" t="inlineStr">
        <is>
          <t>manufacturing</t>
        </is>
      </c>
      <c r="E107" t="inlineStr">
        <is>
          <t>APPHOTOES</t>
        </is>
      </c>
      <c r="F107" t="inlineStr"/>
      <c r="G107" t="n">
        <v>150.61</v>
      </c>
      <c r="H107" t="inlineStr">
        <is>
          <t>EUR</t>
        </is>
      </c>
      <c r="I107" t="inlineStr">
        <is>
          <t>documents</t>
        </is>
      </c>
      <c r="J107" s="45" t="inlineStr">
        <is>
          <t>1-2807</t>
        </is>
      </c>
      <c r="K107" t="inlineStr">
        <is>
          <t>https://drive.google.com/file/d/1OXbTejlLlT9SzZTWZP1D7tU57XBkfsLB/view?usp=drivesdk</t>
        </is>
      </c>
    </row>
    <row r="108" ht="12" customHeight="1">
      <c r="A108" t="inlineStr">
        <is>
          <t>202603</t>
        </is>
      </c>
      <c r="B108" t="inlineStr">
        <is>
          <t>SL</t>
        </is>
      </c>
      <c r="C108" t="inlineStr">
        <is>
          <t>cogs</t>
        </is>
      </c>
      <c r="D108" t="inlineStr">
        <is>
          <t>manufacturing</t>
        </is>
      </c>
      <c r="E108" t="inlineStr">
        <is>
          <t>APPHOTOES</t>
        </is>
      </c>
      <c r="F108" t="inlineStr"/>
      <c r="G108" t="n">
        <v>35.45</v>
      </c>
      <c r="H108" t="inlineStr">
        <is>
          <t>EUR</t>
        </is>
      </c>
      <c r="I108" t="inlineStr">
        <is>
          <t>documents</t>
        </is>
      </c>
      <c r="J108" s="45" t="inlineStr">
        <is>
          <t>1-2808</t>
        </is>
      </c>
      <c r="K108" t="inlineStr">
        <is>
          <t>https://drive.google.com/file/d/1-0D2m0NVI4A5J-ddmlF3nafsBa8vGWBd/view?usp=drivesdk</t>
        </is>
      </c>
    </row>
    <row r="109" ht="12" customHeight="1">
      <c r="A109" t="inlineStr">
        <is>
          <t>202603</t>
        </is>
      </c>
      <c r="B109" t="inlineStr">
        <is>
          <t>SL</t>
        </is>
      </c>
      <c r="C109" t="inlineStr">
        <is>
          <t>cogs</t>
        </is>
      </c>
      <c r="D109" t="inlineStr">
        <is>
          <t>manufacturing</t>
        </is>
      </c>
      <c r="E109" t="inlineStr">
        <is>
          <t>APPHOTOES</t>
        </is>
      </c>
      <c r="F109" t="inlineStr"/>
      <c r="G109" t="n">
        <v>18.45</v>
      </c>
      <c r="H109" t="inlineStr">
        <is>
          <t>EUR</t>
        </is>
      </c>
      <c r="I109" t="inlineStr">
        <is>
          <t>documents</t>
        </is>
      </c>
      <c r="J109" s="45" t="inlineStr">
        <is>
          <t>1-2809</t>
        </is>
      </c>
      <c r="K109" t="inlineStr">
        <is>
          <t>https://drive.google.com/file/d/109FoRS20p6fG5cg4HRHkxTwOGMiEB3AH/view?usp=drivesdk</t>
        </is>
      </c>
    </row>
    <row r="110" ht="12" customHeight="1">
      <c r="A110" t="inlineStr">
        <is>
          <t>202603</t>
        </is>
      </c>
      <c r="B110" t="inlineStr">
        <is>
          <t>SL</t>
        </is>
      </c>
      <c r="C110" t="inlineStr">
        <is>
          <t>cogs</t>
        </is>
      </c>
      <c r="D110" t="inlineStr">
        <is>
          <t>manufacturing</t>
        </is>
      </c>
      <c r="E110" t="inlineStr">
        <is>
          <t>APPHOTOES</t>
        </is>
      </c>
      <c r="F110" t="inlineStr"/>
      <c r="G110" t="n">
        <v>6244.25</v>
      </c>
      <c r="H110" t="inlineStr">
        <is>
          <t>EUR</t>
        </is>
      </c>
      <c r="I110" t="inlineStr">
        <is>
          <t>documents</t>
        </is>
      </c>
      <c r="J110" s="45" t="inlineStr">
        <is>
          <t>1-2921</t>
        </is>
      </c>
      <c r="K110" t="inlineStr">
        <is>
          <t>https://drive.google.com/file/d/1md630rqHnAw6S5fnMiH86ktIGL9wAfgF/view?usp=drivesdk</t>
        </is>
      </c>
    </row>
    <row r="111" ht="12" customHeight="1">
      <c r="A111" t="inlineStr">
        <is>
          <t>202603</t>
        </is>
      </c>
      <c r="B111" t="inlineStr">
        <is>
          <t>SL</t>
        </is>
      </c>
      <c r="C111" t="inlineStr">
        <is>
          <t>cogs</t>
        </is>
      </c>
      <c r="D111" t="inlineStr">
        <is>
          <t>manufacturing</t>
        </is>
      </c>
      <c r="E111" t="inlineStr">
        <is>
          <t>APPHOTOES</t>
        </is>
      </c>
      <c r="F111" t="inlineStr"/>
      <c r="G111" t="n">
        <v>4435.99</v>
      </c>
      <c r="H111" t="inlineStr">
        <is>
          <t>EUR</t>
        </is>
      </c>
      <c r="I111" t="inlineStr">
        <is>
          <t>documents</t>
        </is>
      </c>
      <c r="J111" s="45" t="inlineStr">
        <is>
          <t>1-3283</t>
        </is>
      </c>
      <c r="K111" t="inlineStr">
        <is>
          <t>https://drive.google.com/file/d/1MkhCT3OZenS4bJf5_J2qB8oGGw8oFzkf/view?usp=drivesdk</t>
        </is>
      </c>
    </row>
    <row r="112" ht="12" customHeight="1">
      <c r="A112" t="inlineStr">
        <is>
          <t>202603</t>
        </is>
      </c>
      <c r="B112" t="inlineStr">
        <is>
          <t>SL</t>
        </is>
      </c>
      <c r="C112" t="inlineStr">
        <is>
          <t>cogs</t>
        </is>
      </c>
      <c r="D112" t="inlineStr">
        <is>
          <t>manufacturing</t>
        </is>
      </c>
      <c r="E112" t="inlineStr">
        <is>
          <t>ARTLINK</t>
        </is>
      </c>
      <c r="F112" t="inlineStr">
        <is>
          <t>manufacturing</t>
        </is>
      </c>
      <c r="G112" t="n">
        <v>570</v>
      </c>
      <c r="H112" t="inlineStr">
        <is>
          <t>EUR</t>
        </is>
      </c>
      <c r="I112" t="inlineStr">
        <is>
          <t>documents</t>
        </is>
      </c>
      <c r="J112" s="45" t="inlineStr">
        <is>
          <t>000203570</t>
        </is>
      </c>
      <c r="K112" t="inlineStr">
        <is>
          <t>https://drive.google.com/file/d/1cfzsuLvXSAtRD2pLnRBZ59veQeIWQKjQ/view?usp=drivesdk</t>
        </is>
      </c>
    </row>
    <row r="113" ht="12" customHeight="1">
      <c r="A113" t="inlineStr">
        <is>
          <t>202603</t>
        </is>
      </c>
      <c r="B113" t="inlineStr">
        <is>
          <t>SL</t>
        </is>
      </c>
      <c r="C113" t="inlineStr">
        <is>
          <t>opex</t>
        </is>
      </c>
      <c r="D113" t="inlineStr">
        <is>
          <t>administration</t>
        </is>
      </c>
      <c r="E113" t="inlineStr">
        <is>
          <t>CLARIS</t>
        </is>
      </c>
      <c r="F113" t="inlineStr"/>
      <c r="G113" t="n">
        <v>808.08</v>
      </c>
      <c r="H113" t="inlineStr">
        <is>
          <t>EUR</t>
        </is>
      </c>
      <c r="I113" t="inlineStr">
        <is>
          <t>documents</t>
        </is>
      </c>
      <c r="J113" s="45" t="inlineStr">
        <is>
          <t>F00658/26</t>
        </is>
      </c>
      <c r="K113" t="inlineStr">
        <is>
          <t>https://drive.google.com/file/d/194sPXt7bz4RYudtr1LLnRSTHRD3IRfX_/view?usp=drivesdk</t>
        </is>
      </c>
    </row>
    <row r="114" ht="12" customHeight="1">
      <c r="A114" t="inlineStr">
        <is>
          <t>202603</t>
        </is>
      </c>
      <c r="B114" t="inlineStr">
        <is>
          <t>SL</t>
        </is>
      </c>
      <c r="C114" t="inlineStr">
        <is>
          <t>cogs</t>
        </is>
      </c>
      <c r="D114" t="inlineStr">
        <is>
          <t>manufacturing</t>
        </is>
      </c>
      <c r="E114" t="inlineStr">
        <is>
          <t>DCT</t>
        </is>
      </c>
      <c r="F114" t="inlineStr"/>
      <c r="G114" t="n">
        <v>2646.66</v>
      </c>
      <c r="H114" t="inlineStr">
        <is>
          <t>EUR</t>
        </is>
      </c>
      <c r="I114" t="inlineStr">
        <is>
          <t>documents</t>
        </is>
      </c>
      <c r="J114" s="45" t="inlineStr">
        <is>
          <t>26-0463</t>
        </is>
      </c>
      <c r="K114" t="inlineStr">
        <is>
          <t>https://drive.google.com/file/d/1d9bGOdNerfRkG8hm-9tNwNLOClNoUKV1/view?usp=drivesdk</t>
        </is>
      </c>
    </row>
    <row r="115" ht="12" customHeight="1">
      <c r="A115" t="inlineStr">
        <is>
          <t>202603</t>
        </is>
      </c>
      <c r="B115" t="inlineStr">
        <is>
          <t>SL</t>
        </is>
      </c>
      <c r="C115" t="inlineStr">
        <is>
          <t>opex</t>
        </is>
      </c>
      <c r="D115" t="inlineStr">
        <is>
          <t>technology</t>
        </is>
      </c>
      <c r="E115" t="inlineStr">
        <is>
          <t>GORGIAS</t>
        </is>
      </c>
      <c r="F115" t="inlineStr"/>
      <c r="G115" t="n">
        <v>126.4</v>
      </c>
      <c r="H115" t="inlineStr">
        <is>
          <t>USD</t>
        </is>
      </c>
      <c r="I115" t="inlineStr">
        <is>
          <t>documents</t>
        </is>
      </c>
      <c r="J115" s="45" t="inlineStr">
        <is>
          <t>INC-03-2026-64889</t>
        </is>
      </c>
      <c r="K115" t="inlineStr">
        <is>
          <t>https://drive.google.com/file/d/1r5NeAkt6BuK7stM77wMD2GmwfOkmyuaE/view?usp=drivesdk</t>
        </is>
      </c>
    </row>
    <row r="116" ht="12" customHeight="1">
      <c r="A116" t="inlineStr">
        <is>
          <t>202603</t>
        </is>
      </c>
      <c r="B116" t="inlineStr">
        <is>
          <t>SL</t>
        </is>
      </c>
      <c r="C116" t="inlineStr">
        <is>
          <t>opex</t>
        </is>
      </c>
      <c r="D116" t="inlineStr">
        <is>
          <t>administration</t>
        </is>
      </c>
      <c r="E116" t="inlineStr">
        <is>
          <t>HANNUN</t>
        </is>
      </c>
      <c r="F116" t="inlineStr">
        <is>
          <t>administration</t>
        </is>
      </c>
      <c r="G116" t="n">
        <v>30</v>
      </c>
      <c r="H116" t="inlineStr">
        <is>
          <t>EUR</t>
        </is>
      </c>
      <c r="I116" t="inlineStr">
        <is>
          <t>documents</t>
        </is>
      </c>
      <c r="J116" s="45" t="inlineStr">
        <is>
          <t>VTA/26-010337</t>
        </is>
      </c>
      <c r="K116" t="inlineStr">
        <is>
          <t>https://drive.google.com/file/d/1jBhJD7kS5_SPwJKWbOaHjrF8mX4mpiT8/view?usp=drivesdk</t>
        </is>
      </c>
    </row>
    <row r="117" ht="12" customHeight="1">
      <c r="A117" t="inlineStr">
        <is>
          <t>202603</t>
        </is>
      </c>
      <c r="B117" t="inlineStr">
        <is>
          <t>SL</t>
        </is>
      </c>
      <c r="C117" t="inlineStr">
        <is>
          <t>opex</t>
        </is>
      </c>
      <c r="D117" t="inlineStr">
        <is>
          <t>technology</t>
        </is>
      </c>
      <c r="E117" t="inlineStr">
        <is>
          <t>OPENAI</t>
        </is>
      </c>
      <c r="F117" t="inlineStr">
        <is>
          <t>api_usage</t>
        </is>
      </c>
      <c r="G117" t="n">
        <v>15</v>
      </c>
      <c r="H117" t="inlineStr">
        <is>
          <t>USD</t>
        </is>
      </c>
      <c r="I117" t="inlineStr">
        <is>
          <t>documents</t>
        </is>
      </c>
      <c r="J117" s="45" t="inlineStr">
        <is>
          <t>BZHJNTUB0008</t>
        </is>
      </c>
      <c r="K117" t="inlineStr">
        <is>
          <t>https://drive.google.com/file/d/14mLVYewapKRBwsNP7f6wLOc4WRmROQLm/view?usp=drivesdk</t>
        </is>
      </c>
    </row>
    <row r="118" ht="12" customHeight="1">
      <c r="A118" t="inlineStr">
        <is>
          <t>202603</t>
        </is>
      </c>
      <c r="B118" t="inlineStr">
        <is>
          <t>SL</t>
        </is>
      </c>
      <c r="C118" t="inlineStr">
        <is>
          <t>opex</t>
        </is>
      </c>
      <c r="D118" t="inlineStr">
        <is>
          <t>technology</t>
        </is>
      </c>
      <c r="E118" t="inlineStr">
        <is>
          <t>RAILWAY</t>
        </is>
      </c>
      <c r="F118" t="inlineStr"/>
      <c r="G118" t="n">
        <v>21.36</v>
      </c>
      <c r="H118" t="inlineStr">
        <is>
          <t>USD</t>
        </is>
      </c>
      <c r="I118" t="inlineStr">
        <is>
          <t>documents</t>
        </is>
      </c>
      <c r="J118" s="45" t="inlineStr">
        <is>
          <t>1602C2F5-0017</t>
        </is>
      </c>
      <c r="K118" t="inlineStr">
        <is>
          <t>https://drive.google.com/file/d/1_zSaGhAEICAUBmqreT7FKVxXgv2-r3jW/view?usp=drivesdk</t>
        </is>
      </c>
    </row>
    <row r="119" ht="12" customHeight="1">
      <c r="A119" t="inlineStr">
        <is>
          <t>202603</t>
        </is>
      </c>
      <c r="B119" t="inlineStr">
        <is>
          <t>SL</t>
        </is>
      </c>
      <c r="C119" t="inlineStr">
        <is>
          <t>opex</t>
        </is>
      </c>
      <c r="D119" t="inlineStr">
        <is>
          <t>administration</t>
        </is>
      </c>
      <c r="E119" t="inlineStr">
        <is>
          <t>TORRAS</t>
        </is>
      </c>
      <c r="F119" t="inlineStr"/>
      <c r="G119" t="n">
        <v>15</v>
      </c>
      <c r="H119" t="inlineStr">
        <is>
          <t>EUR</t>
        </is>
      </c>
      <c r="I119" t="inlineStr">
        <is>
          <t>documents</t>
        </is>
      </c>
      <c r="J119" s="45" t="inlineStr">
        <is>
          <t>7/800</t>
        </is>
      </c>
      <c r="K119" t="inlineStr">
        <is>
          <t>https://drive.google.com/file/d/1qLKvi2Ja2apUNKYZBiLqZTt00IfYF7J2/view?usp=drivesdk</t>
        </is>
      </c>
    </row>
    <row r="120" ht="12" customHeight="1">
      <c r="A120" t="inlineStr">
        <is>
          <t>202603</t>
        </is>
      </c>
      <c r="B120" t="inlineStr">
        <is>
          <t>SL</t>
        </is>
      </c>
      <c r="C120" t="inlineStr">
        <is>
          <t>opex</t>
        </is>
      </c>
      <c r="D120" t="inlineStr">
        <is>
          <t>administration</t>
        </is>
      </c>
      <c r="E120" t="inlineStr">
        <is>
          <t>VITALY</t>
        </is>
      </c>
      <c r="F120" t="inlineStr"/>
      <c r="G120" t="n">
        <v>369</v>
      </c>
      <c r="H120" t="inlineStr">
        <is>
          <t>EUR</t>
        </is>
      </c>
      <c r="I120" t="inlineStr">
        <is>
          <t>documents</t>
        </is>
      </c>
      <c r="J120" s="45" t="inlineStr">
        <is>
          <t>IFC2603-18831</t>
        </is>
      </c>
      <c r="K120" t="inlineStr">
        <is>
          <t>https://drive.google.com/file/d/1YylC1UsF8Mmxn_K1BFQWDm5IBpU5pT4S/view?usp=drivesdk</t>
        </is>
      </c>
    </row>
    <row r="121" ht="12" customHeight="1">
      <c r="A121" t="inlineStr">
        <is>
          <t>202603</t>
        </is>
      </c>
      <c r="B121" t="inlineStr">
        <is>
          <t>SL</t>
        </is>
      </c>
      <c r="C121" t="inlineStr">
        <is>
          <t>opex</t>
        </is>
      </c>
      <c r="D121" t="inlineStr">
        <is>
          <t>technology</t>
        </is>
      </c>
      <c r="E121" t="inlineStr">
        <is>
          <t>YUMAAI</t>
        </is>
      </c>
      <c r="F121" t="inlineStr"/>
      <c r="G121" t="n">
        <v>440</v>
      </c>
      <c r="H121" t="inlineStr">
        <is>
          <t>EUR</t>
        </is>
      </c>
      <c r="I121" t="inlineStr">
        <is>
          <t>documents</t>
        </is>
      </c>
      <c r="J121" s="45" t="inlineStr">
        <is>
          <t>OQXBYXMP-0006</t>
        </is>
      </c>
      <c r="K121" t="inlineStr">
        <is>
          <t>https://drive.google.com/file/d/1Dfe3TUTMjwwXhP0sW7OA-brj3bzdreVa/view?usp=drivesdk</t>
        </is>
      </c>
    </row>
    <row r="122" ht="12" customHeight="1">
      <c r="A122" t="inlineStr">
        <is>
          <t>202601</t>
        </is>
      </c>
      <c r="B122" t="inlineStr">
        <is>
          <t>SL</t>
        </is>
      </c>
      <c r="C122" t="inlineStr">
        <is>
          <t>cogs</t>
        </is>
      </c>
      <c r="D122" t="inlineStr">
        <is>
          <t>royalties</t>
        </is>
      </c>
      <c r="E122" t="inlineStr">
        <is>
          <t>ROYALTIES</t>
        </is>
      </c>
      <c r="F122" t="inlineStr"/>
      <c r="G122" t="n">
        <v>13737</v>
      </c>
      <c r="H122" t="inlineStr">
        <is>
          <t>EUR</t>
        </is>
      </c>
      <c r="I122" t="inlineStr">
        <is>
          <t>artist_royalties_monthly_summary</t>
        </is>
      </c>
      <c r="J122" t="inlineStr"/>
      <c r="K122" t="inlineStr"/>
    </row>
    <row r="123" ht="12" customHeight="1">
      <c r="A123" t="inlineStr">
        <is>
          <t>202602</t>
        </is>
      </c>
      <c r="B123" t="inlineStr">
        <is>
          <t>SL</t>
        </is>
      </c>
      <c r="C123" t="inlineStr">
        <is>
          <t>cogs</t>
        </is>
      </c>
      <c r="D123" t="inlineStr">
        <is>
          <t>royalties</t>
        </is>
      </c>
      <c r="E123" t="inlineStr">
        <is>
          <t>ROYALTIES</t>
        </is>
      </c>
      <c r="F123" t="inlineStr"/>
      <c r="G123" t="n">
        <v>16662</v>
      </c>
      <c r="H123" t="inlineStr">
        <is>
          <t>EUR</t>
        </is>
      </c>
      <c r="I123" t="inlineStr">
        <is>
          <t>artist_royalties_monthly_summary</t>
        </is>
      </c>
      <c r="J123" t="inlineStr"/>
      <c r="K123" t="inlineStr"/>
    </row>
    <row r="124" ht="12" customHeight="1">
      <c r="A124" t="inlineStr">
        <is>
          <t>202601</t>
        </is>
      </c>
      <c r="B124" t="inlineStr">
        <is>
          <t>SL</t>
        </is>
      </c>
      <c r="C124" t="inlineStr">
        <is>
          <t>opex</t>
        </is>
      </c>
      <c r="D124" t="inlineStr">
        <is>
          <t>staff</t>
        </is>
      </c>
      <c r="E124" t="inlineStr">
        <is>
          <t>PAYROLL</t>
        </is>
      </c>
      <c r="F124" t="inlineStr"/>
      <c r="G124" t="n">
        <v>14731.84</v>
      </c>
      <c r="H124" t="inlineStr">
        <is>
          <t>EUR</t>
        </is>
      </c>
      <c r="I124" t="inlineStr">
        <is>
          <t>payroll_documents</t>
        </is>
      </c>
      <c r="J124" t="inlineStr"/>
      <c r="K124" t="inlineStr"/>
    </row>
    <row r="125" ht="12" customHeight="1">
      <c r="A125" t="inlineStr">
        <is>
          <t>202602</t>
        </is>
      </c>
      <c r="B125" t="inlineStr">
        <is>
          <t>SL</t>
        </is>
      </c>
      <c r="C125" t="inlineStr">
        <is>
          <t>opex</t>
        </is>
      </c>
      <c r="D125" t="inlineStr">
        <is>
          <t>staff</t>
        </is>
      </c>
      <c r="E125" t="inlineStr">
        <is>
          <t>PAYROLL</t>
        </is>
      </c>
      <c r="F125" t="inlineStr"/>
      <c r="G125" t="n">
        <v>14915.68</v>
      </c>
      <c r="H125" t="inlineStr">
        <is>
          <t>EUR</t>
        </is>
      </c>
      <c r="I125" t="inlineStr">
        <is>
          <t>payroll_documents</t>
        </is>
      </c>
      <c r="J125" t="inlineStr"/>
      <c r="K125" t="inlineStr"/>
    </row>
  </sheetData>
  <hyperlinks>
    <hyperlink xmlns:r="http://schemas.openxmlformats.org/officeDocument/2006/relationships" ref="A1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supplier_code</t>
        </is>
      </c>
      <c r="D2" s="44" t="inlineStr">
        <is>
          <t>amount_net</t>
        </is>
      </c>
      <c r="E2" s="44" t="inlineStr">
        <is>
          <t>currency</t>
        </is>
      </c>
      <c r="F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PAYPAL</t>
        </is>
      </c>
      <c r="D3" t="n">
        <v>1405.82</v>
      </c>
      <c r="E3" t="inlineStr">
        <is>
          <t>EUR</t>
        </is>
      </c>
      <c r="F3" t="inlineStr">
        <is>
          <t>payment_fee_monthly_summary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SHOPIFY</t>
        </is>
      </c>
      <c r="D4" t="n">
        <v>2616.7</v>
      </c>
      <c r="E4" t="inlineStr">
        <is>
          <t>EUR</t>
        </is>
      </c>
      <c r="F4" t="inlineStr">
        <is>
          <t>payment_fee_monthly_summary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PAYPAL</t>
        </is>
      </c>
      <c r="D5" t="n">
        <v>1126.69</v>
      </c>
      <c r="E5" t="inlineStr">
        <is>
          <t>EUR</t>
        </is>
      </c>
      <c r="F5" t="inlineStr">
        <is>
          <t>payment_fee_monthly_summary</t>
        </is>
      </c>
    </row>
    <row r="6" ht="12" customHeight="1">
      <c r="A6" t="inlineStr">
        <is>
          <t>202602</t>
        </is>
      </c>
      <c r="B6" t="inlineStr">
        <is>
          <t>SL</t>
        </is>
      </c>
      <c r="C6" t="inlineStr">
        <is>
          <t>SHOPIFY</t>
        </is>
      </c>
      <c r="D6" t="n">
        <v>2778.19</v>
      </c>
      <c r="E6" t="inlineStr">
        <is>
          <t>EUR</t>
        </is>
      </c>
      <c r="F6" t="inlineStr">
        <is>
          <t>payment_fee_monthly_summary</t>
        </is>
      </c>
    </row>
    <row r="7" ht="12" customHeight="1">
      <c r="A7" t="inlineStr">
        <is>
          <t>202603</t>
        </is>
      </c>
      <c r="B7" t="inlineStr">
        <is>
          <t>SL</t>
        </is>
      </c>
      <c r="C7" t="inlineStr">
        <is>
          <t>PAYPAL</t>
        </is>
      </c>
      <c r="D7" t="n">
        <v>850.46</v>
      </c>
      <c r="E7" t="inlineStr">
        <is>
          <t>EUR</t>
        </is>
      </c>
      <c r="F7" t="inlineStr">
        <is>
          <t>payment_fee_monthly_summary</t>
        </is>
      </c>
    </row>
    <row r="8" ht="12" customHeight="1">
      <c r="A8" t="inlineStr">
        <is>
          <t>202603</t>
        </is>
      </c>
      <c r="B8" t="inlineStr">
        <is>
          <t>SL</t>
        </is>
      </c>
      <c r="C8" t="inlineStr">
        <is>
          <t>SHOPIFY</t>
        </is>
      </c>
      <c r="D8" t="n">
        <v>2014.7</v>
      </c>
      <c r="E8" t="inlineStr">
        <is>
          <t>EUR</t>
        </is>
      </c>
      <c r="F8" t="inlineStr">
        <is>
          <t>payment_fee_monthly_summary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supplier_code</t>
        </is>
      </c>
      <c r="B2" s="44" t="inlineStr">
        <is>
          <t>supplier_name</t>
        </is>
      </c>
      <c r="C2" s="44" t="inlineStr">
        <is>
          <t>current_folder</t>
        </is>
      </c>
      <c r="D2" s="44" t="inlineStr">
        <is>
          <t>destination_path</t>
        </is>
      </c>
      <c r="E2" s="44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CLARIS</t>
        </is>
      </c>
      <c r="B14" t="inlineStr">
        <is>
          <t>CLARIS</t>
        </is>
      </c>
      <c r="C14" t="inlineStr">
        <is>
          <t>CLARIS</t>
        </is>
      </c>
      <c r="D14" t="inlineStr">
        <is>
          <t>expenses/opex/administration</t>
        </is>
      </c>
      <c r="E14" t="inlineStr"/>
    </row>
    <row r="15" ht="12" customHeight="1">
      <c r="A15" t="inlineStr">
        <is>
          <t>HANNUN</t>
        </is>
      </c>
      <c r="B15" t="inlineStr">
        <is>
          <t>HANNUN</t>
        </is>
      </c>
      <c r="C15" t="inlineStr">
        <is>
          <t>HANNUN</t>
        </is>
      </c>
      <c r="D15" t="inlineStr">
        <is>
          <t>expenses/opex/administration</t>
        </is>
      </c>
      <c r="E15" t="inlineStr">
        <is>
          <t>Bidirectional HANNUN relationship; incoming expense invoices and outgoing customer invoices</t>
        </is>
      </c>
    </row>
    <row r="16" ht="12" customHeight="1">
      <c r="A16" t="inlineStr">
        <is>
          <t>NODA</t>
        </is>
      </c>
      <c r="B16" t="inlineStr">
        <is>
          <t>NODA</t>
        </is>
      </c>
      <c r="C16" t="inlineStr">
        <is>
          <t>NODA Asesores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TORRAS</t>
        </is>
      </c>
      <c r="B17" t="inlineStr">
        <is>
          <t>TORRAS</t>
        </is>
      </c>
      <c r="C17" t="inlineStr">
        <is>
          <t>TORRAS</t>
        </is>
      </c>
      <c r="D17" t="inlineStr">
        <is>
          <t>expenses/opex/administration</t>
        </is>
      </c>
      <c r="E17" t="inlineStr"/>
    </row>
    <row r="18" ht="12" customHeight="1">
      <c r="A18" t="inlineStr">
        <is>
          <t>VITALY</t>
        </is>
      </c>
      <c r="B18" t="inlineStr">
        <is>
          <t>VITALY</t>
        </is>
      </c>
      <c r="C18" t="inlineStr">
        <is>
          <t>Vitaly</t>
        </is>
      </c>
      <c r="D18" t="inlineStr">
        <is>
          <t>expenses/opex/administration</t>
        </is>
      </c>
      <c r="E18" t="inlineStr">
        <is>
          <t>Annual prevention and occupational health service</t>
        </is>
      </c>
    </row>
    <row r="19" ht="12" customHeight="1">
      <c r="A19" t="inlineStr">
        <is>
          <t>GOOGLEADS</t>
        </is>
      </c>
      <c r="B19" t="inlineStr">
        <is>
          <t>GOOGLEADS</t>
        </is>
      </c>
      <c r="C19" t="inlineStr">
        <is>
          <t>Google</t>
        </is>
      </c>
      <c r="D19" t="inlineStr">
        <is>
          <t>expenses/opex/marketing</t>
        </is>
      </c>
      <c r="E19" t="inlineStr"/>
    </row>
    <row r="20" ht="12" customHeight="1">
      <c r="A20" t="inlineStr">
        <is>
          <t>METAADS</t>
        </is>
      </c>
      <c r="B20" t="inlineStr">
        <is>
          <t>METAADS</t>
        </is>
      </c>
      <c r="C20" t="inlineStr">
        <is>
          <t>Meta</t>
        </is>
      </c>
      <c r="D20" t="inlineStr">
        <is>
          <t>expenses/opex/marketing</t>
        </is>
      </c>
      <c r="E20" t="inlineStr"/>
    </row>
    <row r="21" ht="12" customHeight="1">
      <c r="A21" t="inlineStr">
        <is>
          <t>DOSCONSULTING</t>
        </is>
      </c>
      <c r="B21" t="inlineStr">
        <is>
          <t>DOSCONSULTING</t>
        </is>
      </c>
      <c r="C21" t="inlineStr">
        <is>
          <t>Nóminas</t>
        </is>
      </c>
      <c r="D21" t="inlineStr">
        <is>
          <t>expenses/opex/staff</t>
        </is>
      </c>
      <c r="E21" t="inlineStr">
        <is>
          <t>Monthly payroll management for SL</t>
        </is>
      </c>
    </row>
    <row r="22" ht="12" customHeight="1">
      <c r="A22" t="inlineStr">
        <is>
          <t>ADOBE</t>
        </is>
      </c>
      <c r="B22" t="inlineStr">
        <is>
          <t>ADOBE</t>
        </is>
      </c>
      <c r="C22" t="inlineStr">
        <is>
          <t>ADOBE</t>
        </is>
      </c>
      <c r="D22" t="inlineStr">
        <is>
          <t>expenses/opex/technology</t>
        </is>
      </c>
      <c r="E22" t="inlineStr"/>
    </row>
    <row r="23" ht="12" customHeight="1">
      <c r="A23" t="inlineStr">
        <is>
          <t>CANVA</t>
        </is>
      </c>
      <c r="B23" t="inlineStr">
        <is>
          <t>CANVA</t>
        </is>
      </c>
      <c r="C23" t="inlineStr">
        <is>
          <t>canva</t>
        </is>
      </c>
      <c r="D23" t="inlineStr">
        <is>
          <t>expenses/opex/technology</t>
        </is>
      </c>
      <c r="E23" t="inlineStr"/>
    </row>
    <row r="24" ht="12" customHeight="1">
      <c r="A24" t="inlineStr">
        <is>
          <t>GODADDY</t>
        </is>
      </c>
      <c r="B24" t="inlineStr">
        <is>
          <t>GODADDY</t>
        </is>
      </c>
      <c r="C24" t="inlineStr">
        <is>
          <t>godaddy</t>
        </is>
      </c>
      <c r="D24" t="inlineStr">
        <is>
          <t>expenses/opex/technology</t>
        </is>
      </c>
      <c r="E24" t="inlineStr"/>
    </row>
    <row r="25" ht="12" customHeight="1">
      <c r="A25" t="inlineStr">
        <is>
          <t>GOOGLEWORKSPACE</t>
        </is>
      </c>
      <c r="B25" t="inlineStr">
        <is>
          <t>GOOGLEWORKSPACE</t>
        </is>
      </c>
      <c r="C25" t="inlineStr">
        <is>
          <t>Google</t>
        </is>
      </c>
      <c r="D25" t="inlineStr">
        <is>
          <t>expenses/opex/technology</t>
        </is>
      </c>
      <c r="E25" t="inlineStr"/>
    </row>
    <row r="26" ht="12" customHeight="1">
      <c r="A26" t="inlineStr">
        <is>
          <t>GORGIAS</t>
        </is>
      </c>
      <c r="B26" t="inlineStr">
        <is>
          <t>GORGIAS</t>
        </is>
      </c>
      <c r="C26" t="inlineStr">
        <is>
          <t>Gorgias</t>
        </is>
      </c>
      <c r="D26" t="inlineStr">
        <is>
          <t>expenses/opex/technology</t>
        </is>
      </c>
      <c r="E26" t="inlineStr"/>
    </row>
    <row r="27" ht="12" customHeight="1">
      <c r="A27" t="inlineStr">
        <is>
          <t>HETZNER</t>
        </is>
      </c>
      <c r="B27" t="inlineStr">
        <is>
          <t>HETZNER</t>
        </is>
      </c>
      <c r="C27" t="inlineStr">
        <is>
          <t>HETZNER</t>
        </is>
      </c>
      <c r="D27" t="inlineStr">
        <is>
          <t>expenses/opex/technology</t>
        </is>
      </c>
      <c r="E27" t="inlineStr"/>
    </row>
    <row r="28" ht="12" customHeight="1">
      <c r="A28" t="inlineStr">
        <is>
          <t>KONVOAI</t>
        </is>
      </c>
      <c r="B28" t="inlineStr">
        <is>
          <t>KONVOAI</t>
        </is>
      </c>
      <c r="C28" t="inlineStr">
        <is>
          <t>konvo</t>
        </is>
      </c>
      <c r="D28" t="inlineStr">
        <is>
          <t>expenses/opex/technology</t>
        </is>
      </c>
      <c r="E28" t="inlineStr"/>
    </row>
    <row r="29" ht="12" customHeight="1">
      <c r="A29" t="inlineStr">
        <is>
          <t>MASMOVIL</t>
        </is>
      </c>
      <c r="B29" t="inlineStr">
        <is>
          <t>MASMOVIL</t>
        </is>
      </c>
      <c r="C29" t="inlineStr">
        <is>
          <t>mas movil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MICROSOFT</t>
        </is>
      </c>
      <c r="B30" t="inlineStr">
        <is>
          <t>MICROSOFT</t>
        </is>
      </c>
      <c r="C30" t="inlineStr">
        <is>
          <t>MICROSOFT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OPENAI</t>
        </is>
      </c>
      <c r="B31" t="inlineStr">
        <is>
          <t>OPENAI</t>
        </is>
      </c>
      <c r="C31" t="inlineStr">
        <is>
          <t>chatgpt</t>
        </is>
      </c>
      <c r="D31" t="inlineStr">
        <is>
          <t>expenses/opex/technology</t>
        </is>
      </c>
      <c r="E31" t="inlineStr">
        <is>
          <t>Groups ChatGPT and API</t>
        </is>
      </c>
    </row>
    <row r="32" ht="12" customHeight="1">
      <c r="A32" t="inlineStr">
        <is>
          <t>PRODUCTHERO</t>
        </is>
      </c>
      <c r="B32" t="inlineStr">
        <is>
          <t>PRODUCTHERO</t>
        </is>
      </c>
      <c r="C32" t="inlineStr">
        <is>
          <t>ProductHERO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RAILWAY</t>
        </is>
      </c>
      <c r="B33" t="inlineStr">
        <is>
          <t>RAILWAY</t>
        </is>
      </c>
      <c r="C33" t="inlineStr">
        <is>
          <t>RAILWAY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REVER</t>
        </is>
      </c>
      <c r="B34" t="inlineStr">
        <is>
          <t>REVER</t>
        </is>
      </c>
      <c r="C34" t="inlineStr">
        <is>
          <t>REVER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SHOPIFY</t>
        </is>
      </c>
      <c r="B35" t="inlineStr">
        <is>
          <t>SHOPIFY</t>
        </is>
      </c>
      <c r="C35" t="inlineStr">
        <is>
          <t>Shopify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YUMAAI</t>
        </is>
      </c>
      <c r="B36" t="inlineStr">
        <is>
          <t>YUMAAI</t>
        </is>
      </c>
      <c r="C36" t="inlineStr">
        <is>
          <t>YUMA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LIVITUM</t>
        </is>
      </c>
      <c r="B37" t="inlineStr">
        <is>
          <t>LIVITUM</t>
        </is>
      </c>
      <c r="C37" t="inlineStr">
        <is>
          <t>709. Rappels</t>
        </is>
      </c>
      <c r="D37" t="inlineStr">
        <is>
          <t>income/other_income/rappels</t>
        </is>
      </c>
      <c r="E37" t="inlineStr">
        <is>
          <t>Rappel issued to Livitum</t>
        </is>
      </c>
    </row>
    <row r="38" ht="12" customHeight="1">
      <c r="A38" t="inlineStr">
        <is>
          <t>CHOOSE</t>
        </is>
      </c>
      <c r="B38" t="inlineStr">
        <is>
          <t>CHOOSE</t>
        </is>
      </c>
      <c r="C38" t="inlineStr">
        <is>
          <t>CHOOSE</t>
        </is>
      </c>
      <c r="D38" t="inlineStr">
        <is>
          <t>income/sales/marketplaces</t>
        </is>
      </c>
      <c r="E38" t="inlineStr">
        <is>
          <t>Outgoing partner invoice</t>
        </is>
      </c>
    </row>
    <row r="39" ht="12" customHeight="1">
      <c r="A39" t="inlineStr">
        <is>
          <t>TOASTY</t>
        </is>
      </c>
      <c r="B39" t="inlineStr">
        <is>
          <t>TOASTY</t>
        </is>
      </c>
      <c r="C39" t="inlineStr">
        <is>
          <t>TOASTY</t>
        </is>
      </c>
      <c r="D39" t="inlineStr">
        <is>
          <t>income/sales/marketplaces</t>
        </is>
      </c>
      <c r="E39" t="inlineStr">
        <is>
          <t>Outgoing partner invoice</t>
        </is>
      </c>
    </row>
    <row r="40" ht="12" customHeight="1">
      <c r="A40" t="inlineStr">
        <is>
          <t>QHANDS</t>
        </is>
      </c>
      <c r="B40" t="inlineStr">
        <is>
          <t>QHANDS</t>
        </is>
      </c>
      <c r="C40" t="inlineStr">
        <is>
          <t>QHANDS</t>
        </is>
      </c>
      <c r="D40" t="inlineStr">
        <is>
          <t>income/shared-services</t>
        </is>
      </c>
      <c r="E40" t="inlineStr">
        <is>
          <t>Outgoing CNC rental invoice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2026-03-23T08:23:57Z</dcterms:created>
  <dcterms:modified xsi:type="dcterms:W3CDTF">2026-03-23T08:23:57Z</dcterms:modified>
</cp:coreProperties>
</file>