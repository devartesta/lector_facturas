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SRHb07OiC_DmTMCjAnZJpaif5amIl7Fl/view?usp=drivesdk" TargetMode="External" Id="rId1" /><Relationship Type="http://schemas.openxmlformats.org/officeDocument/2006/relationships/hyperlink" Target="https://drive.google.com/file/d/1CmAISLBvUVe78NnGfNvevigmLiHzSEsg/view?usp=drivesdk" TargetMode="External" Id="rId2" /><Relationship Type="http://schemas.openxmlformats.org/officeDocument/2006/relationships/hyperlink" Target="https://drive.google.com/file/d/1Caf6SbLhjNsliYTmwyaOj9tn_dQke6Ff/view?usp=drivesdk" TargetMode="External" Id="rId3" /><Relationship Type="http://schemas.openxmlformats.org/officeDocument/2006/relationships/hyperlink" Target="https://drive.google.com/file/d/18nd9g2717srK8fdaeAjNuV-HtW9zUU3A/view?usp=drivesdk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TatcT909r9lQss48nnCsBt5kjo76SoJK/view?usp=drivesdk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1fcDMocaa4cpTPjITHzeqYj2_zqO3NWYG/view?usp=drivesdk" TargetMode="External" Id="rId1" /><Relationship Type="http://schemas.openxmlformats.org/officeDocument/2006/relationships/hyperlink" Target="https://drive.google.com/file/d/1JrhdQBAxThJrJre0y6m_O_546LXVrueL/view?usp=drivesdk" TargetMode="External" Id="rId2" /><Relationship Type="http://schemas.openxmlformats.org/officeDocument/2006/relationships/hyperlink" Target="https://drive.google.com/file/d/1P7U8R2vW7HJBpC4dFcTfQ6Fl5v7lZf-T/view?usp=drivesdk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ZNEswgq6fNRQmQBRT6GcjgdY_sepQuvN/view?usp=drivesdk" TargetMode="External" Id="rId1" /><Relationship Type="http://schemas.openxmlformats.org/officeDocument/2006/relationships/hyperlink" Target="https://drive.google.com/file/d/1NSgOhocDqu_GBFUbkAHX1ly92CIuLykN/view?usp=drivesdk" TargetMode="External" Id="rId2" /><Relationship Type="http://schemas.openxmlformats.org/officeDocument/2006/relationships/hyperlink" Target="https://drive.google.com/file/d/1f0y-ak8qjEua6xrzfcweFpWZqOtA8h9C/view?usp=drivesdk" TargetMode="External" Id="rId3" /><Relationship Type="http://schemas.openxmlformats.org/officeDocument/2006/relationships/hyperlink" Target="https://drive.google.com/file/d/1DVbcrKI34TY_XRmPCWYxFfktOzy1Bqmr/view?usp=drivesdk" TargetMode="External" Id="rId4" /><Relationship Type="http://schemas.openxmlformats.org/officeDocument/2006/relationships/hyperlink" Target="https://drive.google.com/file/d/1il-dTsdyMbUZFKcN_lnqoNWLpAFjKN7A/view?usp=drivesdk" TargetMode="External" Id="rId5" /><Relationship Type="http://schemas.openxmlformats.org/officeDocument/2006/relationships/hyperlink" Target="https://drive.google.com/file/d/1rlqcAuJUaWxt0Udjbpq3E6fP_lfRq58_/view?usp=drivesdk" TargetMode="External" Id="rId6" /><Relationship Type="http://schemas.openxmlformats.org/officeDocument/2006/relationships/hyperlink" Target="https://drive.google.com/file/d/1pNRISEZAlDdg2kXsh98mNhDndQFk42mV/view?usp=drivesdk" TargetMode="External" Id="rId7" /><Relationship Type="http://schemas.openxmlformats.org/officeDocument/2006/relationships/hyperlink" Target="https://drive.google.com/file/d/1m_ONfUFq-mhxCI2SVs0iWw4Ss3ohvEPU/view?usp=drivesdk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file/d/1ih8AMHNM7ZQvhfJOhpZ3dpM0Bv3oyAA-/view?usp=drivesdk" TargetMode="External" Id="rId1" /><Relationship Type="http://schemas.openxmlformats.org/officeDocument/2006/relationships/hyperlink" Target="https://drive.google.com/file/d/1nql7QpcMxbeNk-s_Ku_8yFOrf0x8QVss/view?usp=drivesdk" TargetMode="External" Id="rId2" /><Relationship Type="http://schemas.openxmlformats.org/officeDocument/2006/relationships/hyperlink" Target="https://drive.google.com/file/d/1bfLhUT5wi1Zga5-YKV-y_tFqtaYvhqG_/view?usp=drivesdk" TargetMode="External" Id="rId3" /><Relationship Type="http://schemas.openxmlformats.org/officeDocument/2006/relationships/hyperlink" Target="https://drive.google.com/file/d/1R3F1S4DkkMdWjQCije5h6JcXrv2oanjz/view?usp=drivesdk" TargetMode="External" Id="rId4" /><Relationship Type="http://schemas.openxmlformats.org/officeDocument/2006/relationships/hyperlink" Target="https://drive.google.com/file/d/1WUqPHPgca1EQI6FEQ45b4g1OBJLlBFy7/view?usp=drivesdk" TargetMode="External" Id="rId5" /><Relationship Type="http://schemas.openxmlformats.org/officeDocument/2006/relationships/hyperlink" Target="https://drive.google.com/file/d/1HSHnKuD3wT5VaYKRyqQtc1Kn3jvbtI5z/view?usp=drivesdk" TargetMode="External" Id="rId6" /><Relationship Type="http://schemas.openxmlformats.org/officeDocument/2006/relationships/hyperlink" Target="https://drive.google.com/file/d/1QiOFa-Pu55ImYk1EgtLQ-1AJeKteGKKN/view?usp=drivesdk" TargetMode="External" Id="rId7" /><Relationship Type="http://schemas.openxmlformats.org/officeDocument/2006/relationships/hyperlink" Target="https://drive.google.com/file/d/1Nv_kf16K0jbiVtLvDOdsF2s81ubDK86-/view?usp=drivesdk" TargetMode="External" Id="rId8" /><Relationship Type="http://schemas.openxmlformats.org/officeDocument/2006/relationships/hyperlink" Target="https://drive.google.com/file/d/1F1T1ZbmwTiAvZymdmK5UN5ILkYzAcyjE/view?usp=drivesdk" TargetMode="External" Id="rId9" /><Relationship Type="http://schemas.openxmlformats.org/officeDocument/2006/relationships/hyperlink" Target="https://drive.google.com/file/d/1sZGtXApoakTTNvLB9pud8pMEBdr3FgDZ/view?usp=drivesdk" TargetMode="External" Id="rId10" /><Relationship Type="http://schemas.openxmlformats.org/officeDocument/2006/relationships/hyperlink" Target="https://drive.google.com/file/d/13rt7yQ8sQuRvlpYE9WCitcMHEZMp3m_O/view?usp=drivesdk" TargetMode="External" Id="rId11" /><Relationship Type="http://schemas.openxmlformats.org/officeDocument/2006/relationships/hyperlink" Target="https://drive.google.com/file/d/19fXXs3bT9JRPi6FOU7JWx3Antd-__jQl/view?usp=drivesdk" TargetMode="External" Id="rId12" /><Relationship Type="http://schemas.openxmlformats.org/officeDocument/2006/relationships/hyperlink" Target="https://drive.google.com/file/d/1CyeswzB650BIBblZ0j3XZapFNejIKlS7/view?usp=drivesdk" TargetMode="External" Id="rId13" /><Relationship Type="http://schemas.openxmlformats.org/officeDocument/2006/relationships/hyperlink" Target="https://drive.google.com/file/d/1bFtmiVMoUJHrjmSz3_aAWbUn5HmF4v7t/view?usp=drivesdk" TargetMode="External" Id="rId14" /><Relationship Type="http://schemas.openxmlformats.org/officeDocument/2006/relationships/hyperlink" Target="https://drive.google.com/file/d/1KknDEkSlyPD0Pdkhf322Awt1eAP1q8Gk/view?usp=drivesdk" TargetMode="External" Id="rId15" /><Relationship Type="http://schemas.openxmlformats.org/officeDocument/2006/relationships/hyperlink" Target="https://drive.google.com/file/d/1RtCS-MVwMjJZx5mk-fbeVnp34j-MJNaK/view?usp=drivesdk" TargetMode="External" Id="rId16" /><Relationship Type="http://schemas.openxmlformats.org/officeDocument/2006/relationships/hyperlink" Target="https://drive.google.com/file/d/1Gm9gJDGHIBXQ_WXv2YkF4lyQ6EIMS-DA/view?usp=drivesdk" TargetMode="External" Id="rId17" /><Relationship Type="http://schemas.openxmlformats.org/officeDocument/2006/relationships/hyperlink" Target="https://drive.google.com/file/d/1wr9Nejy--4BUDpyg8riD4WzBFOQ_RYAA/view?usp=drivesdk" TargetMode="External" Id="rId18" /><Relationship Type="http://schemas.openxmlformats.org/officeDocument/2006/relationships/hyperlink" Target="https://drive.google.com/file/d/18pxQbj0cm3VVE381utczsaBPUOMg2_rE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8pxQbj0cm3VVE381utczsaBPUOMg2_rE/view?usp=drivesdk" TargetMode="External" Id="rId21" /><Relationship Type="http://schemas.openxmlformats.org/officeDocument/2006/relationships/hyperlink" Target="https://drive.google.com/file/d/1iux2hxJTx8pApkdRTQ8TxrWAycKskSLW/view?usp=drivesdk" TargetMode="External" Id="rId22" /><Relationship Type="http://schemas.openxmlformats.org/officeDocument/2006/relationships/hyperlink" Target="https://drive.google.com/file/d/1cCVWMZjXH5GZ4KJ7Owu69neJD3Mu8nhQ/view?usp=drivesdk" TargetMode="External" Id="rId23" /><Relationship Type="http://schemas.openxmlformats.org/officeDocument/2006/relationships/hyperlink" Target="https://drive.google.com/file/d/1mtjFeFve-rSAPTA0bq7zwh6FvresB1tx/view?usp=drivesdk" TargetMode="External" Id="rId24" /><Relationship Type="http://schemas.openxmlformats.org/officeDocument/2006/relationships/hyperlink" Target="https://drive.google.com/file/d/1FvjQkV9yZwLwYyh31yDEv4r6Ws9x-Gee/view?usp=drivesdk" TargetMode="External" Id="rId25" /><Relationship Type="http://schemas.openxmlformats.org/officeDocument/2006/relationships/hyperlink" Target="https://drive.google.com/file/d/1saa91nUMC9fiC166aUrnROE5ZHw8d_r6/view?usp=drivesdk" TargetMode="External" Id="rId26" /><Relationship Type="http://schemas.openxmlformats.org/officeDocument/2006/relationships/hyperlink" Target="https://drive.google.com/file/d/1Dqpxqnn8K6M513jJX6b-_iaNJoHc9CRf/view?usp=drivesdk" TargetMode="External" Id="rId27" /><Relationship Type="http://schemas.openxmlformats.org/officeDocument/2006/relationships/hyperlink" Target="https://drive.google.com/file/d/18umjaalA1qWOFkhllNu22AbrnmcOGohV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8umjaalA1qWOFkhllNu22AbrnmcOGohV/view?usp=drivesdk" TargetMode="External" Id="rId30" /><Relationship Type="http://schemas.openxmlformats.org/officeDocument/2006/relationships/hyperlink" Target="https://drive.google.com/file/d/1YkkVd0CygsXrJ-x-3pub1Sw9g6ZsG1la/view?usp=drivesdk" TargetMode="External" Id="rId31" /><Relationship Type="http://schemas.openxmlformats.org/officeDocument/2006/relationships/hyperlink" Target="https://drive.google.com/file/d/1c_a7u0uC_WNkVQzPENEHHzZf2GoRgYzp/view?usp=drivesdk" TargetMode="External" Id="rId32" /><Relationship Type="http://schemas.openxmlformats.org/officeDocument/2006/relationships/hyperlink" Target="https://drive.google.com/file/d/1Z8crn0ZC5tm2cibuFjiaNGAUQ32eDz4H/view?usp=drivesdk" TargetMode="External" Id="rId33" /><Relationship Type="http://schemas.openxmlformats.org/officeDocument/2006/relationships/hyperlink" Target="https://drive.google.com/file/d/1OUc0Fa83_INuKCsZQC_juJA8WSWOmU7e/view?usp=drivesdk" TargetMode="External" Id="rId34" /><Relationship Type="http://schemas.openxmlformats.org/officeDocument/2006/relationships/hyperlink" Target="https://drive.google.com/file/d/14DyM0O39wOTD_wOQwkZ2nqk44A4Xr0Pd/view?usp=drivesdk" TargetMode="External" Id="rId35" /><Relationship Type="http://schemas.openxmlformats.org/officeDocument/2006/relationships/hyperlink" Target="https://drive.google.com/file/d/1MOlMl6uaY6n-XUO8ZDVih0oyxqYCdtvw/view?usp=drivesdk" TargetMode="External" Id="rId36" /><Relationship Type="http://schemas.openxmlformats.org/officeDocument/2006/relationships/hyperlink" Target="https://drive.google.com/file/d/15PYo6Nf9Rs0V66jula2uxmSQ1q_sREm9/view?usp=drivesdk" TargetMode="External" Id="rId37" /><Relationship Type="http://schemas.openxmlformats.org/officeDocument/2006/relationships/hyperlink" Target="https://drive.google.com/file/d/1xcXRJuhK0s-9Giwr-lbqS68FlhkSzTWB/view?usp=drivesdk" TargetMode="External" Id="rId38" /><Relationship Type="http://schemas.openxmlformats.org/officeDocument/2006/relationships/hyperlink" Target="https://drive.google.com/file/d/1VbeIR7bk7enIlMQGnI8ZlR-KDaMoHDKn/view?usp=drivesdk" TargetMode="External" Id="rId39" /><Relationship Type="http://schemas.openxmlformats.org/officeDocument/2006/relationships/hyperlink" Target="https://drive.google.com/file/d/1PKaZMRQ1ZsO4JALcKcucZLVdRyUxpOON/view?usp=drivesdk" TargetMode="External" Id="rId40" /><Relationship Type="http://schemas.openxmlformats.org/officeDocument/2006/relationships/hyperlink" Target="https://drive.google.com/file/d/1j2ya4FHybtMpbOwe_dwCTFuK0BuXysGa/view?usp=drivesdk" TargetMode="External" Id="rId41" /><Relationship Type="http://schemas.openxmlformats.org/officeDocument/2006/relationships/hyperlink" Target="https://drive.google.com/file/d/1zXVkELtv1Sfm3Hs-3PVSAH4pEWbvWaOX/view?usp=drivesdk" TargetMode="External" Id="rId42" /><Relationship Type="http://schemas.openxmlformats.org/officeDocument/2006/relationships/hyperlink" Target="https://drive.google.com/file/d/1icRXW3dXluuRK-dzvuDcN-maR8sKfRW3/view?usp=drivesdk" TargetMode="External" Id="rId43" /><Relationship Type="http://schemas.openxmlformats.org/officeDocument/2006/relationships/hyperlink" Target="https://drive.google.com/file/d/148ysN83vJtMLS2_lbKu7r5cH1NMHbVNL/view?usp=drivesdk" TargetMode="External" Id="rId44" /><Relationship Type="http://schemas.openxmlformats.org/officeDocument/2006/relationships/hyperlink" Target="https://drive.google.com/file/d/1P3C1c_Df7dkPtnnAevEEMApNVP550O_O/view?usp=drivesdk" TargetMode="External" Id="rId45" /><Relationship Type="http://schemas.openxmlformats.org/officeDocument/2006/relationships/hyperlink" Target="https://drive.google.com/file/d/1I3WwwPF0JqyQdA18mDR4k4jmM8MZ-34b/view?usp=drivesdk" TargetMode="External" Id="rId46" /><Relationship Type="http://schemas.openxmlformats.org/officeDocument/2006/relationships/hyperlink" Target="https://drive.google.com/file/d/1iayAhp3nvlv4ajwf9Cp6C3s4OQi-rpMN/view?usp=drivesdk" TargetMode="External" Id="rId47" /><Relationship Type="http://schemas.openxmlformats.org/officeDocument/2006/relationships/hyperlink" Target="https://drive.google.com/file/d/11mh2NdZI0VULVE09eg0fTaW_8G7fyWkg/view?usp=drivesdk" TargetMode="External" Id="rId48" /><Relationship Type="http://schemas.openxmlformats.org/officeDocument/2006/relationships/hyperlink" Target="https://drive.google.com/file/d/1Hk8kIqp-95Akk1GsQde0mmkisvp1vUic/view?usp=drivesdk" TargetMode="External" Id="rId49" /><Relationship Type="http://schemas.openxmlformats.org/officeDocument/2006/relationships/hyperlink" Target="https://drive.google.com/file/d/1p1JLbXly83gPcOqdBiZfX0WvuqP5ZBhv/view?usp=drivesdk" TargetMode="External" Id="rId50" /><Relationship Type="http://schemas.openxmlformats.org/officeDocument/2006/relationships/hyperlink" Target="https://drive.google.com/file/d/1rom4VLbflbUgw0GzIGfwfWAceAGqsDve/view?usp=drivesdk" TargetMode="External" Id="rId51" /><Relationship Type="http://schemas.openxmlformats.org/officeDocument/2006/relationships/hyperlink" Target="https://drive.google.com/file/d/1la8-DKsyw-txh4_Z2nzrkJVhivR6U6M2/view?usp=drivesdk" TargetMode="External" Id="rId52" /><Relationship Type="http://schemas.openxmlformats.org/officeDocument/2006/relationships/hyperlink" Target="https://drive.google.com/file/d/1CkpniiuuecmyeP38MmkWhzUPj8iF7tyN/view?usp=drivesdk" TargetMode="External" Id="rId53" /><Relationship Type="http://schemas.openxmlformats.org/officeDocument/2006/relationships/hyperlink" Target="https://drive.google.com/file/d/1U-mcMTxSs8WKlovQ9_HAwLEU39hou9sQ/view?usp=drivesdk" TargetMode="External" Id="rId54" /><Relationship Type="http://schemas.openxmlformats.org/officeDocument/2006/relationships/hyperlink" Target="https://drive.google.com/file/d/1i1KIDpqSuLOk5KfVZf0GwoQN3ddbzHi4/view?usp=drivesdk" TargetMode="External" Id="rId55" /><Relationship Type="http://schemas.openxmlformats.org/officeDocument/2006/relationships/hyperlink" Target="https://drive.google.com/file/d/1aVT0Kp1FXhiwKuldPvpR5jmS_HrroAcz/view?usp=drivesdk" TargetMode="External" Id="rId56" /><Relationship Type="http://schemas.openxmlformats.org/officeDocument/2006/relationships/hyperlink" Target="https://drive.google.com/file/d/1c3rAE8MZ72DBnTA6LZZqeHMMgZkJtDwC/view?usp=drivesdk" TargetMode="External" Id="rId57" /><Relationship Type="http://schemas.openxmlformats.org/officeDocument/2006/relationships/hyperlink" Target="https://drive.google.com/file/d/1hZiPKVEudy0sryGytMftZTSO75OBheV_/view?usp=drivesdk" TargetMode="External" Id="rId58" /><Relationship Type="http://schemas.openxmlformats.org/officeDocument/2006/relationships/hyperlink" Target="https://drive.google.com/file/d/1aXemXVZg0sBlWBgHV0_QAg0jVjv1bksN/view?usp=drivesdk" TargetMode="External" Id="rId59" /><Relationship Type="http://schemas.openxmlformats.org/officeDocument/2006/relationships/hyperlink" Target="https://drive.google.com/file/d/1vWJy2P4bu0ZZHbeutrY9ydZYIScfPKex/view?usp=drivesdk" TargetMode="External" Id="rId60" /><Relationship Type="http://schemas.openxmlformats.org/officeDocument/2006/relationships/hyperlink" Target="https://drive.google.com/file/d/1OPWZpghAzzfVFLFx4iBRHO4-0daxuz20/view?usp=drivesdk" TargetMode="External" Id="rId61" /><Relationship Type="http://schemas.openxmlformats.org/officeDocument/2006/relationships/hyperlink" Target="https://drive.google.com/file/d/1dEu5a12XOSJxoPOd8AIxLplDtcRjC5z9/view?usp=drivesdk" TargetMode="External" Id="rId62" /><Relationship Type="http://schemas.openxmlformats.org/officeDocument/2006/relationships/hyperlink" Target="https://drive.google.com/file/d/1wkA555zHmi_P1F3K0yzi2R1ybg40M_IH/view?usp=drivesdk" TargetMode="External" Id="rId63" /><Relationship Type="http://schemas.openxmlformats.org/officeDocument/2006/relationships/hyperlink" Target="https://drive.google.com/file/d/1Bu6kn877nOS0BSzL7ECg9Z62seXoHaCe/view?usp=drivesdk" TargetMode="External" Id="rId64" /><Relationship Type="http://schemas.openxmlformats.org/officeDocument/2006/relationships/hyperlink" Target="https://drive.google.com/file/d/1eD4nKiQgwGYnGZ5fv7hh4V3unZ6MIKqH/view?usp=drivesdk" TargetMode="External" Id="rId65" /><Relationship Type="http://schemas.openxmlformats.org/officeDocument/2006/relationships/hyperlink" Target="https://drive.google.com/file/d/1H2ikEjq_KT22RCYpKdLTU6AyxE-eiIW-/view?usp=drivesdk" TargetMode="External" Id="rId66" /><Relationship Type="http://schemas.openxmlformats.org/officeDocument/2006/relationships/hyperlink" Target="https://drive.google.com/file/d/1YrSUC_u5-Y5IQ7Aslne-0xU3mQfg3jDp/view?usp=drivesdk" TargetMode="External" Id="rId67" /><Relationship Type="http://schemas.openxmlformats.org/officeDocument/2006/relationships/hyperlink" Target="https://drive.google.com/file/d/109-KgtoaX4vV_BNFkqOESzhRasVQ1S_Q/view?usp=drivesdk" TargetMode="External" Id="rId68" /><Relationship Type="http://schemas.openxmlformats.org/officeDocument/2006/relationships/hyperlink" Target="https://drive.google.com/file/d/1KY46ho8xsJpWU6Q3w32ZWRQ8btywV8Ax/view?usp=drivesdk" TargetMode="External" Id="rId69" /><Relationship Type="http://schemas.openxmlformats.org/officeDocument/2006/relationships/hyperlink" Target="https://drive.google.com/file/d/192ghVBMKOyFtFrKk5lPoccixcsZlK4GH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92ghVBMKOyFtFrKk5lPoccixcsZlK4GH/view?usp=drivesdk" TargetMode="External" Id="rId72" /><Relationship Type="http://schemas.openxmlformats.org/officeDocument/2006/relationships/hyperlink" Target="https://drive.google.com/file/d/1_odcqxdXxEYZNzgQx5UzslhIG3hh5krH/view?usp=drivesdk" TargetMode="External" Id="rId73" /><Relationship Type="http://schemas.openxmlformats.org/officeDocument/2006/relationships/hyperlink" Target="https://drive.google.com/file/d/1tAciOjLJ3-E_udDrY3cL0A7b-CfOvIlm/view?usp=drivesdk" TargetMode="External" Id="rId74" /><Relationship Type="http://schemas.openxmlformats.org/officeDocument/2006/relationships/hyperlink" Target="https://drive.google.com/file/d/1FAnrtU5R53FcPCbpc94bYjpEq0clb5Pm/view?usp=drivesdk" TargetMode="External" Id="rId75" /><Relationship Type="http://schemas.openxmlformats.org/officeDocument/2006/relationships/hyperlink" Target="https://drive.google.com/file/d/1E8JfN7YXvjRIfPjaLKj_8zJSQJ-990YT/view?usp=drivesdk" TargetMode="External" Id="rId76" /><Relationship Type="http://schemas.openxmlformats.org/officeDocument/2006/relationships/hyperlink" Target="https://drive.google.com/file/d/1r2Hw0N7VZ6vvloF4IqY4SxfuvX_2VozE/view?usp=drivesdk" TargetMode="External" Id="rId77" /><Relationship Type="http://schemas.openxmlformats.org/officeDocument/2006/relationships/hyperlink" Target="https://drive.google.com/file/d/1PRJ__aaxThVGTbIcvHAJI7pgUFchpvsa/view?usp=drivesdk" TargetMode="External" Id="rId78" /><Relationship Type="http://schemas.openxmlformats.org/officeDocument/2006/relationships/hyperlink" Target="https://drive.google.com/file/d/1HgIvIqgrCSyQY0-INtfhp-GPqb5Et1eA/view?usp=drivesdk" TargetMode="External" Id="rId79" /><Relationship Type="http://schemas.openxmlformats.org/officeDocument/2006/relationships/hyperlink" Target="https://drive.google.com/file/d/1bMdMTYSXLytnvUKxINvo3C-fdr43SmgJ/view?usp=drivesdk" TargetMode="External" Id="rId80" /><Relationship Type="http://schemas.openxmlformats.org/officeDocument/2006/relationships/hyperlink" Target="https://drive.google.com/file/d/1n2bq_tMI3rNE2XsFpxvWnwo1ZZV6_K21/view?usp=drivesdk" TargetMode="External" Id="rId81" /><Relationship Type="http://schemas.openxmlformats.org/officeDocument/2006/relationships/hyperlink" Target="https://drive.google.com/file/d/1Mbfxr1V40xsgbj8F0soExM05QND6zjoa/view?usp=drivesdk" TargetMode="External" Id="rId82" /><Relationship Type="http://schemas.openxmlformats.org/officeDocument/2006/relationships/hyperlink" Target="https://drive.google.com/file/d/1WOvzAAmEygTW3UfGCE2EpvFGcNYl4yVq/view?usp=drivesdk" TargetMode="External" Id="rId83" /><Relationship Type="http://schemas.openxmlformats.org/officeDocument/2006/relationships/hyperlink" Target="https://drive.google.com/file/d/1fDDyyoah7JlWMHXzqFDIqm2howZDBJM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fDDyyoah7JlWMHXzqFDIqm2howZDBJMq/view?usp=drivesdk" TargetMode="External" Id="rId86" /><Relationship Type="http://schemas.openxmlformats.org/officeDocument/2006/relationships/hyperlink" Target="https://drive.google.com/file/d/1IS2fSxolw6pxcI9vC65EJRYlFK7zyUTY/view?usp=drivesdk" TargetMode="External" Id="rId87" /><Relationship Type="http://schemas.openxmlformats.org/officeDocument/2006/relationships/hyperlink" Target="https://drive.google.com/file/d/1bbYR8-vHGj7nUKVcEnARnepPzYzNIFVw/view?usp=drivesdk" TargetMode="External" Id="rId88" /><Relationship Type="http://schemas.openxmlformats.org/officeDocument/2006/relationships/hyperlink" Target="https://drive.google.com/file/d/1s-Ni6ccpvcuZUGwwhFepiSbUNzPwXVDG/view?usp=drivesdk" TargetMode="External" Id="rId89" /><Relationship Type="http://schemas.openxmlformats.org/officeDocument/2006/relationships/hyperlink" Target="https://drive.google.com/file/d/1j0GTnf9iA8T0YG7zocdvmE1v-yFf-dmk/view?usp=drivesdk" TargetMode="External" Id="rId90" /><Relationship Type="http://schemas.openxmlformats.org/officeDocument/2006/relationships/hyperlink" Target="https://drive.google.com/file/d/1kgfYW187O8CHpqvovwje1T5Vb0O1df6d/view?usp=drivesdk" TargetMode="External" Id="rId91" /><Relationship Type="http://schemas.openxmlformats.org/officeDocument/2006/relationships/hyperlink" Target="https://drive.google.com/file/d/1ylJiskEHkRFsuhK4EXI9Mv5Hk31tTSeX/view?usp=drivesdk" TargetMode="External" Id="rId92" /><Relationship Type="http://schemas.openxmlformats.org/officeDocument/2006/relationships/hyperlink" Target="https://drive.google.com/file/d/1Ht3FP9y_KBG3F1Wui0f7dj36Nz4gORY9/view?usp=drivesdk" TargetMode="External" Id="rId93" /><Relationship Type="http://schemas.openxmlformats.org/officeDocument/2006/relationships/hyperlink" Target="https://drive.google.com/file/d/1axe5iqNHDnZKEyTVyAhJ5hBtI1BR5ejL/view?usp=drivesdk" TargetMode="External" Id="rId94" /><Relationship Type="http://schemas.openxmlformats.org/officeDocument/2006/relationships/hyperlink" Target="https://drive.google.com/file/d/1D3oOwMbnoMx_ZwdzSUQ07lRdDelVCXX6/view?usp=drivesdk" TargetMode="External" Id="rId95" /><Relationship Type="http://schemas.openxmlformats.org/officeDocument/2006/relationships/hyperlink" Target="https://drive.google.com/file/d/1FNZalAzXj8a7ZNUt2CefEIFu_sLZ6iOY/view?usp=drivesdk" TargetMode="External" Id="rId96" /><Relationship Type="http://schemas.openxmlformats.org/officeDocument/2006/relationships/hyperlink" Target="https://drive.google.com/file/d/1ryYPmeaeN0WBdXxhk4O9pmdF4BlNsACt/view?usp=drivesdk" TargetMode="External" Id="rId97" /><Relationship Type="http://schemas.openxmlformats.org/officeDocument/2006/relationships/hyperlink" Target="https://drive.google.com/file/d/1FyBHZEA9qWMwRhMfdTuL7ySwcplaqQc2/view?usp=drivesdk" TargetMode="External" Id="rId98" /><Relationship Type="http://schemas.openxmlformats.org/officeDocument/2006/relationships/hyperlink" Target="https://drive.google.com/file/d/1iPkhcnUQ6IlOI2t9Y4lt6fcN9NoE8559/view?usp=drivesdk" TargetMode="External" Id="rId99" /><Relationship Type="http://schemas.openxmlformats.org/officeDocument/2006/relationships/hyperlink" Target="https://drive.google.com/file/d/1nrrH_8TfwdiHGNLlFgfu6hEx8mBDTA67/view?usp=drivesdk" TargetMode="External" Id="rId100" /><Relationship Type="http://schemas.openxmlformats.org/officeDocument/2006/relationships/hyperlink" Target="https://drive.google.com/file/d/1Lq08NNbxsMBp7B7MMjUiEknDIr3kxPc0/view?usp=drivesdk" TargetMode="External" Id="rId101" /><Relationship Type="http://schemas.openxmlformats.org/officeDocument/2006/relationships/hyperlink" Target="https://drive.google.com/file/d/1y53mv0-BjFCp7Z4Tp9mguo1WuS7RRlVK/view?usp=drivesdk" TargetMode="External" Id="rId102" /><Relationship Type="http://schemas.openxmlformats.org/officeDocument/2006/relationships/hyperlink" Target="https://drive.google.com/file/d/1n1TdGRm0xbbUrhiWxso3ucgcPhj4jbzx/view?usp=drivesdk" TargetMode="External" Id="rId103" /><Relationship Type="http://schemas.openxmlformats.org/officeDocument/2006/relationships/hyperlink" Target="https://drive.google.com/file/d/1ao5r16qm7GhBSrW3YeiF3erPmxlcHELA/view?usp=drivesdk" TargetMode="External" Id="rId104" /><Relationship Type="http://schemas.openxmlformats.org/officeDocument/2006/relationships/hyperlink" Target="https://drive.google.com/file/d/1OXbTejlLlT9SzZTWZP1D7tU57XBkfsLB/view?usp=drivesdk" TargetMode="External" Id="rId105" /><Relationship Type="http://schemas.openxmlformats.org/officeDocument/2006/relationships/hyperlink" Target="https://drive.google.com/file/d/1-0D2m0NVI4A5J-ddmlF3nafsBa8vGWBd/view?usp=drivesdk" TargetMode="External" Id="rId106" /><Relationship Type="http://schemas.openxmlformats.org/officeDocument/2006/relationships/hyperlink" Target="https://drive.google.com/file/d/109FoRS20p6fG5cg4HRHkxTwOGMiEB3AH/view?usp=drivesdk" TargetMode="External" Id="rId107" /><Relationship Type="http://schemas.openxmlformats.org/officeDocument/2006/relationships/hyperlink" Target="https://drive.google.com/file/d/1md630rqHnAw6S5fnMiH86ktIGL9wAfgF/view?usp=drivesdk" TargetMode="External" Id="rId108" /><Relationship Type="http://schemas.openxmlformats.org/officeDocument/2006/relationships/hyperlink" Target="https://drive.google.com/file/d/1MkhCT3OZenS4bJf5_J2qB8oGGw8oFzkf/view?usp=drivesdk" TargetMode="External" Id="rId109" /><Relationship Type="http://schemas.openxmlformats.org/officeDocument/2006/relationships/hyperlink" Target="https://drive.google.com/file/d/1cfzsuLvXSAtRD2pLnRBZ59veQeIWQKjQ/view?usp=drivesdk" TargetMode="External" Id="rId110" /><Relationship Type="http://schemas.openxmlformats.org/officeDocument/2006/relationships/hyperlink" Target="https://drive.google.com/file/d/194sPXt7bz4RYudtr1LLnRSTHRD3IRfX_/view?usp=drivesdk" TargetMode="External" Id="rId111" /><Relationship Type="http://schemas.openxmlformats.org/officeDocument/2006/relationships/hyperlink" Target="https://drive.google.com/file/d/1d9bGOdNerfRkG8hm-9tNwNLOClNoUKV1/view?usp=drivesdk" TargetMode="External" Id="rId112" /><Relationship Type="http://schemas.openxmlformats.org/officeDocument/2006/relationships/hyperlink" Target="https://drive.google.com/file/d/1r5NeAkt6BuK7stM77wMD2GmwfOkmyuaE/view?usp=drivesdk" TargetMode="External" Id="rId113" /><Relationship Type="http://schemas.openxmlformats.org/officeDocument/2006/relationships/hyperlink" Target="https://drive.google.com/file/d/1jBhJD7kS5_SPwJKWbOaHjrF8mX4mpiT8/view?usp=drivesdk" TargetMode="External" Id="rId114" /><Relationship Type="http://schemas.openxmlformats.org/officeDocument/2006/relationships/hyperlink" Target="https://drive.google.com/file/d/14mLVYewapKRBwsNP7f6wLOc4WRmROQLm/view?usp=drivesdk" TargetMode="External" Id="rId115" /><Relationship Type="http://schemas.openxmlformats.org/officeDocument/2006/relationships/hyperlink" Target="https://drive.google.com/file/d/1_zSaGhAEICAUBmqreT7FKVxXgv2-r3jW/view?usp=drivesdk" TargetMode="External" Id="rId116" /><Relationship Type="http://schemas.openxmlformats.org/officeDocument/2006/relationships/hyperlink" Target="https://drive.google.com/file/d/1qLKvi2Ja2apUNKYZBiLqZTt00IfYF7J2/view?usp=drivesdk" TargetMode="External" Id="rId117" /><Relationship Type="http://schemas.openxmlformats.org/officeDocument/2006/relationships/hyperlink" Target="https://drive.google.com/file/d/1YylC1UsF8Mmxn_K1BFQWDm5IBpU5pT4S/view?usp=drivesdk" TargetMode="External" Id="rId118" /><Relationship Type="http://schemas.openxmlformats.org/officeDocument/2006/relationships/hyperlink" Target="https://drive.google.com/file/d/1Dfe3TUTMjwwXhP0sW7OA-brj3bzdreVa/view?usp=drivesdk" TargetMode="External" Id="rId11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09:26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D61+D71+D74+D83</f>
        <v/>
      </c>
      <c r="E60" s="14">
        <f>E61+E71+E74+E83</f>
        <v/>
      </c>
      <c r="F60" s="14">
        <f>F61+F71+F74+F83</f>
        <v/>
      </c>
      <c r="G60" s="14">
        <f>G61+G71+G74+G83</f>
        <v/>
      </c>
      <c r="H60" s="14">
        <f>H61+H71+H74+H83</f>
        <v/>
      </c>
      <c r="I60" s="14">
        <f>I61+I71+I74+I83</f>
        <v/>
      </c>
      <c r="J60" s="14">
        <f>J61+J71+J74+J83</f>
        <v/>
      </c>
      <c r="K60" s="14">
        <f>K61+K71+K74+K83</f>
        <v/>
      </c>
      <c r="L60" s="14">
        <f>L61+L71+L74+L83</f>
        <v/>
      </c>
      <c r="M60" s="14">
        <f>M61+M71+M74+M83</f>
        <v/>
      </c>
      <c r="N60" s="14">
        <f>N61+N71+N74+N83</f>
        <v/>
      </c>
      <c r="O60" s="14">
        <f>O61+O71+O74+O83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D75+D76+D80+D81+D82</f>
        <v/>
      </c>
      <c r="E74" s="20">
        <f>E75+E76+E80+E81+E82</f>
        <v/>
      </c>
      <c r="F74" s="20">
        <f>F75+F76+F80+F81+F82</f>
        <v/>
      </c>
      <c r="G74" s="20">
        <f>G75+G76+G80+G81+G82</f>
        <v/>
      </c>
      <c r="H74" s="20">
        <f>H75+H76+H80+H81+H82</f>
        <v/>
      </c>
      <c r="I74" s="20">
        <f>I75+I76+I80+I81+I82</f>
        <v/>
      </c>
      <c r="J74" s="20">
        <f>J75+J76+J80+J81+J82</f>
        <v/>
      </c>
      <c r="K74" s="20">
        <f>K75+K76+K80+K81+K82</f>
        <v/>
      </c>
      <c r="L74" s="20">
        <f>L75+L76+L80+L81+L82</f>
        <v/>
      </c>
      <c r="M74" s="20">
        <f>M75+M76+M80+M81+M82</f>
        <v/>
      </c>
      <c r="N74" s="20">
        <f>N75+N76+N80+N81+N82</f>
        <v/>
      </c>
      <c r="O74" s="20">
        <f>O75+O76+O80+O81+O82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administration</t>
        </is>
      </c>
      <c r="B77" s="4" t="n"/>
      <c r="C77" s="4" t="inlineStr">
        <is>
          <t>administration</t>
        </is>
      </c>
      <c r="D77" s="5">
        <f>SUMIFS('g-expenses-sl'!$G:$G,'g-expenses-sl'!$A:$A,D$1,'g-expenses-sl'!$D:$D,"administration",'g-expenses-sl'!$E:$E,$C76,'g-expenses-sl'!$F:$F,$C77)</f>
        <v/>
      </c>
      <c r="E77" s="5">
        <f>SUMIFS('g-expenses-sl'!$G:$G,'g-expenses-sl'!$A:$A,E$1,'g-expenses-sl'!$D:$D,"administration",'g-expenses-sl'!$E:$E,$C76,'g-expenses-sl'!$F:$F,$C77)</f>
        <v/>
      </c>
      <c r="F77" s="5">
        <f>SUMIFS('g-expenses-sl'!$G:$G,'g-expenses-sl'!$A:$A,F$1,'g-expenses-sl'!$D:$D,"administration",'g-expenses-sl'!$E:$E,$C76,'g-expenses-sl'!$F:$F,$C77)</f>
        <v/>
      </c>
      <c r="G77" s="5">
        <f>SUMIFS('g-expenses-sl'!$G:$G,'g-expenses-sl'!$A:$A,G$1,'g-expenses-sl'!$D:$D,"administration",'g-expenses-sl'!$E:$E,$C76,'g-expenses-sl'!$F:$F,$C77)</f>
        <v/>
      </c>
      <c r="H77" s="5">
        <f>SUMIFS('g-expenses-sl'!$G:$G,'g-expenses-sl'!$A:$A,H$1,'g-expenses-sl'!$D:$D,"administration",'g-expenses-sl'!$E:$E,$C76,'g-expenses-sl'!$F:$F,$C77)</f>
        <v/>
      </c>
      <c r="I77" s="5">
        <f>SUMIFS('g-expenses-sl'!$G:$G,'g-expenses-sl'!$A:$A,I$1,'g-expenses-sl'!$D:$D,"administration",'g-expenses-sl'!$E:$E,$C76,'g-expenses-sl'!$F:$F,$C77)</f>
        <v/>
      </c>
      <c r="J77" s="5">
        <f>SUMIFS('g-expenses-sl'!$G:$G,'g-expenses-sl'!$A:$A,J$1,'g-expenses-sl'!$D:$D,"administration",'g-expenses-sl'!$E:$E,$C76,'g-expenses-sl'!$F:$F,$C77)</f>
        <v/>
      </c>
      <c r="K77" s="5">
        <f>SUMIFS('g-expenses-sl'!$G:$G,'g-expenses-sl'!$A:$A,K$1,'g-expenses-sl'!$D:$D,"administration",'g-expenses-sl'!$E:$E,$C76,'g-expenses-sl'!$F:$F,$C77)</f>
        <v/>
      </c>
      <c r="L77" s="5">
        <f>SUMIFS('g-expenses-sl'!$G:$G,'g-expenses-sl'!$A:$A,L$1,'g-expenses-sl'!$D:$D,"administration",'g-expenses-sl'!$E:$E,$C76,'g-expenses-sl'!$F:$F,$C77)</f>
        <v/>
      </c>
      <c r="M77" s="5">
        <f>SUMIFS('g-expenses-sl'!$G:$G,'g-expenses-sl'!$A:$A,M$1,'g-expenses-sl'!$D:$D,"administration",'g-expenses-sl'!$E:$E,$C76,'g-expenses-sl'!$F:$F,$C77)</f>
        <v/>
      </c>
      <c r="N77" s="5">
        <f>SUMIFS('g-expenses-sl'!$G:$G,'g-expenses-sl'!$A:$A,N$1,'g-expenses-sl'!$D:$D,"administration",'g-expenses-sl'!$E:$E,$C76,'g-expenses-sl'!$F:$F,$C77)</f>
        <v/>
      </c>
      <c r="O77" s="5">
        <f>SUMIFS('g-expenses-sl'!$G:$G,'g-expenses-sl'!$A:$A,O$1,'g-expenses-sl'!$D:$D,"administration",'g-expenses-sl'!$E:$E,$C76,'g-expenses-sl'!$F:$F,$C77)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office</t>
        </is>
      </c>
      <c r="B78" s="4" t="n"/>
      <c r="C78" s="4" t="inlineStr">
        <is>
          <t>office</t>
        </is>
      </c>
      <c r="D78" s="5">
        <f>SUMIFS('g-expenses-sl'!$G:$G,'g-expenses-sl'!$A:$A,D$1,'g-expenses-sl'!$D:$D,"administration",'g-expenses-sl'!$E:$E,$C76,'g-expenses-sl'!$F:$F,$C78)</f>
        <v/>
      </c>
      <c r="E78" s="5">
        <f>SUMIFS('g-expenses-sl'!$G:$G,'g-expenses-sl'!$A:$A,E$1,'g-expenses-sl'!$D:$D,"administration",'g-expenses-sl'!$E:$E,$C76,'g-expenses-sl'!$F:$F,$C78)</f>
        <v/>
      </c>
      <c r="F78" s="5">
        <f>SUMIFS('g-expenses-sl'!$G:$G,'g-expenses-sl'!$A:$A,F$1,'g-expenses-sl'!$D:$D,"administration",'g-expenses-sl'!$E:$E,$C76,'g-expenses-sl'!$F:$F,$C78)</f>
        <v/>
      </c>
      <c r="G78" s="5">
        <f>SUMIFS('g-expenses-sl'!$G:$G,'g-expenses-sl'!$A:$A,G$1,'g-expenses-sl'!$D:$D,"administration",'g-expenses-sl'!$E:$E,$C76,'g-expenses-sl'!$F:$F,$C78)</f>
        <v/>
      </c>
      <c r="H78" s="5">
        <f>SUMIFS('g-expenses-sl'!$G:$G,'g-expenses-sl'!$A:$A,H$1,'g-expenses-sl'!$D:$D,"administration",'g-expenses-sl'!$E:$E,$C76,'g-expenses-sl'!$F:$F,$C78)</f>
        <v/>
      </c>
      <c r="I78" s="5">
        <f>SUMIFS('g-expenses-sl'!$G:$G,'g-expenses-sl'!$A:$A,I$1,'g-expenses-sl'!$D:$D,"administration",'g-expenses-sl'!$E:$E,$C76,'g-expenses-sl'!$F:$F,$C78)</f>
        <v/>
      </c>
      <c r="J78" s="5">
        <f>SUMIFS('g-expenses-sl'!$G:$G,'g-expenses-sl'!$A:$A,J$1,'g-expenses-sl'!$D:$D,"administration",'g-expenses-sl'!$E:$E,$C76,'g-expenses-sl'!$F:$F,$C78)</f>
        <v/>
      </c>
      <c r="K78" s="5">
        <f>SUMIFS('g-expenses-sl'!$G:$G,'g-expenses-sl'!$A:$A,K$1,'g-expenses-sl'!$D:$D,"administration",'g-expenses-sl'!$E:$E,$C76,'g-expenses-sl'!$F:$F,$C78)</f>
        <v/>
      </c>
      <c r="L78" s="5">
        <f>SUMIFS('g-expenses-sl'!$G:$G,'g-expenses-sl'!$A:$A,L$1,'g-expenses-sl'!$D:$D,"administration",'g-expenses-sl'!$E:$E,$C76,'g-expenses-sl'!$F:$F,$C78)</f>
        <v/>
      </c>
      <c r="M78" s="5">
        <f>SUMIFS('g-expenses-sl'!$G:$G,'g-expenses-sl'!$A:$A,M$1,'g-expenses-sl'!$D:$D,"administration",'g-expenses-sl'!$E:$E,$C76,'g-expenses-sl'!$F:$F,$C78)</f>
        <v/>
      </c>
      <c r="N78" s="5">
        <f>SUMIFS('g-expenses-sl'!$G:$G,'g-expenses-sl'!$A:$A,N$1,'g-expenses-sl'!$D:$D,"administration",'g-expenses-sl'!$E:$E,$C76,'g-expenses-sl'!$F:$F,$C78)</f>
        <v/>
      </c>
      <c r="O78" s="5">
        <f>SUMIFS('g-expenses-sl'!$G:$G,'g-expenses-sl'!$A:$A,O$1,'g-expenses-sl'!$D:$D,"administration",'g-expenses-sl'!$E:$E,$C76,'g-expenses-sl'!$F:$F,$C78)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services</t>
        </is>
      </c>
      <c r="B79" s="4" t="n"/>
      <c r="C79" s="4" t="inlineStr">
        <is>
          <t>services</t>
        </is>
      </c>
      <c r="D79" s="5">
        <f>SUMIFS('g-expenses-sl'!$G:$G,'g-expenses-sl'!$A:$A,D$1,'g-expenses-sl'!$D:$D,"administration",'g-expenses-sl'!$E:$E,$C76,'g-expenses-sl'!$F:$F,$C79)</f>
        <v/>
      </c>
      <c r="E79" s="5">
        <f>SUMIFS('g-expenses-sl'!$G:$G,'g-expenses-sl'!$A:$A,E$1,'g-expenses-sl'!$D:$D,"administration",'g-expenses-sl'!$E:$E,$C76,'g-expenses-sl'!$F:$F,$C79)</f>
        <v/>
      </c>
      <c r="F79" s="5">
        <f>SUMIFS('g-expenses-sl'!$G:$G,'g-expenses-sl'!$A:$A,F$1,'g-expenses-sl'!$D:$D,"administration",'g-expenses-sl'!$E:$E,$C76,'g-expenses-sl'!$F:$F,$C79)</f>
        <v/>
      </c>
      <c r="G79" s="5">
        <f>SUMIFS('g-expenses-sl'!$G:$G,'g-expenses-sl'!$A:$A,G$1,'g-expenses-sl'!$D:$D,"administration",'g-expenses-sl'!$E:$E,$C76,'g-expenses-sl'!$F:$F,$C79)</f>
        <v/>
      </c>
      <c r="H79" s="5">
        <f>SUMIFS('g-expenses-sl'!$G:$G,'g-expenses-sl'!$A:$A,H$1,'g-expenses-sl'!$D:$D,"administration",'g-expenses-sl'!$E:$E,$C76,'g-expenses-sl'!$F:$F,$C79)</f>
        <v/>
      </c>
      <c r="I79" s="5">
        <f>SUMIFS('g-expenses-sl'!$G:$G,'g-expenses-sl'!$A:$A,I$1,'g-expenses-sl'!$D:$D,"administration",'g-expenses-sl'!$E:$E,$C76,'g-expenses-sl'!$F:$F,$C79)</f>
        <v/>
      </c>
      <c r="J79" s="5">
        <f>SUMIFS('g-expenses-sl'!$G:$G,'g-expenses-sl'!$A:$A,J$1,'g-expenses-sl'!$D:$D,"administration",'g-expenses-sl'!$E:$E,$C76,'g-expenses-sl'!$F:$F,$C79)</f>
        <v/>
      </c>
      <c r="K79" s="5">
        <f>SUMIFS('g-expenses-sl'!$G:$G,'g-expenses-sl'!$A:$A,K$1,'g-expenses-sl'!$D:$D,"administration",'g-expenses-sl'!$E:$E,$C76,'g-expenses-sl'!$F:$F,$C79)</f>
        <v/>
      </c>
      <c r="L79" s="5">
        <f>SUMIFS('g-expenses-sl'!$G:$G,'g-expenses-sl'!$A:$A,L$1,'g-expenses-sl'!$D:$D,"administration",'g-expenses-sl'!$E:$E,$C76,'g-expenses-sl'!$F:$F,$C79)</f>
        <v/>
      </c>
      <c r="M79" s="5">
        <f>SUMIFS('g-expenses-sl'!$G:$G,'g-expenses-sl'!$A:$A,M$1,'g-expenses-sl'!$D:$D,"administration",'g-expenses-sl'!$E:$E,$C76,'g-expenses-sl'!$F:$F,$C79)</f>
        <v/>
      </c>
      <c r="N79" s="5">
        <f>SUMIFS('g-expenses-sl'!$G:$G,'g-expenses-sl'!$A:$A,N$1,'g-expenses-sl'!$D:$D,"administration",'g-expenses-sl'!$E:$E,$C76,'g-expenses-sl'!$F:$F,$C79)</f>
        <v/>
      </c>
      <c r="O79" s="5">
        <f>SUMIFS('g-expenses-sl'!$G:$G,'g-expenses-sl'!$A:$A,O$1,'g-expenses-sl'!$D:$D,"administration",'g-expenses-sl'!$E:$E,$C76,'g-expenses-sl'!$F:$F,$C79)</f>
        <v/>
      </c>
      <c r="P79" s="24">
        <f>SUM(D79:O79)</f>
        <v/>
      </c>
      <c r="Q79" s="25" t="inlineStr">
        <is>
          <t>-&gt;</t>
        </is>
      </c>
    </row>
    <row r="80" hidden="1" outlineLevel="1" ht="12" customHeight="1">
      <c r="A80" s="23" t="inlineStr">
        <is>
          <t xml:space="preserve">            NODA</t>
        </is>
      </c>
      <c r="B80" s="4" t="n"/>
      <c r="C80" s="4" t="inlineStr">
        <is>
          <t>NODA</t>
        </is>
      </c>
      <c r="D80" s="5">
        <f>SUMIFS('g-expenses-sl'!$G:$G,'g-expenses-sl'!$A:$A,D$1,'g-expenses-sl'!$D:$D,"administration",'g-expenses-sl'!$E:$E,$C80)</f>
        <v/>
      </c>
      <c r="E80" s="5">
        <f>SUMIFS('g-expenses-sl'!$G:$G,'g-expenses-sl'!$A:$A,E$1,'g-expenses-sl'!$D:$D,"administration",'g-expenses-sl'!$E:$E,$C80)</f>
        <v/>
      </c>
      <c r="F80" s="5">
        <f>SUMIFS('g-expenses-sl'!$G:$G,'g-expenses-sl'!$A:$A,F$1,'g-expenses-sl'!$D:$D,"administration",'g-expenses-sl'!$E:$E,$C80)</f>
        <v/>
      </c>
      <c r="G80" s="5">
        <f>SUMIFS('g-expenses-sl'!$G:$G,'g-expenses-sl'!$A:$A,G$1,'g-expenses-sl'!$D:$D,"administration",'g-expenses-sl'!$E:$E,$C80)</f>
        <v/>
      </c>
      <c r="H80" s="5">
        <f>SUMIFS('g-expenses-sl'!$G:$G,'g-expenses-sl'!$A:$A,H$1,'g-expenses-sl'!$D:$D,"administration",'g-expenses-sl'!$E:$E,$C80)</f>
        <v/>
      </c>
      <c r="I80" s="5">
        <f>SUMIFS('g-expenses-sl'!$G:$G,'g-expenses-sl'!$A:$A,I$1,'g-expenses-sl'!$D:$D,"administration",'g-expenses-sl'!$E:$E,$C80)</f>
        <v/>
      </c>
      <c r="J80" s="5">
        <f>SUMIFS('g-expenses-sl'!$G:$G,'g-expenses-sl'!$A:$A,J$1,'g-expenses-sl'!$D:$D,"administration",'g-expenses-sl'!$E:$E,$C80)</f>
        <v/>
      </c>
      <c r="K80" s="5">
        <f>SUMIFS('g-expenses-sl'!$G:$G,'g-expenses-sl'!$A:$A,K$1,'g-expenses-sl'!$D:$D,"administration",'g-expenses-sl'!$E:$E,$C80)</f>
        <v/>
      </c>
      <c r="L80" s="5">
        <f>SUMIFS('g-expenses-sl'!$G:$G,'g-expenses-sl'!$A:$A,L$1,'g-expenses-sl'!$D:$D,"administration",'g-expenses-sl'!$E:$E,$C80)</f>
        <v/>
      </c>
      <c r="M80" s="5">
        <f>SUMIFS('g-expenses-sl'!$G:$G,'g-expenses-sl'!$A:$A,M$1,'g-expenses-sl'!$D:$D,"administration",'g-expenses-sl'!$E:$E,$C80)</f>
        <v/>
      </c>
      <c r="N80" s="5">
        <f>SUMIFS('g-expenses-sl'!$G:$G,'g-expenses-sl'!$A:$A,N$1,'g-expenses-sl'!$D:$D,"administration",'g-expenses-sl'!$E:$E,$C80)</f>
        <v/>
      </c>
      <c r="O80" s="5">
        <f>SUMIFS('g-expenses-sl'!$G:$G,'g-expenses-sl'!$A:$A,O$1,'g-expenses-sl'!$D:$D,"administration",'g-expenses-sl'!$E:$E,$C80)</f>
        <v/>
      </c>
      <c r="P80" s="24">
        <f>SUM(D80:O80)</f>
        <v/>
      </c>
      <c r="Q80" s="25" t="inlineStr">
        <is>
          <t>-&gt;</t>
        </is>
      </c>
    </row>
    <row r="81" hidden="1" outlineLevel="1" ht="12" customHeight="1">
      <c r="A81" s="23" t="inlineStr">
        <is>
          <t xml:space="preserve">            TORRAS</t>
        </is>
      </c>
      <c r="B81" s="4" t="n"/>
      <c r="C81" s="4" t="inlineStr">
        <is>
          <t>TORRAS</t>
        </is>
      </c>
      <c r="D81" s="5">
        <f>SUMIFS('g-expenses-sl'!$G:$G,'g-expenses-sl'!$A:$A,D$1,'g-expenses-sl'!$D:$D,"administration",'g-expenses-sl'!$E:$E,$C81)</f>
        <v/>
      </c>
      <c r="E81" s="5">
        <f>SUMIFS('g-expenses-sl'!$G:$G,'g-expenses-sl'!$A:$A,E$1,'g-expenses-sl'!$D:$D,"administration",'g-expenses-sl'!$E:$E,$C81)</f>
        <v/>
      </c>
      <c r="F81" s="5">
        <f>SUMIFS('g-expenses-sl'!$G:$G,'g-expenses-sl'!$A:$A,F$1,'g-expenses-sl'!$D:$D,"administration",'g-expenses-sl'!$E:$E,$C81)</f>
        <v/>
      </c>
      <c r="G81" s="5">
        <f>SUMIFS('g-expenses-sl'!$G:$G,'g-expenses-sl'!$A:$A,G$1,'g-expenses-sl'!$D:$D,"administration",'g-expenses-sl'!$E:$E,$C81)</f>
        <v/>
      </c>
      <c r="H81" s="5">
        <f>SUMIFS('g-expenses-sl'!$G:$G,'g-expenses-sl'!$A:$A,H$1,'g-expenses-sl'!$D:$D,"administration",'g-expenses-sl'!$E:$E,$C81)</f>
        <v/>
      </c>
      <c r="I81" s="5">
        <f>SUMIFS('g-expenses-sl'!$G:$G,'g-expenses-sl'!$A:$A,I$1,'g-expenses-sl'!$D:$D,"administration",'g-expenses-sl'!$E:$E,$C81)</f>
        <v/>
      </c>
      <c r="J81" s="5">
        <f>SUMIFS('g-expenses-sl'!$G:$G,'g-expenses-sl'!$A:$A,J$1,'g-expenses-sl'!$D:$D,"administration",'g-expenses-sl'!$E:$E,$C81)</f>
        <v/>
      </c>
      <c r="K81" s="5">
        <f>SUMIFS('g-expenses-sl'!$G:$G,'g-expenses-sl'!$A:$A,K$1,'g-expenses-sl'!$D:$D,"administration",'g-expenses-sl'!$E:$E,$C81)</f>
        <v/>
      </c>
      <c r="L81" s="5">
        <f>SUMIFS('g-expenses-sl'!$G:$G,'g-expenses-sl'!$A:$A,L$1,'g-expenses-sl'!$D:$D,"administration",'g-expenses-sl'!$E:$E,$C81)</f>
        <v/>
      </c>
      <c r="M81" s="5">
        <f>SUMIFS('g-expenses-sl'!$G:$G,'g-expenses-sl'!$A:$A,M$1,'g-expenses-sl'!$D:$D,"administration",'g-expenses-sl'!$E:$E,$C81)</f>
        <v/>
      </c>
      <c r="N81" s="5">
        <f>SUMIFS('g-expenses-sl'!$G:$G,'g-expenses-sl'!$A:$A,N$1,'g-expenses-sl'!$D:$D,"administration",'g-expenses-sl'!$E:$E,$C81)</f>
        <v/>
      </c>
      <c r="O81" s="5">
        <f>SUMIFS('g-expenses-sl'!$G:$G,'g-expenses-sl'!$A:$A,O$1,'g-expenses-sl'!$D:$D,"administration",'g-expenses-sl'!$E:$E,$C81)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collapsed="1" ht="12" customHeight="1">
      <c r="A82" s="23" t="inlineStr">
        <is>
          <t xml:space="preserve">            VITALY</t>
        </is>
      </c>
      <c r="B82" s="4" t="n"/>
      <c r="C82" s="4" t="inlineStr">
        <is>
          <t>VITALY</t>
        </is>
      </c>
      <c r="D82" s="5">
        <f>SUMIFS('g-expenses-sl'!$G:$G,'g-expenses-sl'!$A:$A,D$1,'g-expenses-sl'!$D:$D,"administration",'g-expenses-sl'!$E:$E,$C82)</f>
        <v/>
      </c>
      <c r="E82" s="5">
        <f>SUMIFS('g-expenses-sl'!$G:$G,'g-expenses-sl'!$A:$A,E$1,'g-expenses-sl'!$D:$D,"administration",'g-expenses-sl'!$E:$E,$C82)</f>
        <v/>
      </c>
      <c r="F82" s="5">
        <f>SUMIFS('g-expenses-sl'!$G:$G,'g-expenses-sl'!$A:$A,F$1,'g-expenses-sl'!$D:$D,"administration",'g-expenses-sl'!$E:$E,$C82)</f>
        <v/>
      </c>
      <c r="G82" s="5">
        <f>SUMIFS('g-expenses-sl'!$G:$G,'g-expenses-sl'!$A:$A,G$1,'g-expenses-sl'!$D:$D,"administration",'g-expenses-sl'!$E:$E,$C82)</f>
        <v/>
      </c>
      <c r="H82" s="5">
        <f>SUMIFS('g-expenses-sl'!$G:$G,'g-expenses-sl'!$A:$A,H$1,'g-expenses-sl'!$D:$D,"administration",'g-expenses-sl'!$E:$E,$C82)</f>
        <v/>
      </c>
      <c r="I82" s="5">
        <f>SUMIFS('g-expenses-sl'!$G:$G,'g-expenses-sl'!$A:$A,I$1,'g-expenses-sl'!$D:$D,"administration",'g-expenses-sl'!$E:$E,$C82)</f>
        <v/>
      </c>
      <c r="J82" s="5">
        <f>SUMIFS('g-expenses-sl'!$G:$G,'g-expenses-sl'!$A:$A,J$1,'g-expenses-sl'!$D:$D,"administration",'g-expenses-sl'!$E:$E,$C82)</f>
        <v/>
      </c>
      <c r="K82" s="5">
        <f>SUMIFS('g-expenses-sl'!$G:$G,'g-expenses-sl'!$A:$A,K$1,'g-expenses-sl'!$D:$D,"administration",'g-expenses-sl'!$E:$E,$C82)</f>
        <v/>
      </c>
      <c r="L82" s="5">
        <f>SUMIFS('g-expenses-sl'!$G:$G,'g-expenses-sl'!$A:$A,L$1,'g-expenses-sl'!$D:$D,"administration",'g-expenses-sl'!$E:$E,$C82)</f>
        <v/>
      </c>
      <c r="M82" s="5">
        <f>SUMIFS('g-expenses-sl'!$G:$G,'g-expenses-sl'!$A:$A,M$1,'g-expenses-sl'!$D:$D,"administration",'g-expenses-sl'!$E:$E,$C82)</f>
        <v/>
      </c>
      <c r="N82" s="5">
        <f>SUMIFS('g-expenses-sl'!$G:$G,'g-expenses-sl'!$A:$A,N$1,'g-expenses-sl'!$D:$D,"administration",'g-expenses-sl'!$E:$E,$C82)</f>
        <v/>
      </c>
      <c r="O82" s="5">
        <f>SUMIFS('g-expenses-sl'!$G:$G,'g-expenses-sl'!$A:$A,O$1,'g-expenses-sl'!$D:$D,"administration",'g-expenses-sl'!$E:$E,$C82)</f>
        <v/>
      </c>
      <c r="P82" s="24">
        <f>SUM(D82:O82)</f>
        <v/>
      </c>
      <c r="Q82" s="25" t="inlineStr">
        <is>
          <t>-&gt;</t>
        </is>
      </c>
    </row>
    <row r="83" ht="12" customHeight="1">
      <c r="A83" s="17" t="inlineStr">
        <is>
          <t xml:space="preserve">        Technology</t>
        </is>
      </c>
      <c r="B83" s="18" t="n"/>
      <c r="C83" s="19" t="inlineStr">
        <is>
          <t>Technology</t>
        </is>
      </c>
      <c r="D83" s="20">
        <f>SUM(D84:D98)</f>
        <v/>
      </c>
      <c r="E83" s="20">
        <f>SUM(E84:E98)</f>
        <v/>
      </c>
      <c r="F83" s="20">
        <f>SUM(F84:F98)</f>
        <v/>
      </c>
      <c r="G83" s="20">
        <f>SUM(G84:G98)</f>
        <v/>
      </c>
      <c r="H83" s="20">
        <f>SUM(H84:H98)</f>
        <v/>
      </c>
      <c r="I83" s="20">
        <f>SUM(I84:I98)</f>
        <v/>
      </c>
      <c r="J83" s="20">
        <f>SUM(J84:J98)</f>
        <v/>
      </c>
      <c r="K83" s="20">
        <f>SUM(K84:K98)</f>
        <v/>
      </c>
      <c r="L83" s="20">
        <f>SUM(L84:L98)</f>
        <v/>
      </c>
      <c r="M83" s="20">
        <f>SUM(M84:M98)</f>
        <v/>
      </c>
      <c r="N83" s="20">
        <f>SUM(N84:N98)</f>
        <v/>
      </c>
      <c r="O83" s="20">
        <f>SUM(O84:O98)</f>
        <v/>
      </c>
      <c r="P83" s="21">
        <f>SUM(D83:O83)</f>
        <v/>
      </c>
      <c r="Q83" s="22" t="inlineStr">
        <is>
          <t>-&gt;</t>
        </is>
      </c>
    </row>
    <row r="84" hidden="1" outlineLevel="1" ht="12" customHeight="1">
      <c r="A84" s="23" t="inlineStr">
        <is>
          <t xml:space="preserve">            ADOBE</t>
        </is>
      </c>
      <c r="B84" s="4" t="n"/>
      <c r="C84" s="4" t="inlineStr">
        <is>
          <t>ADOBE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CANVA</t>
        </is>
      </c>
      <c r="B85" s="4" t="n"/>
      <c r="C85" s="4" t="inlineStr">
        <is>
          <t>CANVA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GODADDY</t>
        </is>
      </c>
      <c r="B86" s="4" t="n"/>
      <c r="C86" s="4" t="inlineStr">
        <is>
          <t>GODADDY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GOOGLEWORKSPACE</t>
        </is>
      </c>
      <c r="B87" s="4" t="n"/>
      <c r="C87" s="4" t="inlineStr">
        <is>
          <t>GOOGLEWORKSPACE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GORGIAS</t>
        </is>
      </c>
      <c r="B88" s="4" t="n"/>
      <c r="C88" s="4" t="inlineStr">
        <is>
          <t>GORGIAS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HETZNER</t>
        </is>
      </c>
      <c r="B89" s="4" t="n"/>
      <c r="C89" s="4" t="inlineStr">
        <is>
          <t>HETZNER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KONVOAI</t>
        </is>
      </c>
      <c r="B90" s="4" t="n"/>
      <c r="C90" s="4" t="inlineStr">
        <is>
          <t>KONVOAI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MASMOVIL</t>
        </is>
      </c>
      <c r="B91" s="4" t="n"/>
      <c r="C91" s="4" t="inlineStr">
        <is>
          <t>MASMOVIL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MICROSOFT</t>
        </is>
      </c>
      <c r="B92" s="4" t="n"/>
      <c r="C92" s="4" t="inlineStr">
        <is>
          <t>MICROSOFT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OPENAI</t>
        </is>
      </c>
      <c r="B93" s="4" t="n"/>
      <c r="C93" s="4" t="inlineStr">
        <is>
          <t>OPENAI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PRODUCTHERO</t>
        </is>
      </c>
      <c r="B94" s="4" t="n"/>
      <c r="C94" s="4" t="inlineStr">
        <is>
          <t>PRODUCTHERO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ht="12" customHeight="1">
      <c r="A95" s="23" t="inlineStr">
        <is>
          <t xml:space="preserve">            RAILWAY</t>
        </is>
      </c>
      <c r="B95" s="4" t="n"/>
      <c r="C95" s="4" t="inlineStr">
        <is>
          <t>RAILWAY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idden="1" outlineLevel="1" ht="12" customHeight="1">
      <c r="A96" s="23" t="inlineStr">
        <is>
          <t xml:space="preserve">            REVER</t>
        </is>
      </c>
      <c r="B96" s="4" t="n"/>
      <c r="C96" s="4" t="inlineStr">
        <is>
          <t>REVER</t>
        </is>
      </c>
      <c r="D96" s="5">
        <f>SUMIFS('g-expenses-sl'!$G:$G,'g-expenses-sl'!$A:$A,D$1,'g-expenses-sl'!$D:$D,"technology",'g-expenses-sl'!$E:$E,$C96)</f>
        <v/>
      </c>
      <c r="E96" s="5">
        <f>SUMIFS('g-expenses-sl'!$G:$G,'g-expenses-sl'!$A:$A,E$1,'g-expenses-sl'!$D:$D,"technology",'g-expenses-sl'!$E:$E,$C96)</f>
        <v/>
      </c>
      <c r="F96" s="5">
        <f>SUMIFS('g-expenses-sl'!$G:$G,'g-expenses-sl'!$A:$A,F$1,'g-expenses-sl'!$D:$D,"technology",'g-expenses-sl'!$E:$E,$C96)</f>
        <v/>
      </c>
      <c r="G96" s="5">
        <f>SUMIFS('g-expenses-sl'!$G:$G,'g-expenses-sl'!$A:$A,G$1,'g-expenses-sl'!$D:$D,"technology",'g-expenses-sl'!$E:$E,$C96)</f>
        <v/>
      </c>
      <c r="H96" s="5">
        <f>SUMIFS('g-expenses-sl'!$G:$G,'g-expenses-sl'!$A:$A,H$1,'g-expenses-sl'!$D:$D,"technology",'g-expenses-sl'!$E:$E,$C96)</f>
        <v/>
      </c>
      <c r="I96" s="5">
        <f>SUMIFS('g-expenses-sl'!$G:$G,'g-expenses-sl'!$A:$A,I$1,'g-expenses-sl'!$D:$D,"technology",'g-expenses-sl'!$E:$E,$C96)</f>
        <v/>
      </c>
      <c r="J96" s="5">
        <f>SUMIFS('g-expenses-sl'!$G:$G,'g-expenses-sl'!$A:$A,J$1,'g-expenses-sl'!$D:$D,"technology",'g-expenses-sl'!$E:$E,$C96)</f>
        <v/>
      </c>
      <c r="K96" s="5">
        <f>SUMIFS('g-expenses-sl'!$G:$G,'g-expenses-sl'!$A:$A,K$1,'g-expenses-sl'!$D:$D,"technology",'g-expenses-sl'!$E:$E,$C96)</f>
        <v/>
      </c>
      <c r="L96" s="5">
        <f>SUMIFS('g-expenses-sl'!$G:$G,'g-expenses-sl'!$A:$A,L$1,'g-expenses-sl'!$D:$D,"technology",'g-expenses-sl'!$E:$E,$C96)</f>
        <v/>
      </c>
      <c r="M96" s="5">
        <f>SUMIFS('g-expenses-sl'!$G:$G,'g-expenses-sl'!$A:$A,M$1,'g-expenses-sl'!$D:$D,"technology",'g-expenses-sl'!$E:$E,$C96)</f>
        <v/>
      </c>
      <c r="N96" s="5">
        <f>SUMIFS('g-expenses-sl'!$G:$G,'g-expenses-sl'!$A:$A,N$1,'g-expenses-sl'!$D:$D,"technology",'g-expenses-sl'!$E:$E,$C96)</f>
        <v/>
      </c>
      <c r="O96" s="5">
        <f>SUMIFS('g-expenses-sl'!$G:$G,'g-expenses-sl'!$A:$A,O$1,'g-expenses-sl'!$D:$D,"technology",'g-expenses-sl'!$E:$E,$C96)</f>
        <v/>
      </c>
      <c r="P96" s="24">
        <f>SUM(D96:O96)</f>
        <v/>
      </c>
      <c r="Q96" s="25" t="inlineStr">
        <is>
          <t>-&gt;</t>
        </is>
      </c>
    </row>
    <row r="97" hidden="1" outlineLevel="1" ht="12" customHeight="1">
      <c r="A97" s="23" t="inlineStr">
        <is>
          <t xml:space="preserve">            SHOPIFY</t>
        </is>
      </c>
      <c r="B97" s="4" t="n"/>
      <c r="C97" s="4" t="inlineStr">
        <is>
          <t>SHOPIFY</t>
        </is>
      </c>
      <c r="D97" s="5">
        <f>SUMIFS('g-expenses-sl'!$G:$G,'g-expenses-sl'!$A:$A,D$1,'g-expenses-sl'!$D:$D,"technology",'g-expenses-sl'!$E:$E,$C97)</f>
        <v/>
      </c>
      <c r="E97" s="5">
        <f>SUMIFS('g-expenses-sl'!$G:$G,'g-expenses-sl'!$A:$A,E$1,'g-expenses-sl'!$D:$D,"technology",'g-expenses-sl'!$E:$E,$C97)</f>
        <v/>
      </c>
      <c r="F97" s="5">
        <f>SUMIFS('g-expenses-sl'!$G:$G,'g-expenses-sl'!$A:$A,F$1,'g-expenses-sl'!$D:$D,"technology",'g-expenses-sl'!$E:$E,$C97)</f>
        <v/>
      </c>
      <c r="G97" s="5">
        <f>SUMIFS('g-expenses-sl'!$G:$G,'g-expenses-sl'!$A:$A,G$1,'g-expenses-sl'!$D:$D,"technology",'g-expenses-sl'!$E:$E,$C97)</f>
        <v/>
      </c>
      <c r="H97" s="5">
        <f>SUMIFS('g-expenses-sl'!$G:$G,'g-expenses-sl'!$A:$A,H$1,'g-expenses-sl'!$D:$D,"technology",'g-expenses-sl'!$E:$E,$C97)</f>
        <v/>
      </c>
      <c r="I97" s="5">
        <f>SUMIFS('g-expenses-sl'!$G:$G,'g-expenses-sl'!$A:$A,I$1,'g-expenses-sl'!$D:$D,"technology",'g-expenses-sl'!$E:$E,$C97)</f>
        <v/>
      </c>
      <c r="J97" s="5">
        <f>SUMIFS('g-expenses-sl'!$G:$G,'g-expenses-sl'!$A:$A,J$1,'g-expenses-sl'!$D:$D,"technology",'g-expenses-sl'!$E:$E,$C97)</f>
        <v/>
      </c>
      <c r="K97" s="5">
        <f>SUMIFS('g-expenses-sl'!$G:$G,'g-expenses-sl'!$A:$A,K$1,'g-expenses-sl'!$D:$D,"technology",'g-expenses-sl'!$E:$E,$C97)</f>
        <v/>
      </c>
      <c r="L97" s="5">
        <f>SUMIFS('g-expenses-sl'!$G:$G,'g-expenses-sl'!$A:$A,L$1,'g-expenses-sl'!$D:$D,"technology",'g-expenses-sl'!$E:$E,$C97)</f>
        <v/>
      </c>
      <c r="M97" s="5">
        <f>SUMIFS('g-expenses-sl'!$G:$G,'g-expenses-sl'!$A:$A,M$1,'g-expenses-sl'!$D:$D,"technology",'g-expenses-sl'!$E:$E,$C97)</f>
        <v/>
      </c>
      <c r="N97" s="5">
        <f>SUMIFS('g-expenses-sl'!$G:$G,'g-expenses-sl'!$A:$A,N$1,'g-expenses-sl'!$D:$D,"technology",'g-expenses-sl'!$E:$E,$C97)</f>
        <v/>
      </c>
      <c r="O97" s="5">
        <f>SUMIFS('g-expenses-sl'!$G:$G,'g-expenses-sl'!$A:$A,O$1,'g-expenses-sl'!$D:$D,"technology",'g-expenses-sl'!$E:$E,$C97)</f>
        <v/>
      </c>
      <c r="P97" s="24">
        <f>SUM(D97:O97)</f>
        <v/>
      </c>
      <c r="Q97" s="25" t="inlineStr">
        <is>
          <t>-&gt;</t>
        </is>
      </c>
    </row>
    <row r="98" hidden="1" outlineLevel="1" collapsed="1" ht="12" customHeight="1">
      <c r="A98" s="23" t="inlineStr">
        <is>
          <t xml:space="preserve">            YUMAAI</t>
        </is>
      </c>
      <c r="B98" s="4" t="n"/>
      <c r="C98" s="4" t="inlineStr">
        <is>
          <t>YUMAAI</t>
        </is>
      </c>
      <c r="D98" s="5">
        <f>SUMIFS('g-expenses-sl'!$G:$G,'g-expenses-sl'!$A:$A,D$1,'g-expenses-sl'!$D:$D,"technology",'g-expenses-sl'!$E:$E,$C98)</f>
        <v/>
      </c>
      <c r="E98" s="5">
        <f>SUMIFS('g-expenses-sl'!$G:$G,'g-expenses-sl'!$A:$A,E$1,'g-expenses-sl'!$D:$D,"technology",'g-expenses-sl'!$E:$E,$C98)</f>
        <v/>
      </c>
      <c r="F98" s="5">
        <f>SUMIFS('g-expenses-sl'!$G:$G,'g-expenses-sl'!$A:$A,F$1,'g-expenses-sl'!$D:$D,"technology",'g-expenses-sl'!$E:$E,$C98)</f>
        <v/>
      </c>
      <c r="G98" s="5">
        <f>SUMIFS('g-expenses-sl'!$G:$G,'g-expenses-sl'!$A:$A,G$1,'g-expenses-sl'!$D:$D,"technology",'g-expenses-sl'!$E:$E,$C98)</f>
        <v/>
      </c>
      <c r="H98" s="5">
        <f>SUMIFS('g-expenses-sl'!$G:$G,'g-expenses-sl'!$A:$A,H$1,'g-expenses-sl'!$D:$D,"technology",'g-expenses-sl'!$E:$E,$C98)</f>
        <v/>
      </c>
      <c r="I98" s="5">
        <f>SUMIFS('g-expenses-sl'!$G:$G,'g-expenses-sl'!$A:$A,I$1,'g-expenses-sl'!$D:$D,"technology",'g-expenses-sl'!$E:$E,$C98)</f>
        <v/>
      </c>
      <c r="J98" s="5">
        <f>SUMIFS('g-expenses-sl'!$G:$G,'g-expenses-sl'!$A:$A,J$1,'g-expenses-sl'!$D:$D,"technology",'g-expenses-sl'!$E:$E,$C98)</f>
        <v/>
      </c>
      <c r="K98" s="5">
        <f>SUMIFS('g-expenses-sl'!$G:$G,'g-expenses-sl'!$A:$A,K$1,'g-expenses-sl'!$D:$D,"technology",'g-expenses-sl'!$E:$E,$C98)</f>
        <v/>
      </c>
      <c r="L98" s="5">
        <f>SUMIFS('g-expenses-sl'!$G:$G,'g-expenses-sl'!$A:$A,L$1,'g-expenses-sl'!$D:$D,"technology",'g-expenses-sl'!$E:$E,$C98)</f>
        <v/>
      </c>
      <c r="M98" s="5">
        <f>SUMIFS('g-expenses-sl'!$G:$G,'g-expenses-sl'!$A:$A,M$1,'g-expenses-sl'!$D:$D,"technology",'g-expenses-sl'!$E:$E,$C98)</f>
        <v/>
      </c>
      <c r="N98" s="5">
        <f>SUMIFS('g-expenses-sl'!$G:$G,'g-expenses-sl'!$A:$A,N$1,'g-expenses-sl'!$D:$D,"technology",'g-expenses-sl'!$E:$E,$C98)</f>
        <v/>
      </c>
      <c r="O98" s="5">
        <f>SUMIFS('g-expenses-sl'!$G:$G,'g-expenses-sl'!$A:$A,O$1,'g-expenses-sl'!$D:$D,"technology",'g-expenses-sl'!$E:$E,$C98)</f>
        <v/>
      </c>
      <c r="P98" s="24">
        <f>SUM(D98:O98)</f>
        <v/>
      </c>
      <c r="Q98" s="25" t="inlineStr">
        <is>
          <t>-&gt;</t>
        </is>
      </c>
    </row>
    <row r="99" ht="12" customHeight="1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24">
        <f>SUM(D99:O99)</f>
        <v/>
      </c>
      <c r="Q99" s="5" t="n"/>
    </row>
    <row r="100" ht="12" customHeight="1">
      <c r="A100" s="32" t="inlineStr">
        <is>
          <t>PROFIT</t>
        </is>
      </c>
      <c r="B100" s="33" t="n"/>
      <c r="C100" s="33" t="n"/>
      <c r="D100" s="34">
        <f>D4-D32-D60</f>
        <v/>
      </c>
      <c r="E100" s="34">
        <f>E4-E32-E60</f>
        <v/>
      </c>
      <c r="F100" s="34">
        <f>F4-F32-F60</f>
        <v/>
      </c>
      <c r="G100" s="34">
        <f>G4-G32-G60</f>
        <v/>
      </c>
      <c r="H100" s="34">
        <f>H4-H32-H60</f>
        <v/>
      </c>
      <c r="I100" s="34">
        <f>I4-I32-I60</f>
        <v/>
      </c>
      <c r="J100" s="34">
        <f>J4-J32-J60</f>
        <v/>
      </c>
      <c r="K100" s="34">
        <f>K4-K32-K60</f>
        <v/>
      </c>
      <c r="L100" s="34">
        <f>L4-L32-L60</f>
        <v/>
      </c>
      <c r="M100" s="34">
        <f>M4-M32-M60</f>
        <v/>
      </c>
      <c r="N100" s="34">
        <f>N4-N32-N60</f>
        <v/>
      </c>
      <c r="O100" s="34">
        <f>O4-O32-O60</f>
        <v/>
      </c>
      <c r="P100" s="9">
        <f>SUM(D100:O100)</f>
        <v/>
      </c>
      <c r="Q100" s="35" t="n"/>
    </row>
    <row r="101" ht="12" customHeight="1">
      <c r="A101" s="36" t="inlineStr">
        <is>
          <t xml:space="preserve">        % Profit / turnover</t>
        </is>
      </c>
      <c r="B101" s="37" t="n"/>
      <c r="C101" s="37" t="n"/>
      <c r="D101" s="38">
        <f>IFERROR(D100/D4,0)</f>
        <v/>
      </c>
      <c r="E101" s="38">
        <f>IFERROR(E100/E4,0)</f>
        <v/>
      </c>
      <c r="F101" s="38">
        <f>IFERROR(F100/F4,0)</f>
        <v/>
      </c>
      <c r="G101" s="38">
        <f>IFERROR(G100/G4,0)</f>
        <v/>
      </c>
      <c r="H101" s="38">
        <f>IFERROR(H100/H4,0)</f>
        <v/>
      </c>
      <c r="I101" s="38">
        <f>IFERROR(I100/I4,0)</f>
        <v/>
      </c>
      <c r="J101" s="38">
        <f>IFERROR(J100/J4,0)</f>
        <v/>
      </c>
      <c r="K101" s="38">
        <f>IFERROR(K100/K4,0)</f>
        <v/>
      </c>
      <c r="L101" s="38">
        <f>IFERROR(L100/L4,0)</f>
        <v/>
      </c>
      <c r="M101" s="38">
        <f>IFERROR(M100/M4,0)</f>
        <v/>
      </c>
      <c r="N101" s="38">
        <f>IFERROR(N100/N4,0)</f>
        <v/>
      </c>
      <c r="O101" s="38">
        <f>IFERROR(O100/O4,0)</f>
        <v/>
      </c>
      <c r="P101" s="39">
        <f>SUM(D101:O101)</f>
        <v/>
      </c>
      <c r="Q101" s="30" t="n"/>
    </row>
  </sheetData>
  <mergeCells count="2">
    <mergeCell ref="A3:C3"/>
    <mergeCell ref="A2:C2"/>
  </mergeCells>
  <hyperlinks>
    <hyperlink ref="Q6" location="'i-shopify-sl'!A1" display="-&gt;"/>
    <hyperlink ref="Q7" location="'i-shopify-sl'!A1" display="-&gt;"/>
    <hyperlink ref="Q8" location="'i-shopify-sl'!A1" display="-&gt;"/>
    <hyperlink ref="Q9" location="'i-shopify-sl'!A1" display="-&gt;"/>
    <hyperlink ref="Q10" location="'i-shopify-sl'!A1" display="-&gt;"/>
    <hyperlink ref="Q11" location="'i-shopify-sl'!A1" display="-&gt;"/>
    <hyperlink ref="Q12" location="'i-shopify-sl'!A1" display="-&gt;"/>
    <hyperlink ref="Q13" location="'i-shopify-sl'!A1" display="-&gt;"/>
    <hyperlink ref="Q14" location="'i-shopify-sl'!A1" display="-&gt;"/>
    <hyperlink ref="Q15" location="'i-shopify-sl'!A1" display="-&gt;"/>
    <hyperlink ref="Q16" location="'i-marketplaces-sl'!A1" display="-&gt;"/>
    <hyperlink ref="Q17" location="'i-marketplaces-sl'!A1" display="-&gt;"/>
    <hyperlink ref="Q18" location="'i-marketplaces-sl'!A1" display="-&gt;"/>
    <hyperlink ref="Q19" location="'i-marketplaces-sl'!A1" display="-&gt;"/>
    <hyperlink ref="Q20" location="'i-rappels-sl'!A1" display="-&gt;"/>
    <hyperlink ref="Q21" location="'i-rappels-sl'!A1" display="-&gt;"/>
    <hyperlink ref="Q22" location="'i-supplies-sl'!A1" display="-&gt;"/>
    <hyperlink ref="Q23" location="'i-supplies-sl'!A1" display="-&gt;"/>
    <hyperlink ref="Q25" location="'i-services-sl'!A1" display="-&gt;"/>
    <hyperlink ref="Q26" location="'i-services-sl'!A1" display="-&gt;"/>
    <hyperlink ref="Q27" location="'i-services-sl'!A1" display="-&gt;"/>
    <hyperlink ref="Q28" location="'i-services-sl'!A1" display="-&gt;"/>
    <hyperlink ref="Q29" location="'i-services-sl'!A1" display="-&gt;"/>
    <hyperlink ref="Q33" location="'g-expenses-sl'!A1" display="-&gt;"/>
    <hyperlink ref="Q34" location="'g-expenses-sl'!A1" display="-&gt;"/>
    <hyperlink ref="Q35" location="'g-expenses-sl'!A1" display="-&gt;"/>
    <hyperlink ref="Q36" location="'g-expenses-sl'!A1" display="-&gt;"/>
    <hyperlink ref="Q37" location="'g-expenses-sl'!A1" display="-&gt;"/>
    <hyperlink ref="Q38" location="'g-expenses-sl'!A1" display="-&gt;"/>
    <hyperlink ref="Q40" location="'g-expenses-sl'!A1" display="-&gt;"/>
    <hyperlink ref="Q41" location="'g-expenses-sl'!A1" display="-&gt;"/>
    <hyperlink ref="Q42" location="'g-expenses-sl'!A1" display="-&gt;"/>
    <hyperlink ref="Q43" location="'g-expenses-sl'!A1" display="-&gt;"/>
    <hyperlink ref="Q44" location="'g-expenses-sl'!A1" display="-&gt;"/>
    <hyperlink ref="Q45" location="'g-expenses-sl'!A1" display="-&gt;"/>
    <hyperlink ref="Q47" location="'g-expenses-sl'!A1" display="-&gt;"/>
    <hyperlink ref="Q48" location="'g-expenses-sl'!A1" display="-&gt;"/>
    <hyperlink ref="Q50" location="'g-payment-fees-sl'!A1" display="-&gt;"/>
    <hyperlink ref="Q51" location="'g-payment-fees-sl'!A1" display="-&gt;"/>
    <hyperlink ref="Q52" location="'g-payment-fees-sl'!A1" display="-&gt;"/>
    <hyperlink ref="Q61" location="'g-expenses-sl'!A1" display="-&gt;"/>
    <hyperlink ref="Q62" location="'g-expenses-sl'!A1" display="-&gt;"/>
    <hyperlink ref="Q63" location="'g-expenses-sl'!A1" display="-&gt;"/>
    <hyperlink ref="Q64" location="'g-expenses-sl'!A1" display="-&gt;"/>
    <hyperlink ref="Q65" location="'g-expenses-sl'!A1" display="-&gt;"/>
    <hyperlink ref="Q66" location="'g-expenses-sl'!A1" display="-&gt;"/>
    <hyperlink ref="Q67" location="'g-expenses-sl'!A1" display="-&gt;"/>
    <hyperlink ref="Q68" location="'g-expenses-sl'!A1" display="-&gt;"/>
    <hyperlink ref="Q69" location="'g-expenses-sl'!A1" display="-&gt;"/>
    <hyperlink ref="Q71" location="'g-expenses-sl'!A1" display="-&gt;"/>
    <hyperlink ref="Q72" location="'g-expenses-sl'!A1" display="-&gt;"/>
    <hyperlink ref="Q73" location="'g-expenses-sl'!A1" display="-&gt;"/>
    <hyperlink ref="Q74" location="'g-expenses-sl'!A1" display="-&gt;"/>
    <hyperlink ref="Q75" location="'g-expenses-sl'!A1" display="-&gt;"/>
    <hyperlink ref="Q76" location="'g-expenses-sl'!A1" display="-&gt;"/>
    <hyperlink ref="Q77" location="'g-expenses-sl'!A1" display="-&gt;"/>
    <hyperlink ref="Q78" location="'g-expenses-sl'!A1" display="-&gt;"/>
    <hyperlink ref="Q79" location="'g-expenses-sl'!A1" display="-&gt;"/>
    <hyperlink ref="Q80" location="'g-expenses-sl'!A1" display="-&gt;"/>
    <hyperlink ref="Q81" location="'g-expenses-sl'!A1" display="-&gt;"/>
    <hyperlink ref="Q82" location="'g-expenses-sl'!A1" display="-&gt;"/>
    <hyperlink ref="Q83" location="'g-expenses-sl'!A1" display="-&gt;"/>
    <hyperlink ref="Q84" location="'g-expenses-sl'!A1" display="-&gt;"/>
    <hyperlink ref="Q85" location="'g-expenses-sl'!A1" display="-&gt;"/>
    <hyperlink ref="Q86" location="'g-expenses-sl'!A1" display="-&gt;"/>
    <hyperlink ref="Q87" location="'g-expenses-sl'!A1" display="-&gt;"/>
    <hyperlink ref="Q88" location="'g-expenses-sl'!A1" display="-&gt;"/>
    <hyperlink ref="Q89" location="'g-expenses-sl'!A1" display="-&gt;"/>
    <hyperlink ref="Q90" location="'g-expenses-sl'!A1" display="-&gt;"/>
    <hyperlink ref="Q91" location="'g-expenses-sl'!A1" display="-&gt;"/>
    <hyperlink ref="Q92" location="'g-expenses-sl'!A1" display="-&gt;"/>
    <hyperlink ref="Q93" location="'g-expenses-sl'!A1" display="-&gt;"/>
    <hyperlink ref="Q94" location="'g-expenses-sl'!A1" display="-&gt;"/>
    <hyperlink ref="Q95" location="'g-expenses-sl'!A1" display="-&gt;"/>
    <hyperlink ref="Q96" location="'g-expenses-sl'!A1" display="-&gt;"/>
    <hyperlink ref="Q97" location="'g-expenses-sl'!A1" display="-&gt;"/>
    <hyperlink ref="Q98" location="'g-expenses-sl'!A1" display="-&gt;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2026-03-23T08:26:33Z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  <c r="H3" t="inlineStr"/>
      <c r="I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  <c r="H4" t="inlineStr"/>
      <c r="I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  <c r="H5" t="inlineStr"/>
      <c r="I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  <c r="H6" t="inlineStr"/>
      <c r="I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  <c r="H7" t="inlineStr"/>
      <c r="I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  <c r="H8" t="inlineStr"/>
      <c r="I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  <c r="H9" t="inlineStr"/>
      <c r="I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  <c r="H10" t="inlineStr"/>
      <c r="I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  <c r="H11" t="inlineStr"/>
      <c r="I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  <c r="H12" t="inlineStr"/>
      <c r="I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  <c r="H13" t="inlineStr"/>
      <c r="I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  <c r="H14" t="inlineStr"/>
      <c r="I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  <c r="H15" t="inlineStr"/>
      <c r="I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  <c r="H16" t="inlineStr"/>
      <c r="I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  <c r="H17" t="inlineStr"/>
      <c r="I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  <c r="H18" t="inlineStr"/>
      <c r="I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  <c r="H19" t="inlineStr"/>
      <c r="I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  <c r="H20" t="inlineStr"/>
      <c r="I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  <c r="H21" t="inlineStr"/>
      <c r="I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  <c r="H22" t="inlineStr"/>
      <c r="I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  <c r="H23" t="inlineStr"/>
      <c r="I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  <c r="H24" t="inlineStr"/>
      <c r="I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  <c r="H25" t="inlineStr"/>
      <c r="I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  <c r="H26" t="inlineStr"/>
      <c r="I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  <c r="H27" t="inlineStr"/>
      <c r="I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  <c r="H28" t="inlineStr"/>
      <c r="I28" t="inlineStr"/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  <c r="H3" s="45" t="inlineStr">
        <is>
          <t>2026-0008</t>
        </is>
      </c>
      <c r="I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  <c r="H4" s="45" t="inlineStr">
        <is>
          <t>2026-0013</t>
        </is>
      </c>
      <c r="I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  <c r="H5" s="45" t="inlineStr">
        <is>
          <t>AS-99158</t>
        </is>
      </c>
      <c r="I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  <c r="H6" s="45" t="inlineStr">
        <is>
          <t>AS-101940</t>
        </is>
      </c>
      <c r="I6" t="inlineStr">
        <is>
          <t>https://drive.google.com/file/d/18nd9g2717srK8fdaeAjNuV-HtW9zUU3A/view?usp=drivesdk</t>
        </is>
      </c>
    </row>
  </sheetData>
  <hyperlinks>
    <hyperlink ref="A1" location="'P&amp;G-SL'!A1" display="&lt;- Volver a P&amp;G-SL"/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  <c r="H3" s="45" t="inlineStr">
        <is>
          <t>A_2026-0006</t>
        </is>
      </c>
      <c r="I3" t="inlineStr">
        <is>
          <t>https://drive.google.com/file/d/1TatcT909r9lQss48nnCsBt5kjo76SoJK/view?usp=drivesdk</t>
        </is>
      </c>
    </row>
  </sheetData>
  <hyperlinks>
    <hyperlink ref="A1" location="'P&amp;G-SL'!A1" display="&lt;- Volver a P&amp;G-SL"/>
    <hyperlink xmlns:r="http://schemas.openxmlformats.org/officeDocument/2006/relationships" ref="H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-1753.49</v>
      </c>
      <c r="F3" t="inlineStr">
        <is>
          <t>EUR</t>
        </is>
      </c>
      <c r="G3" t="inlineStr">
        <is>
          <t>documents</t>
        </is>
      </c>
      <c r="H3" s="45" t="inlineStr">
        <is>
          <t>SUPPLIED-202512</t>
        </is>
      </c>
      <c r="I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-422.97</v>
      </c>
      <c r="F4" t="inlineStr">
        <is>
          <t>EUR</t>
        </is>
      </c>
      <c r="G4" t="inlineStr">
        <is>
          <t>documents</t>
        </is>
      </c>
      <c r="H4" s="45" t="inlineStr">
        <is>
          <t>SUPPLIED-202601</t>
        </is>
      </c>
      <c r="I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t="n">
        <v>-522.54</v>
      </c>
      <c r="F5" t="inlineStr">
        <is>
          <t>EUR</t>
        </is>
      </c>
      <c r="G5" t="inlineStr">
        <is>
          <t>documents</t>
        </is>
      </c>
      <c r="H5" s="45" t="inlineStr">
        <is>
          <t>SUPPLIED-202602</t>
        </is>
      </c>
      <c r="I5" t="inlineStr">
        <is>
          <t>https://drive.google.com/file/d/1P7U8R2vW7HJBpC4dFcTfQ6Fl5v7lZf-T/view?usp=drivesdk</t>
        </is>
      </c>
    </row>
  </sheetData>
  <hyperlinks>
    <hyperlink ref="A1" location="'P&amp;G-SL'!A1" display="&lt;- Volver a P&amp;G-SL"/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  <c r="H3" s="45" t="inlineStr">
        <is>
          <t>2026-0006</t>
        </is>
      </c>
      <c r="I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  <c r="H4" s="45" t="inlineStr">
        <is>
          <t>2026-0007</t>
        </is>
      </c>
      <c r="I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  <c r="H5" s="45" t="inlineStr">
        <is>
          <t>2026-0009</t>
        </is>
      </c>
      <c r="I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  <c r="H6" s="45" t="inlineStr">
        <is>
          <t>2026-0010</t>
        </is>
      </c>
      <c r="I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  <c r="H7" s="45" t="inlineStr">
        <is>
          <t>2026-0011</t>
        </is>
      </c>
      <c r="I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  <c r="H8" s="45" t="inlineStr">
        <is>
          <t>2026-0014</t>
        </is>
      </c>
      <c r="I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  <c r="H9" s="45" t="inlineStr">
        <is>
          <t>2026-0015</t>
        </is>
      </c>
      <c r="I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  <c r="H10" s="45" t="inlineStr">
        <is>
          <t>2026-0012</t>
        </is>
      </c>
      <c r="I10" t="inlineStr">
        <is>
          <t>https://drive.google.com/file/d/1m_ONfUFq-mhxCI2SVs0iWw4Ss3ohvEPU/view?usp=drivesdk</t>
        </is>
      </c>
    </row>
  </sheetData>
  <hyperlinks>
    <hyperlink ref="A1" location="'P&amp;G-SL'!A1" display="&lt;- Volver a P&amp;G-SL"/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hidden="1" width="14" customWidth="1" min="11" max="11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  <c r="J2" s="44" t="inlineStr">
        <is>
          <t>invoice_number</t>
        </is>
      </c>
      <c r="K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RAILWAY</t>
        </is>
      </c>
      <c r="F3" t="inlineStr"/>
      <c r="G3" t="n">
        <v>20</v>
      </c>
      <c r="H3" t="inlineStr">
        <is>
          <t>USD</t>
        </is>
      </c>
      <c r="I3" t="inlineStr">
        <is>
          <t>documents</t>
        </is>
      </c>
      <c r="J3" s="45" t="inlineStr">
        <is>
          <t>1602C2F5-0015</t>
        </is>
      </c>
      <c r="K3" t="inlineStr">
        <is>
          <t>https://drive.google.com/file/d/1ih8AMHNM7ZQvhfJOhpZ3dpM0Bv3oyAA-/view?usp=drivesdk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opex</t>
        </is>
      </c>
      <c r="D4" t="inlineStr">
        <is>
          <t>technology</t>
        </is>
      </c>
      <c r="E4" t="inlineStr">
        <is>
          <t>RAILWAY</t>
        </is>
      </c>
      <c r="F4" t="inlineStr"/>
      <c r="G4" t="n">
        <v>20</v>
      </c>
      <c r="H4" t="inlineStr">
        <is>
          <t>USD</t>
        </is>
      </c>
      <c r="I4" t="inlineStr">
        <is>
          <t>documents</t>
        </is>
      </c>
      <c r="J4" s="45" t="inlineStr">
        <is>
          <t>1602C2F5-0016</t>
        </is>
      </c>
      <c r="K4" t="inlineStr">
        <is>
          <t>https://drive.google.com/file/d/1nql7QpcMxbeNk-s_Ku_8yFOrf0x8QVss/view?usp=drivesdk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opex</t>
        </is>
      </c>
      <c r="D5" t="inlineStr">
        <is>
          <t>technology</t>
        </is>
      </c>
      <c r="E5" t="inlineStr">
        <is>
          <t>ADOBE</t>
        </is>
      </c>
      <c r="F5" t="inlineStr"/>
      <c r="G5" t="n">
        <v>33.49</v>
      </c>
      <c r="H5" t="inlineStr">
        <is>
          <t>EUR</t>
        </is>
      </c>
      <c r="I5" t="inlineStr">
        <is>
          <t>documents</t>
        </is>
      </c>
      <c r="J5" s="45" t="inlineStr">
        <is>
          <t>IEE2026001813920</t>
        </is>
      </c>
      <c r="K5" t="inlineStr">
        <is>
          <t>https://drive.google.com/file/d/1bfLhUT5wi1Zga5-YKV-y_tFqtaYvhqG_/view?usp=drivesdk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APPHOTOCAN</t>
        </is>
      </c>
      <c r="F6" t="inlineStr"/>
      <c r="G6" t="n">
        <v>29.22</v>
      </c>
      <c r="H6" t="inlineStr">
        <is>
          <t>EUR</t>
        </is>
      </c>
      <c r="I6" t="inlineStr">
        <is>
          <t>documents</t>
        </is>
      </c>
      <c r="J6" s="45" t="inlineStr">
        <is>
          <t>26-1-147</t>
        </is>
      </c>
      <c r="K6" t="inlineStr">
        <is>
          <t>https://drive.google.com/file/d/1R3F1S4DkkMdWjQCije5h6JcXrv2oanjz/view?usp=drivesdk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t="n">
        <v>4472.74</v>
      </c>
      <c r="H7" t="inlineStr">
        <is>
          <t>EUR</t>
        </is>
      </c>
      <c r="I7" t="inlineStr">
        <is>
          <t>documents</t>
        </is>
      </c>
      <c r="J7" s="45" t="inlineStr">
        <is>
          <t>1-1115</t>
        </is>
      </c>
      <c r="K7" t="inlineStr">
        <is>
          <t>https://drive.google.com/file/d/1WUqPHPgca1EQI6FEQ45b4g1OBJLlBFy7/view?usp=drivesdk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t="n">
        <v>2583.61</v>
      </c>
      <c r="H8" t="inlineStr">
        <is>
          <t>EUR</t>
        </is>
      </c>
      <c r="I8" t="inlineStr">
        <is>
          <t>documents</t>
        </is>
      </c>
      <c r="J8" s="45" t="inlineStr">
        <is>
          <t>1-412</t>
        </is>
      </c>
      <c r="K8" t="inlineStr">
        <is>
          <t>https://drive.google.com/file/d/1HSHnKuD3wT5VaYKRyqQtc1Kn3jvbtI5z/view?usp=drivesdk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APPHOTOES</t>
        </is>
      </c>
      <c r="F9" t="inlineStr"/>
      <c r="G9" t="n">
        <v>1083.14</v>
      </c>
      <c r="H9" t="inlineStr">
        <is>
          <t>EUR</t>
        </is>
      </c>
      <c r="I9" t="inlineStr">
        <is>
          <t>documents</t>
        </is>
      </c>
      <c r="J9" s="45" t="inlineStr">
        <is>
          <t>1-527</t>
        </is>
      </c>
      <c r="K9" t="inlineStr">
        <is>
          <t>https://drive.google.com/file/d/1QiOFa-Pu55ImYk1EgtLQ-1AJeKteGKKN/view?usp=drivesdk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manufacturing</t>
        </is>
      </c>
      <c r="E10" t="inlineStr">
        <is>
          <t>APPHOTOES</t>
        </is>
      </c>
      <c r="F10" t="inlineStr"/>
      <c r="G10" t="n">
        <v>9758.59</v>
      </c>
      <c r="H10" t="inlineStr">
        <is>
          <t>EUR</t>
        </is>
      </c>
      <c r="I10" t="inlineStr">
        <is>
          <t>documents</t>
        </is>
      </c>
      <c r="J10" s="45" t="inlineStr">
        <is>
          <t>1-841</t>
        </is>
      </c>
      <c r="K10" t="inlineStr">
        <is>
          <t>https://drive.google.com/file/d/1Nv_kf16K0jbiVtLvDOdsF2s81ubDK86-/view?usp=drivesdk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CANVA</t>
        </is>
      </c>
      <c r="F11" t="inlineStr"/>
      <c r="G11" t="n">
        <v>9.91</v>
      </c>
      <c r="H11" t="inlineStr">
        <is>
          <t>EUR</t>
        </is>
      </c>
      <c r="I11" t="inlineStr">
        <is>
          <t>documents</t>
        </is>
      </c>
      <c r="J11" s="45" t="inlineStr">
        <is>
          <t>04765-19148572</t>
        </is>
      </c>
      <c r="K11" t="inlineStr">
        <is>
          <t>https://drive.google.com/file/d/1F1T1ZbmwTiAvZymdmK5UN5ILkYzAcyjE/view?usp=drivesdk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administration</t>
        </is>
      </c>
      <c r="E12" t="inlineStr">
        <is>
          <t>CLARIS</t>
        </is>
      </c>
      <c r="F12" t="inlineStr"/>
      <c r="G12" t="n">
        <v>808.08</v>
      </c>
      <c r="H12" t="inlineStr">
        <is>
          <t>EUR</t>
        </is>
      </c>
      <c r="I12" t="inlineStr">
        <is>
          <t>documents</t>
        </is>
      </c>
      <c r="J12" s="45" t="inlineStr">
        <is>
          <t>F00036/26</t>
        </is>
      </c>
      <c r="K12" t="inlineStr">
        <is>
          <t>https://drive.google.com/file/d/1sZGtXApoakTTNvLB9pud8pMEBdr3FgDZ/view?usp=drivesdk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logistics</t>
        </is>
      </c>
      <c r="E13" t="inlineStr">
        <is>
          <t>CORREOS</t>
        </is>
      </c>
      <c r="F13" t="inlineStr"/>
      <c r="G13" t="n">
        <v>155.8</v>
      </c>
      <c r="H13" t="inlineStr">
        <is>
          <t>EUR</t>
        </is>
      </c>
      <c r="I13" t="inlineStr">
        <is>
          <t>documents</t>
        </is>
      </c>
      <c r="J13" s="45" t="inlineStr">
        <is>
          <t>4004550727</t>
        </is>
      </c>
      <c r="K13" t="inlineStr">
        <is>
          <t>https://drive.google.com/file/d/13rt7yQ8sQuRvlpYE9WCitcMHEZMp3m_O/view?usp=drivesdk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logistics</t>
        </is>
      </c>
      <c r="E14" t="inlineStr">
        <is>
          <t>CORREOS</t>
        </is>
      </c>
      <c r="F14" t="inlineStr"/>
      <c r="G14" t="n">
        <v>397.96</v>
      </c>
      <c r="H14" t="inlineStr">
        <is>
          <t>EUR</t>
        </is>
      </c>
      <c r="I14" t="inlineStr">
        <is>
          <t>documents</t>
        </is>
      </c>
      <c r="J14" s="45" t="inlineStr">
        <is>
          <t>4004566874</t>
        </is>
      </c>
      <c r="K14" t="inlineStr">
        <is>
          <t>https://drive.google.com/file/d/19fXXs3bT9JRPi6FOU7JWx3Antd-__jQl/view?usp=drivesdk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t="n">
        <v>5835.02</v>
      </c>
      <c r="H15" t="inlineStr">
        <is>
          <t>EUR</t>
        </is>
      </c>
      <c r="I15" t="inlineStr">
        <is>
          <t>documents</t>
        </is>
      </c>
      <c r="J15" s="45" t="inlineStr">
        <is>
          <t>26-0045</t>
        </is>
      </c>
      <c r="K15" t="inlineStr">
        <is>
          <t>https://drive.google.com/file/d/1CyeswzB650BIBblZ0j3XZapFNejIKlS7/view?usp=drivesdk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manufacturing</t>
        </is>
      </c>
      <c r="E16" t="inlineStr">
        <is>
          <t>DCT</t>
        </is>
      </c>
      <c r="F16" t="inlineStr"/>
      <c r="G16" t="n">
        <v>3802.59</v>
      </c>
      <c r="H16" t="inlineStr">
        <is>
          <t>EUR</t>
        </is>
      </c>
      <c r="I16" t="inlineStr">
        <is>
          <t>documents</t>
        </is>
      </c>
      <c r="J16" s="45" t="inlineStr">
        <is>
          <t>26-0166</t>
        </is>
      </c>
      <c r="K16" t="inlineStr">
        <is>
          <t>https://drive.google.com/file/d/1bFtmiVMoUJHrjmSz3_aAWbUn5HmF4v7t/view?usp=drivesdk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cogs</t>
        </is>
      </c>
      <c r="D17" t="inlineStr">
        <is>
          <t>manufacturing</t>
        </is>
      </c>
      <c r="E17" t="inlineStr">
        <is>
          <t>DCT</t>
        </is>
      </c>
      <c r="F17" t="inlineStr"/>
      <c r="G17" t="n">
        <v>92.5</v>
      </c>
      <c r="H17" t="inlineStr">
        <is>
          <t>EUR</t>
        </is>
      </c>
      <c r="I17" t="inlineStr">
        <is>
          <t>documents</t>
        </is>
      </c>
      <c r="J17" s="45" t="inlineStr">
        <is>
          <t>26-0167</t>
        </is>
      </c>
      <c r="K17" t="inlineStr">
        <is>
          <t>https://drive.google.com/file/d/1KknDEkSlyPD0Pdkhf322Awt1eAP1q8Gk/view?usp=drivesdk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cogs</t>
        </is>
      </c>
      <c r="D18" t="inlineStr">
        <is>
          <t>logistics</t>
        </is>
      </c>
      <c r="E18" t="inlineStr">
        <is>
          <t>GLS</t>
        </is>
      </c>
      <c r="F18" t="inlineStr"/>
      <c r="G18" t="n">
        <v>12319.26</v>
      </c>
      <c r="H18" t="inlineStr">
        <is>
          <t>EUR</t>
        </is>
      </c>
      <c r="I18" t="inlineStr">
        <is>
          <t>documents</t>
        </is>
      </c>
      <c r="J18" s="45" t="inlineStr">
        <is>
          <t>20260014</t>
        </is>
      </c>
      <c r="K18" t="inlineStr">
        <is>
          <t>https://drive.google.com/file/d/1RtCS-MVwMjJZx5mk-fbeVnp34j-MJNaK/view?usp=drivesdk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GODADDY</t>
        </is>
      </c>
      <c r="F19" t="inlineStr"/>
      <c r="G19" t="n">
        <v>16.99</v>
      </c>
      <c r="H19" t="inlineStr">
        <is>
          <t>EUR</t>
        </is>
      </c>
      <c r="I19" t="inlineStr">
        <is>
          <t>documents</t>
        </is>
      </c>
      <c r="J19" s="45" t="inlineStr">
        <is>
          <t>3984999752</t>
        </is>
      </c>
      <c r="K19" t="inlineStr">
        <is>
          <t>https://drive.google.com/file/d/1Gm9gJDGHIBXQ_WXv2YkF4lyQ6EIMS-DA/view?usp=drivesdk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technology</t>
        </is>
      </c>
      <c r="E20" t="inlineStr">
        <is>
          <t>GODADDY</t>
        </is>
      </c>
      <c r="F20" t="inlineStr"/>
      <c r="G20" t="n">
        <v>17.24</v>
      </c>
      <c r="H20" t="inlineStr">
        <is>
          <t>EUR</t>
        </is>
      </c>
      <c r="I20" t="inlineStr">
        <is>
          <t>documents</t>
        </is>
      </c>
      <c r="J20" s="45" t="inlineStr">
        <is>
          <t>3994794936</t>
        </is>
      </c>
      <c r="K20" t="inlineStr">
        <is>
          <t>https://drive.google.com/file/d/1wr9Nejy--4BUDpyg8riD4WzBFOQ_RYAA/view?usp=drivesdk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eu</t>
        </is>
      </c>
      <c r="G21" t="n">
        <v>24746.34</v>
      </c>
      <c r="H21" t="inlineStr">
        <is>
          <t>EUR</t>
        </is>
      </c>
      <c r="I21" t="inlineStr">
        <is>
          <t>documents</t>
        </is>
      </c>
      <c r="J21" s="45" t="inlineStr">
        <is>
          <t>5489506571</t>
        </is>
      </c>
      <c r="K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GOOGLEADS</t>
        </is>
      </c>
      <c r="F22" t="inlineStr">
        <is>
          <t>uk</t>
        </is>
      </c>
      <c r="G22" t="n">
        <v>2298.67</v>
      </c>
      <c r="H22" t="inlineStr">
        <is>
          <t>EUR</t>
        </is>
      </c>
      <c r="I22" t="inlineStr">
        <is>
          <t>documents</t>
        </is>
      </c>
      <c r="J22" s="45" t="inlineStr">
        <is>
          <t>5489506571</t>
        </is>
      </c>
      <c r="K22" t="inlineStr">
        <is>
          <t>https://drive.google.com/file/d/18pxQbj0cm3VVE381utczsaBPUOMg2_rE/view?usp=drivesdk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marketing</t>
        </is>
      </c>
      <c r="E23" t="inlineStr">
        <is>
          <t>GOOGLEADS</t>
        </is>
      </c>
      <c r="F23" t="inlineStr">
        <is>
          <t>us</t>
        </is>
      </c>
      <c r="G23" t="n">
        <v>2119.05</v>
      </c>
      <c r="H23" t="inlineStr">
        <is>
          <t>EUR</t>
        </is>
      </c>
      <c r="I23" t="inlineStr">
        <is>
          <t>documents</t>
        </is>
      </c>
      <c r="J23" s="45" t="inlineStr">
        <is>
          <t>5489506571</t>
        </is>
      </c>
      <c r="K23" t="inlineStr">
        <is>
          <t>https://drive.google.com/file/d/18pxQbj0cm3VVE381utczsaBPUOMg2_rE/view?usp=drivesdk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GOOGLEWORKSPACE</t>
        </is>
      </c>
      <c r="F24" t="inlineStr"/>
      <c r="G24" t="n">
        <v>194.4</v>
      </c>
      <c r="H24" t="inlineStr">
        <is>
          <t>EUR</t>
        </is>
      </c>
      <c r="I24" t="inlineStr">
        <is>
          <t>documents</t>
        </is>
      </c>
      <c r="J24" s="45" t="inlineStr">
        <is>
          <t>5472439457</t>
        </is>
      </c>
      <c r="K24" t="inlineStr">
        <is>
          <t>https://drive.google.com/file/d/1iux2hxJTx8pApkdRTQ8TxrWAycKskSLW/view?usp=drivesdk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GORGIAS</t>
        </is>
      </c>
      <c r="F25" t="inlineStr"/>
      <c r="G25" t="n">
        <v>201.2</v>
      </c>
      <c r="H25" t="inlineStr">
        <is>
          <t>USD</t>
        </is>
      </c>
      <c r="I25" t="inlineStr">
        <is>
          <t>documents</t>
        </is>
      </c>
      <c r="J25" s="45" t="inlineStr">
        <is>
          <t>INC-01-2026-35934</t>
        </is>
      </c>
      <c r="K25" t="inlineStr">
        <is>
          <t>https://drive.google.com/file/d/1cCVWMZjXH5GZ4KJ7Owu69neJD3Mu8nhQ/view?usp=drivesdk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HETZNER</t>
        </is>
      </c>
      <c r="F26" t="inlineStr"/>
      <c r="G26" t="n">
        <v>10.9</v>
      </c>
      <c r="H26" t="inlineStr">
        <is>
          <t>EUR</t>
        </is>
      </c>
      <c r="I26" t="inlineStr">
        <is>
          <t>documents</t>
        </is>
      </c>
      <c r="J26" s="45" t="inlineStr">
        <is>
          <t>084000695806</t>
        </is>
      </c>
      <c r="K26" t="inlineStr">
        <is>
          <t>https://drive.google.com/file/d/1mtjFeFve-rSAPTA0bq7zwh6FvresB1tx/view?usp=drivesdk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KONVOAI</t>
        </is>
      </c>
      <c r="F27" t="inlineStr"/>
      <c r="G27" t="n">
        <v>114.89</v>
      </c>
      <c r="H27" t="inlineStr">
        <is>
          <t>EUR</t>
        </is>
      </c>
      <c r="I27" t="inlineStr">
        <is>
          <t>documents</t>
        </is>
      </c>
      <c r="J27" s="45" t="inlineStr">
        <is>
          <t>B5F7DF3C-6721</t>
        </is>
      </c>
      <c r="K27" t="inlineStr">
        <is>
          <t>https://drive.google.com/file/d/1FvjQkV9yZwLwYyh31yDEv4r6Ws9x-Gee/view?usp=drivesdk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KONVOAI</t>
        </is>
      </c>
      <c r="F28" t="inlineStr"/>
      <c r="G28" t="n">
        <v>339</v>
      </c>
      <c r="H28" t="inlineStr">
        <is>
          <t>EUR</t>
        </is>
      </c>
      <c r="I28" t="inlineStr">
        <is>
          <t>documents</t>
        </is>
      </c>
      <c r="J28" s="45" t="inlineStr">
        <is>
          <t>B5F7DF3C-6940</t>
        </is>
      </c>
      <c r="K28" t="inlineStr">
        <is>
          <t>https://drive.google.com/file/d/1saa91nUMC9fiC166aUrnROE5ZHw8d_r6/view?usp=drivesdk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MASMOVIL</t>
        </is>
      </c>
      <c r="F29" t="inlineStr"/>
      <c r="G29" t="n">
        <v>5</v>
      </c>
      <c r="H29" t="inlineStr">
        <is>
          <t>EUR</t>
        </is>
      </c>
      <c r="I29" t="inlineStr">
        <is>
          <t>documents</t>
        </is>
      </c>
      <c r="J29" s="45" t="inlineStr">
        <is>
          <t>MC260001070524</t>
        </is>
      </c>
      <c r="K29" t="inlineStr">
        <is>
          <t>https://drive.google.com/file/d/1Dqpxqnn8K6M513jJX6b-_iaNJoHc9CRf/view?usp=drivesdk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eu</t>
        </is>
      </c>
      <c r="G30" t="n">
        <v>20319.32</v>
      </c>
      <c r="H30" t="inlineStr">
        <is>
          <t>EUR</t>
        </is>
      </c>
      <c r="I30" t="inlineStr">
        <is>
          <t>documents</t>
        </is>
      </c>
      <c r="J30" s="45" t="inlineStr">
        <is>
          <t>250807809</t>
        </is>
      </c>
      <c r="K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marketing</t>
        </is>
      </c>
      <c r="E31" t="inlineStr">
        <is>
          <t>METAADS</t>
        </is>
      </c>
      <c r="F31" t="inlineStr">
        <is>
          <t>uk</t>
        </is>
      </c>
      <c r="G31" t="n">
        <v>3385.46</v>
      </c>
      <c r="H31" t="inlineStr">
        <is>
          <t>EUR</t>
        </is>
      </c>
      <c r="I31" t="inlineStr">
        <is>
          <t>documents</t>
        </is>
      </c>
      <c r="J31" s="45" t="inlineStr">
        <is>
          <t>250807809</t>
        </is>
      </c>
      <c r="K31" t="inlineStr">
        <is>
          <t>https://drive.google.com/file/d/18umjaalA1qWOFkhllNu22AbrnmcOGohV/view?usp=drivesdk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marketing</t>
        </is>
      </c>
      <c r="E32" t="inlineStr">
        <is>
          <t>METAADS</t>
        </is>
      </c>
      <c r="F32" t="inlineStr">
        <is>
          <t>us</t>
        </is>
      </c>
      <c r="G32" t="n">
        <v>1779.68</v>
      </c>
      <c r="H32" t="inlineStr">
        <is>
          <t>EUR</t>
        </is>
      </c>
      <c r="I32" t="inlineStr">
        <is>
          <t>documents</t>
        </is>
      </c>
      <c r="J32" s="45" t="inlineStr">
        <is>
          <t>250807809</t>
        </is>
      </c>
      <c r="K32" t="inlineStr">
        <is>
          <t>https://drive.google.com/file/d/18umjaalA1qWOFkhllNu22AbrnmcOGohV/view?usp=drivesdk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MICROSOFT</t>
        </is>
      </c>
      <c r="F33" t="inlineStr"/>
      <c r="G33" t="n">
        <v>30.87</v>
      </c>
      <c r="H33" t="inlineStr">
        <is>
          <t>EUR</t>
        </is>
      </c>
      <c r="I33" t="inlineStr">
        <is>
          <t>documents</t>
        </is>
      </c>
      <c r="J33" s="45" t="inlineStr">
        <is>
          <t>G135222851</t>
        </is>
      </c>
      <c r="K33" t="inlineStr">
        <is>
          <t>https://drive.google.com/file/d/1YkkVd0CygsXrJ-x-3pub1Sw9g6ZsG1la/view?usp=drivesdk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OPENAI</t>
        </is>
      </c>
      <c r="F34" t="inlineStr">
        <is>
          <t>api_usage</t>
        </is>
      </c>
      <c r="G34" t="n">
        <v>10</v>
      </c>
      <c r="H34" t="inlineStr">
        <is>
          <t>USD</t>
        </is>
      </c>
      <c r="I34" t="inlineStr">
        <is>
          <t>documents</t>
        </is>
      </c>
      <c r="J34" s="45" t="inlineStr">
        <is>
          <t>BZHJNTUB0001</t>
        </is>
      </c>
      <c r="K34" t="inlineStr">
        <is>
          <t>https://drive.google.com/file/d/1c_a7u0uC_WNkVQzPENEHHzZf2GoRgYzp/view?usp=drivesdk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OPENAI</t>
        </is>
      </c>
      <c r="F35" t="inlineStr">
        <is>
          <t>chatgpt_plus</t>
        </is>
      </c>
      <c r="G35" t="n">
        <v>19.01</v>
      </c>
      <c r="H35" t="inlineStr">
        <is>
          <t>EUR</t>
        </is>
      </c>
      <c r="I35" t="inlineStr">
        <is>
          <t>documents</t>
        </is>
      </c>
      <c r="J35" s="45" t="inlineStr">
        <is>
          <t>7BSDV5AM0001</t>
        </is>
      </c>
      <c r="K35" t="inlineStr">
        <is>
          <t>https://drive.google.com/file/d/1Z8crn0ZC5tm2cibuFjiaNGAUQ32eDz4H/view?usp=drivesdk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PRESSING</t>
        </is>
      </c>
      <c r="F36" t="inlineStr"/>
      <c r="G36" t="n">
        <v>28979.31</v>
      </c>
      <c r="H36" t="inlineStr">
        <is>
          <t>EUR</t>
        </is>
      </c>
      <c r="I36" t="inlineStr">
        <is>
          <t>documents</t>
        </is>
      </c>
      <c r="J36" s="45" t="inlineStr">
        <is>
          <t>FAC/2026/26100000691</t>
        </is>
      </c>
      <c r="K36" t="inlineStr">
        <is>
          <t>https://drive.google.com/file/d/1OUc0Fa83_INuKCsZQC_juJA8WSWOmU7e/view?usp=drivesdk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PRODUCTHERO</t>
        </is>
      </c>
      <c r="F37" t="inlineStr"/>
      <c r="G37" t="n">
        <v>134</v>
      </c>
      <c r="H37" t="inlineStr">
        <is>
          <t>EUR</t>
        </is>
      </c>
      <c r="I37" t="inlineStr">
        <is>
          <t>documents</t>
        </is>
      </c>
      <c r="J37" s="45" t="inlineStr">
        <is>
          <t>205588</t>
        </is>
      </c>
      <c r="K37" t="inlineStr">
        <is>
          <t>https://drive.google.com/file/d/14DyM0O39wOTD_wOQwkZ2nqk44A4Xr0Pd/view?usp=drivesdk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REVER</t>
        </is>
      </c>
      <c r="F38" t="inlineStr"/>
      <c r="G38" t="n">
        <v>434.8</v>
      </c>
      <c r="H38" t="inlineStr">
        <is>
          <t>EUR</t>
        </is>
      </c>
      <c r="I38" t="inlineStr">
        <is>
          <t>documents</t>
        </is>
      </c>
      <c r="J38" s="45" t="inlineStr">
        <is>
          <t>RVR-16471</t>
        </is>
      </c>
      <c r="K38" t="inlineStr">
        <is>
          <t>https://drive.google.com/file/d/1MOlMl6uaY6n-XUO8ZDVih0oyxqYCdtvw/view?usp=drivesdk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opex</t>
        </is>
      </c>
      <c r="D39" t="inlineStr">
        <is>
          <t>technology</t>
        </is>
      </c>
      <c r="E39" t="inlineStr">
        <is>
          <t>REVER</t>
        </is>
      </c>
      <c r="F39" t="inlineStr"/>
      <c r="G39" t="n">
        <v>79</v>
      </c>
      <c r="H39" t="inlineStr">
        <is>
          <t>EUR</t>
        </is>
      </c>
      <c r="I39" t="inlineStr">
        <is>
          <t>documents</t>
        </is>
      </c>
      <c r="J39" s="45" t="inlineStr">
        <is>
          <t>RVR-16823</t>
        </is>
      </c>
      <c r="K39" t="inlineStr">
        <is>
          <t>https://drive.google.com/file/d/15PYo6Nf9Rs0V66jula2uxmSQ1q_sREm9/view?usp=drivesdk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technology</t>
        </is>
      </c>
      <c r="E40" t="inlineStr">
        <is>
          <t>SHOPIFY</t>
        </is>
      </c>
      <c r="F40" t="inlineStr"/>
      <c r="G40" t="n">
        <v>2674.4</v>
      </c>
      <c r="H40" t="inlineStr">
        <is>
          <t>USD</t>
        </is>
      </c>
      <c r="I40" t="inlineStr">
        <is>
          <t>documents</t>
        </is>
      </c>
      <c r="J40" s="45" t="inlineStr">
        <is>
          <t>479105361</t>
        </is>
      </c>
      <c r="K40" t="inlineStr">
        <is>
          <t>https://drive.google.com/file/d/1xcXRJuhK0s-9Giwr-lbqS68FlhkSzTWB/view?usp=drivesdk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SPRINGGDS</t>
        </is>
      </c>
      <c r="F41" t="inlineStr"/>
      <c r="G41" t="n">
        <v>3.3</v>
      </c>
      <c r="H41" t="inlineStr">
        <is>
          <t>EUR</t>
        </is>
      </c>
      <c r="I41" t="inlineStr">
        <is>
          <t>documents</t>
        </is>
      </c>
      <c r="J41" s="45" t="inlineStr">
        <is>
          <t>E2600764</t>
        </is>
      </c>
      <c r="K41" t="inlineStr">
        <is>
          <t>https://drive.google.com/file/d/1VbeIR7bk7enIlMQGnI8ZlR-KDaMoHDKn/view?usp=drivesdk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opex</t>
        </is>
      </c>
      <c r="D42" t="inlineStr">
        <is>
          <t>administration</t>
        </is>
      </c>
      <c r="E42" t="inlineStr">
        <is>
          <t>TORRAS</t>
        </is>
      </c>
      <c r="F42" t="inlineStr"/>
      <c r="G42" t="n">
        <v>15</v>
      </c>
      <c r="H42" t="inlineStr">
        <is>
          <t>EUR</t>
        </is>
      </c>
      <c r="I42" t="inlineStr">
        <is>
          <t>documents</t>
        </is>
      </c>
      <c r="J42" s="45" t="inlineStr">
        <is>
          <t>7/186</t>
        </is>
      </c>
      <c r="K42" t="inlineStr">
        <is>
          <t>https://drive.google.com/file/d/1PKaZMRQ1ZsO4JALcKcucZLVdRyUxpOON/view?usp=drivesdk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t="n">
        <v>204.42</v>
      </c>
      <c r="H43" t="inlineStr">
        <is>
          <t>EUR</t>
        </is>
      </c>
      <c r="I43" t="inlineStr">
        <is>
          <t>documents</t>
        </is>
      </c>
      <c r="J43" s="45" t="inlineStr">
        <is>
          <t>326821409</t>
        </is>
      </c>
      <c r="K43" t="inlineStr">
        <is>
          <t>https://drive.google.com/file/d/1j2ya4FHybtMpbOwe_dwCTFuK0BuXysGa/view?usp=drivesdk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t="n">
        <v>440.99</v>
      </c>
      <c r="H44" t="inlineStr">
        <is>
          <t>EUR</t>
        </is>
      </c>
      <c r="I44" t="inlineStr">
        <is>
          <t>documents</t>
        </is>
      </c>
      <c r="J44" s="45" t="inlineStr">
        <is>
          <t>326838548</t>
        </is>
      </c>
      <c r="K44" t="inlineStr">
        <is>
          <t>https://drive.google.com/file/d/1zXVkELtv1Sfm3Hs-3PVSAH4pEWbvWaOX/view?usp=drivesdk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t="n">
        <v>2253.28</v>
      </c>
      <c r="H45" t="inlineStr">
        <is>
          <t>EUR</t>
        </is>
      </c>
      <c r="I45" t="inlineStr">
        <is>
          <t>documents</t>
        </is>
      </c>
      <c r="J45" s="45" t="inlineStr">
        <is>
          <t>326867966</t>
        </is>
      </c>
      <c r="K45" t="inlineStr">
        <is>
          <t>https://drive.google.com/file/d/1icRXW3dXluuRK-dzvuDcN-maR8sKfRW3/view?usp=drivesdk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t="n">
        <v>602.88</v>
      </c>
      <c r="H46" t="inlineStr">
        <is>
          <t>EUR</t>
        </is>
      </c>
      <c r="I46" t="inlineStr">
        <is>
          <t>documents</t>
        </is>
      </c>
      <c r="J46" s="45" t="inlineStr">
        <is>
          <t>326899416</t>
        </is>
      </c>
      <c r="K46" t="inlineStr">
        <is>
          <t>https://drive.google.com/file/d/148ysN83vJtMLS2_lbKu7r5cH1NMHbVNL/view?usp=drivesdk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t="n">
        <v>604.6</v>
      </c>
      <c r="H47" t="inlineStr">
        <is>
          <t>EUR</t>
        </is>
      </c>
      <c r="I47" t="inlineStr">
        <is>
          <t>documents</t>
        </is>
      </c>
      <c r="J47" s="45" t="inlineStr">
        <is>
          <t>326966374</t>
        </is>
      </c>
      <c r="K47" t="inlineStr">
        <is>
          <t>https://drive.google.com/file/d/1P3C1c_Df7dkPtnnAevEEMApNVP550O_O/view?usp=drivesdk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t="n">
        <v>57.25</v>
      </c>
      <c r="H48" t="inlineStr">
        <is>
          <t>EUR</t>
        </is>
      </c>
      <c r="I48" t="inlineStr">
        <is>
          <t>documents</t>
        </is>
      </c>
      <c r="J48" s="45" t="inlineStr">
        <is>
          <t>837858124</t>
        </is>
      </c>
      <c r="K48" t="inlineStr">
        <is>
          <t>https://drive.google.com/file/d/1I3WwwPF0JqyQdA18mDR4k4jmM8MZ-34b/view?usp=drivesdk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t="n">
        <v>14.96</v>
      </c>
      <c r="H49" t="inlineStr">
        <is>
          <t>EUR</t>
        </is>
      </c>
      <c r="I49" t="inlineStr">
        <is>
          <t>documents</t>
        </is>
      </c>
      <c r="J49" s="45" t="inlineStr">
        <is>
          <t>837882632</t>
        </is>
      </c>
      <c r="K49" t="inlineStr">
        <is>
          <t>https://drive.google.com/file/d/1iayAhp3nvlv4ajwf9Cp6C3s4OQi-rpMN/view?usp=drivesdk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t="n">
        <v>5.04</v>
      </c>
      <c r="H50" t="inlineStr">
        <is>
          <t>EUR</t>
        </is>
      </c>
      <c r="I50" t="inlineStr">
        <is>
          <t>documents</t>
        </is>
      </c>
      <c r="J50" s="45" t="inlineStr">
        <is>
          <t>837917747</t>
        </is>
      </c>
      <c r="K50" t="inlineStr">
        <is>
          <t>https://drive.google.com/file/d/11mh2NdZI0VULVE09eg0fTaW_8G7fyWkg/view?usp=drivesdk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t="n">
        <v>12.81</v>
      </c>
      <c r="H51" t="inlineStr">
        <is>
          <t>EUR</t>
        </is>
      </c>
      <c r="I51" t="inlineStr">
        <is>
          <t>documents</t>
        </is>
      </c>
      <c r="J51" s="45" t="inlineStr">
        <is>
          <t>837954641</t>
        </is>
      </c>
      <c r="K51" t="inlineStr">
        <is>
          <t>https://drive.google.com/file/d/1Hk8kIqp-95Akk1GsQde0mmkisvp1vUic/view?usp=drivesdk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cogs</t>
        </is>
      </c>
      <c r="D52" t="inlineStr">
        <is>
          <t>logistics</t>
        </is>
      </c>
      <c r="E52" t="inlineStr">
        <is>
          <t>UPS</t>
        </is>
      </c>
      <c r="F52" t="inlineStr"/>
      <c r="G52" t="n">
        <v>10.46</v>
      </c>
      <c r="H52" t="inlineStr">
        <is>
          <t>EUR</t>
        </is>
      </c>
      <c r="I52" t="inlineStr">
        <is>
          <t>documents</t>
        </is>
      </c>
      <c r="J52" s="45" t="inlineStr">
        <is>
          <t>837993499</t>
        </is>
      </c>
      <c r="K52" t="inlineStr">
        <is>
          <t>https://drive.google.com/file/d/1p1JLbXly83gPcOqdBiZfX0WvuqP5ZBhv/view?usp=drivesdk</t>
        </is>
      </c>
    </row>
    <row r="53" ht="12" customHeight="1">
      <c r="A53" t="inlineStr">
        <is>
          <t>202601</t>
        </is>
      </c>
      <c r="B53" t="inlineStr">
        <is>
          <t>SL</t>
        </is>
      </c>
      <c r="C53" t="inlineStr">
        <is>
          <t>cogs</t>
        </is>
      </c>
      <c r="D53" t="inlineStr">
        <is>
          <t>logistics</t>
        </is>
      </c>
      <c r="E53" t="inlineStr">
        <is>
          <t>UPS</t>
        </is>
      </c>
      <c r="F53" t="inlineStr"/>
      <c r="G53" t="n">
        <v>98.86</v>
      </c>
      <c r="H53" t="inlineStr">
        <is>
          <t>EUR</t>
        </is>
      </c>
      <c r="I53" t="inlineStr">
        <is>
          <t>documents</t>
        </is>
      </c>
      <c r="J53" s="45" t="inlineStr">
        <is>
          <t>838043671</t>
        </is>
      </c>
      <c r="K53" t="inlineStr">
        <is>
          <t>https://drive.google.com/file/d/1rom4VLbflbUgw0GzIGfwfWAceAGqsDve/view?usp=drivesdk</t>
        </is>
      </c>
    </row>
    <row r="54" ht="12" customHeight="1">
      <c r="A54" t="inlineStr">
        <is>
          <t>202601</t>
        </is>
      </c>
      <c r="B54" t="inlineStr">
        <is>
          <t>SL</t>
        </is>
      </c>
      <c r="C54" t="inlineStr">
        <is>
          <t>opex</t>
        </is>
      </c>
      <c r="D54" t="inlineStr">
        <is>
          <t>technology</t>
        </is>
      </c>
      <c r="E54" t="inlineStr">
        <is>
          <t>YUMAAI</t>
        </is>
      </c>
      <c r="F54" t="inlineStr"/>
      <c r="G54" t="n">
        <v>507.2</v>
      </c>
      <c r="H54" t="inlineStr">
        <is>
          <t>EUR</t>
        </is>
      </c>
      <c r="I54" t="inlineStr">
        <is>
          <t>documents</t>
        </is>
      </c>
      <c r="J54" s="45" t="inlineStr">
        <is>
          <t>OQXBYXMP-0004</t>
        </is>
      </c>
      <c r="K54" t="inlineStr">
        <is>
          <t>https://drive.google.com/file/d/1la8-DKsyw-txh4_Z2nzrkJVhivR6U6M2/view?usp=drivesdk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technology</t>
        </is>
      </c>
      <c r="E55" t="inlineStr">
        <is>
          <t>ADOBE</t>
        </is>
      </c>
      <c r="F55" t="inlineStr"/>
      <c r="G55" t="n">
        <v>33.49</v>
      </c>
      <c r="H55" t="inlineStr">
        <is>
          <t>EUR</t>
        </is>
      </c>
      <c r="I55" t="inlineStr">
        <is>
          <t>documents</t>
        </is>
      </c>
      <c r="J55" s="45" t="inlineStr">
        <is>
          <t>IEE2026003947036</t>
        </is>
      </c>
      <c r="K55" t="inlineStr">
        <is>
          <t>https://drive.google.com/file/d/1CkpniiuuecmyeP38MmkWhzUPj8iF7tyN/view?usp=drivesdk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APPHOTOCAN</t>
        </is>
      </c>
      <c r="F56" t="inlineStr"/>
      <c r="G56" t="n">
        <v>59.84</v>
      </c>
      <c r="H56" t="inlineStr">
        <is>
          <t>EUR</t>
        </is>
      </c>
      <c r="I56" t="inlineStr">
        <is>
          <t>documents</t>
        </is>
      </c>
      <c r="J56" s="45" t="inlineStr">
        <is>
          <t>26-1-377</t>
        </is>
      </c>
      <c r="K56" t="inlineStr">
        <is>
          <t>https://drive.google.com/file/d/1U-mcMTxSs8WKlovQ9_HAwLEU39hou9sQ/view?usp=drivesdk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t="n">
        <v>761.54</v>
      </c>
      <c r="H57" t="inlineStr">
        <is>
          <t>EUR</t>
        </is>
      </c>
      <c r="I57" t="inlineStr">
        <is>
          <t>documents</t>
        </is>
      </c>
      <c r="J57" s="45" t="inlineStr">
        <is>
          <t>1-1413</t>
        </is>
      </c>
      <c r="K57" t="inlineStr">
        <is>
          <t>https://drive.google.com/file/d/1i1KIDpqSuLOk5KfVZf0GwoQN3ddbzHi4/view?usp=drivesdk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t="n">
        <v>4679.01</v>
      </c>
      <c r="H58" t="inlineStr">
        <is>
          <t>EUR</t>
        </is>
      </c>
      <c r="I58" t="inlineStr">
        <is>
          <t>documents</t>
        </is>
      </c>
      <c r="J58" s="45" t="inlineStr">
        <is>
          <t>1-1578</t>
        </is>
      </c>
      <c r="K58" t="inlineStr">
        <is>
          <t>https://drive.google.com/file/d/1aVT0Kp1FXhiwKuldPvpR5jmS_HrroAcz/view?usp=drivesdk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t="n">
        <v>4387.66</v>
      </c>
      <c r="H59" t="inlineStr">
        <is>
          <t>EUR</t>
        </is>
      </c>
      <c r="I59" t="inlineStr">
        <is>
          <t>documents</t>
        </is>
      </c>
      <c r="J59" s="45" t="inlineStr">
        <is>
          <t>1-1960</t>
        </is>
      </c>
      <c r="K59" t="inlineStr">
        <is>
          <t>https://drive.google.com/file/d/1c3rAE8MZ72DBnTA6LZZqeHMMgZkJtDwC/view?usp=drivesdk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t="n">
        <v>1523.96</v>
      </c>
      <c r="H60" t="inlineStr">
        <is>
          <t>EUR</t>
        </is>
      </c>
      <c r="I60" t="inlineStr">
        <is>
          <t>documents</t>
        </is>
      </c>
      <c r="J60" s="45" t="inlineStr">
        <is>
          <t>1-2275</t>
        </is>
      </c>
      <c r="K60" t="inlineStr">
        <is>
          <t>https://drive.google.com/file/d/1hZiPKVEudy0sryGytMftZTSO75OBheV_/view?usp=drivesdk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t="n">
        <v>4898.31</v>
      </c>
      <c r="H61" t="inlineStr">
        <is>
          <t>EUR</t>
        </is>
      </c>
      <c r="I61" t="inlineStr">
        <is>
          <t>documents</t>
        </is>
      </c>
      <c r="J61" s="45" t="inlineStr">
        <is>
          <t>1-2355</t>
        </is>
      </c>
      <c r="K61" t="inlineStr">
        <is>
          <t>https://drive.google.com/file/d/1aXemXVZg0sBlWBgHV0_QAg0jVjv1bksN/view?usp=drivesdk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cogs</t>
        </is>
      </c>
      <c r="D62" t="inlineStr">
        <is>
          <t>manufacturing</t>
        </is>
      </c>
      <c r="E62" t="inlineStr">
        <is>
          <t>APPHOTOES</t>
        </is>
      </c>
      <c r="F62" t="inlineStr"/>
      <c r="G62" t="n">
        <v>975.1900000000001</v>
      </c>
      <c r="H62" t="inlineStr">
        <is>
          <t>EUR</t>
        </is>
      </c>
      <c r="I62" t="inlineStr">
        <is>
          <t>documents</t>
        </is>
      </c>
      <c r="J62" s="45" t="inlineStr">
        <is>
          <t>1-2471</t>
        </is>
      </c>
      <c r="K62" t="inlineStr">
        <is>
          <t>https://drive.google.com/file/d/1vWJy2P4bu0ZZHbeutrY9ydZYIScfPKex/view?usp=drivesdk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cogs</t>
        </is>
      </c>
      <c r="D63" t="inlineStr">
        <is>
          <t>manufacturing</t>
        </is>
      </c>
      <c r="E63" t="inlineStr">
        <is>
          <t>APPHOTOES</t>
        </is>
      </c>
      <c r="F63" t="inlineStr"/>
      <c r="G63" t="n">
        <v>5761.46</v>
      </c>
      <c r="H63" t="inlineStr">
        <is>
          <t>EUR</t>
        </is>
      </c>
      <c r="I63" t="inlineStr">
        <is>
          <t>documents</t>
        </is>
      </c>
      <c r="J63" s="45" t="inlineStr">
        <is>
          <t>1-2675</t>
        </is>
      </c>
      <c r="K63" t="inlineStr">
        <is>
          <t>https://drive.google.com/file/d/1OPWZpghAzzfVFLFx4iBRHO4-0daxuz20/view?usp=drivesdk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technology</t>
        </is>
      </c>
      <c r="E64" t="inlineStr">
        <is>
          <t>CANVA</t>
        </is>
      </c>
      <c r="F64" t="inlineStr"/>
      <c r="G64" t="n">
        <v>9.91</v>
      </c>
      <c r="H64" t="inlineStr">
        <is>
          <t>EUR</t>
        </is>
      </c>
      <c r="I64" t="inlineStr">
        <is>
          <t>documents</t>
        </is>
      </c>
      <c r="J64" s="45" t="inlineStr">
        <is>
          <t>04796-33900634</t>
        </is>
      </c>
      <c r="K64" t="inlineStr">
        <is>
          <t>https://drive.google.com/file/d/1dEu5a12XOSJxoPOd8AIxLplDtcRjC5z9/view?usp=drivesdk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opex</t>
        </is>
      </c>
      <c r="D65" t="inlineStr">
        <is>
          <t>administration</t>
        </is>
      </c>
      <c r="E65" t="inlineStr">
        <is>
          <t>CLARIS</t>
        </is>
      </c>
      <c r="F65" t="inlineStr"/>
      <c r="G65" t="n">
        <v>808.08</v>
      </c>
      <c r="H65" t="inlineStr">
        <is>
          <t>EUR</t>
        </is>
      </c>
      <c r="I65" t="inlineStr">
        <is>
          <t>documents</t>
        </is>
      </c>
      <c r="J65" s="45" t="inlineStr">
        <is>
          <t>F00299/26</t>
        </is>
      </c>
      <c r="K65" t="inlineStr">
        <is>
          <t>https://drive.google.com/file/d/1wkA555zHmi_P1F3K0yzi2R1ybg40M_IH/view?usp=drivesdk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logistics</t>
        </is>
      </c>
      <c r="E66" t="inlineStr">
        <is>
          <t>CORREOS</t>
        </is>
      </c>
      <c r="F66" t="inlineStr"/>
      <c r="G66" t="n">
        <v>96.77</v>
      </c>
      <c r="H66" t="inlineStr">
        <is>
          <t>EUR</t>
        </is>
      </c>
      <c r="I66" t="inlineStr">
        <is>
          <t>documents</t>
        </is>
      </c>
      <c r="J66" s="45" t="inlineStr">
        <is>
          <t>4004608215</t>
        </is>
      </c>
      <c r="K66" t="inlineStr">
        <is>
          <t>https://drive.google.com/file/d/1Bu6kn877nOS0BSzL7ECg9Z62seXoHaCe/view?usp=drivesdk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logistics</t>
        </is>
      </c>
      <c r="E67" t="inlineStr">
        <is>
          <t>CORREOSCAN</t>
        </is>
      </c>
      <c r="F67" t="inlineStr"/>
      <c r="G67" t="n">
        <v>16.45</v>
      </c>
      <c r="H67" t="inlineStr">
        <is>
          <t>EUR</t>
        </is>
      </c>
      <c r="I67" t="inlineStr">
        <is>
          <t>documents</t>
        </is>
      </c>
      <c r="J67" s="45" t="inlineStr">
        <is>
          <t>4004608216</t>
        </is>
      </c>
      <c r="K67" t="inlineStr">
        <is>
          <t>https://drive.google.com/file/d/1eD4nKiQgwGYnGZ5fv7hh4V3unZ6MIKqH/view?usp=drivesdk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t="n">
        <v>3443.83</v>
      </c>
      <c r="H68" t="inlineStr">
        <is>
          <t>EUR</t>
        </is>
      </c>
      <c r="I68" t="inlineStr">
        <is>
          <t>documents</t>
        </is>
      </c>
      <c r="J68" s="45" t="inlineStr">
        <is>
          <t>26-0281</t>
        </is>
      </c>
      <c r="K68" t="inlineStr">
        <is>
          <t>https://drive.google.com/file/d/1H2ikEjq_KT22RCYpKdLTU6AyxE-eiIW-/view?usp=drivesdk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manufacturing</t>
        </is>
      </c>
      <c r="E69" t="inlineStr">
        <is>
          <t>DCT</t>
        </is>
      </c>
      <c r="F69" t="inlineStr"/>
      <c r="G69" t="n">
        <v>3438.99</v>
      </c>
      <c r="H69" t="inlineStr">
        <is>
          <t>EUR</t>
        </is>
      </c>
      <c r="I69" t="inlineStr">
        <is>
          <t>documents</t>
        </is>
      </c>
      <c r="J69" s="45" t="inlineStr">
        <is>
          <t>26-0364</t>
        </is>
      </c>
      <c r="K69" t="inlineStr">
        <is>
          <t>https://drive.google.com/file/d/1YrSUC_u5-Y5IQ7Aslne-0xU3mQfg3jDp/view?usp=drivesdk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t="n">
        <v>42.5</v>
      </c>
      <c r="H70" t="inlineStr">
        <is>
          <t>EUR</t>
        </is>
      </c>
      <c r="I70" t="inlineStr">
        <is>
          <t>documents</t>
        </is>
      </c>
      <c r="J70" s="45" t="inlineStr">
        <is>
          <t>26-0365</t>
        </is>
      </c>
      <c r="K70" t="inlineStr">
        <is>
          <t>https://drive.google.com/file/d/109-KgtoaX4vV_BNFkqOESzhRasVQ1S_Q/view?usp=drivesdk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cogs</t>
        </is>
      </c>
      <c r="D71" t="inlineStr">
        <is>
          <t>logistics</t>
        </is>
      </c>
      <c r="E71" t="inlineStr">
        <is>
          <t>GLS</t>
        </is>
      </c>
      <c r="F71" t="inlineStr"/>
      <c r="G71" t="n">
        <v>15947.02</v>
      </c>
      <c r="H71" t="inlineStr">
        <is>
          <t>EUR</t>
        </is>
      </c>
      <c r="I71" t="inlineStr">
        <is>
          <t>documents</t>
        </is>
      </c>
      <c r="J71" s="45" t="inlineStr">
        <is>
          <t>20260082</t>
        </is>
      </c>
      <c r="K71" t="inlineStr">
        <is>
          <t>https://drive.google.com/file/d/1KY46ho8xsJpWU6Q3w32ZWRQ8btywV8Ax/view?usp=drivesdk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eu</t>
        </is>
      </c>
      <c r="G72" t="n">
        <v>19199.14</v>
      </c>
      <c r="H72" t="inlineStr">
        <is>
          <t>EUR</t>
        </is>
      </c>
      <c r="I72" t="inlineStr">
        <is>
          <t>documents</t>
        </is>
      </c>
      <c r="J72" s="45" t="inlineStr">
        <is>
          <t>5509802536</t>
        </is>
      </c>
      <c r="K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marketing</t>
        </is>
      </c>
      <c r="E73" t="inlineStr">
        <is>
          <t>GOOGLEADS</t>
        </is>
      </c>
      <c r="F73" t="inlineStr">
        <is>
          <t>uk</t>
        </is>
      </c>
      <c r="G73" t="n">
        <v>5006.17</v>
      </c>
      <c r="H73" t="inlineStr">
        <is>
          <t>EUR</t>
        </is>
      </c>
      <c r="I73" t="inlineStr">
        <is>
          <t>documents</t>
        </is>
      </c>
      <c r="J73" s="45" t="inlineStr">
        <is>
          <t>5509802536</t>
        </is>
      </c>
      <c r="K73" t="inlineStr">
        <is>
          <t>https://drive.google.com/file/d/192ghVBMKOyFtFrKk5lPoccixcsZlK4GH/view?usp=drivesdk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marketing</t>
        </is>
      </c>
      <c r="E74" t="inlineStr">
        <is>
          <t>GOOGLEADS</t>
        </is>
      </c>
      <c r="F74" t="inlineStr">
        <is>
          <t>us</t>
        </is>
      </c>
      <c r="G74" t="n">
        <v>3345.8</v>
      </c>
      <c r="H74" t="inlineStr">
        <is>
          <t>EUR</t>
        </is>
      </c>
      <c r="I74" t="inlineStr">
        <is>
          <t>documents</t>
        </is>
      </c>
      <c r="J74" s="45" t="inlineStr">
        <is>
          <t>5509802536</t>
        </is>
      </c>
      <c r="K74" t="inlineStr">
        <is>
          <t>https://drive.google.com/file/d/192ghVBMKOyFtFrKk5lPoccixcsZlK4GH/view?usp=drivesdk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technology</t>
        </is>
      </c>
      <c r="E75" t="inlineStr">
        <is>
          <t>GOOGLEWORKSPACE</t>
        </is>
      </c>
      <c r="F75" t="inlineStr"/>
      <c r="G75" t="n">
        <v>201.91</v>
      </c>
      <c r="H75" t="inlineStr">
        <is>
          <t>EUR</t>
        </is>
      </c>
      <c r="I75" t="inlineStr">
        <is>
          <t>documents</t>
        </is>
      </c>
      <c r="J75" s="45" t="inlineStr">
        <is>
          <t>5505030303</t>
        </is>
      </c>
      <c r="K75" t="inlineStr">
        <is>
          <t>https://drive.google.com/file/d/1_odcqxdXxEYZNzgQx5UzslhIG3hh5krH/view?usp=drivesdk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opex</t>
        </is>
      </c>
      <c r="D76" t="inlineStr">
        <is>
          <t>technology</t>
        </is>
      </c>
      <c r="E76" t="inlineStr">
        <is>
          <t>GORGIAS</t>
        </is>
      </c>
      <c r="F76" t="inlineStr"/>
      <c r="G76" t="n">
        <v>120</v>
      </c>
      <c r="H76" t="inlineStr">
        <is>
          <t>USD</t>
        </is>
      </c>
      <c r="I76" t="inlineStr">
        <is>
          <t>documents</t>
        </is>
      </c>
      <c r="J76" s="45" t="inlineStr">
        <is>
          <t>INC-02-2026-50341</t>
        </is>
      </c>
      <c r="K76" t="inlineStr">
        <is>
          <t>https://drive.google.com/file/d/1tAciOjLJ3-E_udDrY3cL0A7b-CfOvIlm/view?usp=drivesdk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administration</t>
        </is>
      </c>
      <c r="G77" t="n">
        <v>43192.69</v>
      </c>
      <c r="H77" t="inlineStr">
        <is>
          <t>EUR</t>
        </is>
      </c>
      <c r="I77" t="inlineStr">
        <is>
          <t>documents</t>
        </is>
      </c>
      <c r="J77" s="45" t="inlineStr">
        <is>
          <t>VTA/26-007207</t>
        </is>
      </c>
      <c r="K77" t="inlineStr">
        <is>
          <t>https://drive.google.com/file/d/1FAnrtU5R53FcPCbpc94bYjpEq0clb5Pm/view?usp=drivesdk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office</t>
        </is>
      </c>
      <c r="G78" t="n">
        <v>175</v>
      </c>
      <c r="H78" t="inlineStr">
        <is>
          <t>EUR</t>
        </is>
      </c>
      <c r="I78" t="inlineStr">
        <is>
          <t>documents</t>
        </is>
      </c>
      <c r="J78" s="45" t="inlineStr">
        <is>
          <t>VTA/26-010327</t>
        </is>
      </c>
      <c r="K78" t="inlineStr">
        <is>
          <t>https://drive.google.com/file/d/1E8JfN7YXvjRIfPjaLKj_8zJSQJ-990YT/view?usp=drivesdk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office</t>
        </is>
      </c>
      <c r="G79" t="n">
        <v>175</v>
      </c>
      <c r="H79" t="inlineStr">
        <is>
          <t>EUR</t>
        </is>
      </c>
      <c r="I79" t="inlineStr">
        <is>
          <t>documents</t>
        </is>
      </c>
      <c r="J79" s="45" t="inlineStr">
        <is>
          <t>VTA/26-010329</t>
        </is>
      </c>
      <c r="K79" t="inlineStr">
        <is>
          <t>https://drive.google.com/file/d/1r2Hw0N7VZ6vvloF4IqY4SxfuvX_2VozE/view?usp=drivesdk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administration</t>
        </is>
      </c>
      <c r="E80" t="inlineStr">
        <is>
          <t>HANNUN</t>
        </is>
      </c>
      <c r="F80" t="inlineStr">
        <is>
          <t>services</t>
        </is>
      </c>
      <c r="G80" t="n">
        <v>1504.92</v>
      </c>
      <c r="H80" t="inlineStr">
        <is>
          <t>EUR</t>
        </is>
      </c>
      <c r="I80" t="inlineStr">
        <is>
          <t>documents</t>
        </is>
      </c>
      <c r="J80" s="45" t="inlineStr">
        <is>
          <t>VTA/26-010328</t>
        </is>
      </c>
      <c r="K80" t="inlineStr">
        <is>
          <t>https://drive.google.com/file/d/1PRJ__aaxThVGTbIcvHAJI7pgUFchpvsa/view?usp=drivesdk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administration</t>
        </is>
      </c>
      <c r="E81" t="inlineStr">
        <is>
          <t>HANNUN</t>
        </is>
      </c>
      <c r="F81" t="inlineStr">
        <is>
          <t>services</t>
        </is>
      </c>
      <c r="G81" t="n">
        <v>1504.92</v>
      </c>
      <c r="H81" t="inlineStr">
        <is>
          <t>EUR</t>
        </is>
      </c>
      <c r="I81" t="inlineStr">
        <is>
          <t>documents</t>
        </is>
      </c>
      <c r="J81" s="45" t="inlineStr">
        <is>
          <t>VTA/26-010330</t>
        </is>
      </c>
      <c r="K81" t="inlineStr">
        <is>
          <t>https://drive.google.com/file/d/1HgIvIqgrCSyQY0-INtfhp-GPqb5Et1eA/view?usp=drivesdk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HETZNER</t>
        </is>
      </c>
      <c r="F82" t="inlineStr"/>
      <c r="G82" t="n">
        <v>10.9</v>
      </c>
      <c r="H82" t="inlineStr">
        <is>
          <t>EUR</t>
        </is>
      </c>
      <c r="I82" t="inlineStr">
        <is>
          <t>documents</t>
        </is>
      </c>
      <c r="J82" s="45" t="inlineStr">
        <is>
          <t>086000751422</t>
        </is>
      </c>
      <c r="K82" t="inlineStr">
        <is>
          <t>https://drive.google.com/file/d/1bMdMTYSXLytnvUKxINvo3C-fdr43SmgJ/view?usp=drivesdk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KONVOAI</t>
        </is>
      </c>
      <c r="F83" t="inlineStr"/>
      <c r="G83" t="n">
        <v>136.96</v>
      </c>
      <c r="H83" t="inlineStr">
        <is>
          <t>EUR</t>
        </is>
      </c>
      <c r="I83" t="inlineStr">
        <is>
          <t>documents</t>
        </is>
      </c>
      <c r="J83" s="45" t="inlineStr">
        <is>
          <t>B5F7DF3C-7132</t>
        </is>
      </c>
      <c r="K83" t="inlineStr">
        <is>
          <t>https://drive.google.com/file/d/1n2bq_tMI3rNE2XsFpxvWnwo1ZZV6_K21/view?usp=drivesdk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technology</t>
        </is>
      </c>
      <c r="E84" t="inlineStr">
        <is>
          <t>KONVOAI</t>
        </is>
      </c>
      <c r="F84" t="inlineStr"/>
      <c r="G84" t="n">
        <v>339</v>
      </c>
      <c r="H84" t="inlineStr">
        <is>
          <t>EUR</t>
        </is>
      </c>
      <c r="I84" t="inlineStr">
        <is>
          <t>documents</t>
        </is>
      </c>
      <c r="J84" s="45" t="inlineStr">
        <is>
          <t>B5F7DF3C-7296</t>
        </is>
      </c>
      <c r="K84" t="inlineStr">
        <is>
          <t>https://drive.google.com/file/d/1Mbfxr1V40xsgbj8F0soExM05QND6zjoa/view?usp=drivesdk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technology</t>
        </is>
      </c>
      <c r="E85" t="inlineStr">
        <is>
          <t>MASMOVIL</t>
        </is>
      </c>
      <c r="F85" t="inlineStr"/>
      <c r="G85" t="n">
        <v>5</v>
      </c>
      <c r="H85" t="inlineStr">
        <is>
          <t>EUR</t>
        </is>
      </c>
      <c r="I85" t="inlineStr">
        <is>
          <t>documents</t>
        </is>
      </c>
      <c r="J85" s="45" t="inlineStr">
        <is>
          <t>MC260002345804</t>
        </is>
      </c>
      <c r="K85" t="inlineStr">
        <is>
          <t>https://drive.google.com/file/d/1WOvzAAmEygTW3UfGCE2EpvFGcNYl4yVq/view?usp=drivesdk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eu</t>
        </is>
      </c>
      <c r="G86" t="n">
        <v>15883.55</v>
      </c>
      <c r="H86" t="inlineStr">
        <is>
          <t>EUR</t>
        </is>
      </c>
      <c r="I86" t="inlineStr">
        <is>
          <t>documents</t>
        </is>
      </c>
      <c r="J86" s="45" t="inlineStr">
        <is>
          <t>251380763</t>
        </is>
      </c>
      <c r="K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marketing</t>
        </is>
      </c>
      <c r="E87" t="inlineStr">
        <is>
          <t>METAADS</t>
        </is>
      </c>
      <c r="F87" t="inlineStr">
        <is>
          <t>uk</t>
        </is>
      </c>
      <c r="G87" t="n">
        <v>2794.04</v>
      </c>
      <c r="H87" t="inlineStr">
        <is>
          <t>EUR</t>
        </is>
      </c>
      <c r="I87" t="inlineStr">
        <is>
          <t>documents</t>
        </is>
      </c>
      <c r="J87" s="45" t="inlineStr">
        <is>
          <t>251380763</t>
        </is>
      </c>
      <c r="K87" t="inlineStr">
        <is>
          <t>https://drive.google.com/file/d/1fDDyyoah7JlWMHXzqFDIqm2howZDBJMq/view?usp=drivesdk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marketing</t>
        </is>
      </c>
      <c r="E88" t="inlineStr">
        <is>
          <t>METAADS</t>
        </is>
      </c>
      <c r="F88" t="inlineStr">
        <is>
          <t>us</t>
        </is>
      </c>
      <c r="G88" t="n">
        <v>1397.4</v>
      </c>
      <c r="H88" t="inlineStr">
        <is>
          <t>EUR</t>
        </is>
      </c>
      <c r="I88" t="inlineStr">
        <is>
          <t>documents</t>
        </is>
      </c>
      <c r="J88" s="45" t="inlineStr">
        <is>
          <t>251380763</t>
        </is>
      </c>
      <c r="K88" t="inlineStr">
        <is>
          <t>https://drive.google.com/file/d/1fDDyyoah7JlWMHXzqFDIqm2howZDBJMq/view?usp=drivesdk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MICROSOFT</t>
        </is>
      </c>
      <c r="F89" t="inlineStr"/>
      <c r="G89" t="n">
        <v>30.87</v>
      </c>
      <c r="H89" t="inlineStr">
        <is>
          <t>EUR</t>
        </is>
      </c>
      <c r="I89" t="inlineStr">
        <is>
          <t>documents</t>
        </is>
      </c>
      <c r="J89" s="45" t="inlineStr">
        <is>
          <t>G140910268</t>
        </is>
      </c>
      <c r="K89" t="inlineStr">
        <is>
          <t>https://drive.google.com/file/d/1IS2fSxolw6pxcI9vC65EJRYlFK7zyUTY/view?usp=drivesdk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t="n">
        <v>10.12</v>
      </c>
      <c r="H90" t="inlineStr">
        <is>
          <t>USD</t>
        </is>
      </c>
      <c r="I90" t="inlineStr">
        <is>
          <t>documents</t>
        </is>
      </c>
      <c r="J90" s="45" t="inlineStr">
        <is>
          <t>BZHJNTUB0003</t>
        </is>
      </c>
      <c r="K90" t="inlineStr">
        <is>
          <t>https://drive.google.com/file/d/1bbYR8-vHGj7nUKVcEnARnepPzYzNIFVw/view?usp=drivesdk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t="n">
        <v>10.19</v>
      </c>
      <c r="H91" t="inlineStr">
        <is>
          <t>USD</t>
        </is>
      </c>
      <c r="I91" t="inlineStr">
        <is>
          <t>documents</t>
        </is>
      </c>
      <c r="J91" s="45" t="inlineStr">
        <is>
          <t>BZHJNTUB0005</t>
        </is>
      </c>
      <c r="K91" t="inlineStr">
        <is>
          <t>https://drive.google.com/file/d/1s-Ni6ccpvcuZUGwwhFepiSbUNzPwXVDG/view?usp=drivesdk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api_usage</t>
        </is>
      </c>
      <c r="G92" t="n">
        <v>30</v>
      </c>
      <c r="H92" t="inlineStr">
        <is>
          <t>USD</t>
        </is>
      </c>
      <c r="I92" t="inlineStr">
        <is>
          <t>documents</t>
        </is>
      </c>
      <c r="J92" s="45" t="inlineStr">
        <is>
          <t>BZHJNTUB0006</t>
        </is>
      </c>
      <c r="K92" t="inlineStr">
        <is>
          <t>https://drive.google.com/file/d/1j0GTnf9iA8T0YG7zocdvmE1v-yFf-dmk/view?usp=drivesdk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opex</t>
        </is>
      </c>
      <c r="D93" t="inlineStr">
        <is>
          <t>technology</t>
        </is>
      </c>
      <c r="E93" t="inlineStr">
        <is>
          <t>OPENAI</t>
        </is>
      </c>
      <c r="F93" t="inlineStr">
        <is>
          <t>api_usage</t>
        </is>
      </c>
      <c r="G93" t="n">
        <v>10.41</v>
      </c>
      <c r="H93" t="inlineStr">
        <is>
          <t>USD</t>
        </is>
      </c>
      <c r="I93" t="inlineStr">
        <is>
          <t>documents</t>
        </is>
      </c>
      <c r="J93" s="45" t="inlineStr">
        <is>
          <t>BZHJNTUB0007</t>
        </is>
      </c>
      <c r="K93" t="inlineStr">
        <is>
          <t>https://drive.google.com/file/d/1kgfYW187O8CHpqvovwje1T5Vb0O1df6d/view?usp=drivesdk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OPENAI</t>
        </is>
      </c>
      <c r="F94" t="inlineStr">
        <is>
          <t>receipt</t>
        </is>
      </c>
      <c r="G94" t="n">
        <v>10.13</v>
      </c>
      <c r="H94" t="inlineStr">
        <is>
          <t>USD</t>
        </is>
      </c>
      <c r="I94" t="inlineStr">
        <is>
          <t>documents</t>
        </is>
      </c>
      <c r="J94" s="45" t="inlineStr">
        <is>
          <t>BZHJNTUB0004</t>
        </is>
      </c>
      <c r="K94" t="inlineStr">
        <is>
          <t>https://drive.google.com/file/d/1ylJiskEHkRFsuhK4EXI9Mv5Hk31tTSeX/view?usp=drivesdk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cogs</t>
        </is>
      </c>
      <c r="D95" t="inlineStr">
        <is>
          <t>manufacturing</t>
        </is>
      </c>
      <c r="E95" t="inlineStr">
        <is>
          <t>PRESSING</t>
        </is>
      </c>
      <c r="F95" t="inlineStr"/>
      <c r="G95" t="n">
        <v>33510.62</v>
      </c>
      <c r="H95" t="inlineStr">
        <is>
          <t>EUR</t>
        </is>
      </c>
      <c r="I95" t="inlineStr">
        <is>
          <t>documents</t>
        </is>
      </c>
      <c r="J95" s="45" t="inlineStr">
        <is>
          <t>FAC/2026/26100001651</t>
        </is>
      </c>
      <c r="K95" t="inlineStr">
        <is>
          <t>https://drive.google.com/file/d/1Ht3FP9y_KBG3F1Wui0f7dj36Nz4gORY9/view?usp=drivesdk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PRODUCTHERO</t>
        </is>
      </c>
      <c r="F96" t="inlineStr"/>
      <c r="G96" t="n">
        <v>134</v>
      </c>
      <c r="H96" t="inlineStr">
        <is>
          <t>EUR</t>
        </is>
      </c>
      <c r="I96" t="inlineStr">
        <is>
          <t>documents</t>
        </is>
      </c>
      <c r="J96" s="45" t="inlineStr">
        <is>
          <t>211723</t>
        </is>
      </c>
      <c r="K96" t="inlineStr">
        <is>
          <t>https://drive.google.com/file/d/1axe5iqNHDnZKEyTVyAhJ5hBtI1BR5ejL/view?usp=drivesdk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technology</t>
        </is>
      </c>
      <c r="E97" t="inlineStr">
        <is>
          <t>REVER</t>
        </is>
      </c>
      <c r="F97" t="inlineStr"/>
      <c r="G97" t="n">
        <v>79</v>
      </c>
      <c r="H97" t="inlineStr">
        <is>
          <t>EUR</t>
        </is>
      </c>
      <c r="I97" t="inlineStr">
        <is>
          <t>documents</t>
        </is>
      </c>
      <c r="J97" s="45" t="inlineStr">
        <is>
          <t>RVR-17688</t>
        </is>
      </c>
      <c r="K97" t="inlineStr">
        <is>
          <t>https://drive.google.com/file/d/1D3oOwMbnoMx_ZwdzSUQ07lRdDelVCXX6/view?usp=drivesdk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opex</t>
        </is>
      </c>
      <c r="D98" t="inlineStr">
        <is>
          <t>technology</t>
        </is>
      </c>
      <c r="E98" t="inlineStr">
        <is>
          <t>SHOPIFY</t>
        </is>
      </c>
      <c r="F98" t="inlineStr"/>
      <c r="G98" t="n">
        <v>2812.25</v>
      </c>
      <c r="H98" t="inlineStr">
        <is>
          <t>USD</t>
        </is>
      </c>
      <c r="I98" t="inlineStr">
        <is>
          <t>documents</t>
        </is>
      </c>
      <c r="J98" s="45" t="inlineStr">
        <is>
          <t>493806587</t>
        </is>
      </c>
      <c r="K98" t="inlineStr">
        <is>
          <t>https://drive.google.com/file/d/1FNZalAzXj8a7ZNUt2CefEIFu_sLZ6iOY/view?usp=drivesdk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opex</t>
        </is>
      </c>
      <c r="D99" t="inlineStr">
        <is>
          <t>administration</t>
        </is>
      </c>
      <c r="E99" t="inlineStr">
        <is>
          <t>TORRAS</t>
        </is>
      </c>
      <c r="F99" t="inlineStr"/>
      <c r="G99" t="n">
        <v>15</v>
      </c>
      <c r="H99" t="inlineStr">
        <is>
          <t>EUR</t>
        </is>
      </c>
      <c r="I99" t="inlineStr">
        <is>
          <t>documents</t>
        </is>
      </c>
      <c r="J99" s="45" t="inlineStr">
        <is>
          <t>7/517</t>
        </is>
      </c>
      <c r="K99" t="inlineStr">
        <is>
          <t>https://drive.google.com/file/d/1ryYPmeaeN0WBdXxhk4O9pmdF4BlNsACt/view?usp=drivesdk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t="n">
        <v>643.8200000000001</v>
      </c>
      <c r="H100" t="inlineStr">
        <is>
          <t>EUR</t>
        </is>
      </c>
      <c r="I100" t="inlineStr">
        <is>
          <t>documents</t>
        </is>
      </c>
      <c r="J100" s="45" t="inlineStr">
        <is>
          <t>326997856</t>
        </is>
      </c>
      <c r="K100" t="inlineStr">
        <is>
          <t>https://drive.google.com/file/d/1FyBHZEA9qWMwRhMfdTuL7ySwcplaqQc2/view?usp=drivesdk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t="n">
        <v>629.73</v>
      </c>
      <c r="H101" t="inlineStr">
        <is>
          <t>EUR</t>
        </is>
      </c>
      <c r="I101" t="inlineStr">
        <is>
          <t>documents</t>
        </is>
      </c>
      <c r="J101" s="45" t="inlineStr">
        <is>
          <t>327030108</t>
        </is>
      </c>
      <c r="K101" t="inlineStr">
        <is>
          <t>https://drive.google.com/file/d/1iPkhcnUQ6IlOI2t9Y4lt6fcN9NoE8559/view?usp=drivesdk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cogs</t>
        </is>
      </c>
      <c r="D102" t="inlineStr">
        <is>
          <t>logistics</t>
        </is>
      </c>
      <c r="E102" t="inlineStr">
        <is>
          <t>UPS</t>
        </is>
      </c>
      <c r="F102" t="inlineStr"/>
      <c r="G102" t="n">
        <v>512.62</v>
      </c>
      <c r="H102" t="inlineStr">
        <is>
          <t>EUR</t>
        </is>
      </c>
      <c r="I102" t="inlineStr">
        <is>
          <t>documents</t>
        </is>
      </c>
      <c r="J102" s="45" t="inlineStr">
        <is>
          <t>327061645</t>
        </is>
      </c>
      <c r="K102" t="inlineStr">
        <is>
          <t>https://drive.google.com/file/d/1nrrH_8TfwdiHGNLlFgfu6hEx8mBDTA67/view?usp=drivesdk</t>
        </is>
      </c>
    </row>
    <row r="103" ht="12" customHeight="1">
      <c r="A103" t="inlineStr">
        <is>
          <t>202602</t>
        </is>
      </c>
      <c r="B103" t="inlineStr">
        <is>
          <t>SL</t>
        </is>
      </c>
      <c r="C103" t="inlineStr">
        <is>
          <t>cogs</t>
        </is>
      </c>
      <c r="D103" t="inlineStr">
        <is>
          <t>logistics</t>
        </is>
      </c>
      <c r="E103" t="inlineStr">
        <is>
          <t>UPS</t>
        </is>
      </c>
      <c r="F103" t="inlineStr"/>
      <c r="G103" t="n">
        <v>40.32</v>
      </c>
      <c r="H103" t="inlineStr">
        <is>
          <t>EUR</t>
        </is>
      </c>
      <c r="I103" t="inlineStr">
        <is>
          <t>documents</t>
        </is>
      </c>
      <c r="J103" s="45" t="inlineStr">
        <is>
          <t>838088024</t>
        </is>
      </c>
      <c r="K103" t="inlineStr">
        <is>
          <t>https://drive.google.com/file/d/1Lq08NNbxsMBp7B7MMjUiEknDIr3kxPc0/view?usp=drivesdk</t>
        </is>
      </c>
    </row>
    <row r="104" ht="12" customHeight="1">
      <c r="A104" t="inlineStr">
        <is>
          <t>202602</t>
        </is>
      </c>
      <c r="B104" t="inlineStr">
        <is>
          <t>SL</t>
        </is>
      </c>
      <c r="C104" t="inlineStr">
        <is>
          <t>opex</t>
        </is>
      </c>
      <c r="D104" t="inlineStr">
        <is>
          <t>technology</t>
        </is>
      </c>
      <c r="E104" t="inlineStr">
        <is>
          <t>YUMAAI</t>
        </is>
      </c>
      <c r="F104" t="inlineStr"/>
      <c r="G104" t="n">
        <v>440</v>
      </c>
      <c r="H104" t="inlineStr">
        <is>
          <t>EUR</t>
        </is>
      </c>
      <c r="I104" t="inlineStr">
        <is>
          <t>documents</t>
        </is>
      </c>
      <c r="J104" s="45" t="inlineStr">
        <is>
          <t>OQXBYXMP-0005</t>
        </is>
      </c>
      <c r="K104" t="inlineStr">
        <is>
          <t>https://drive.google.com/file/d/1y53mv0-BjFCp7Z4Tp9mguo1WuS7RRlVK/view?usp=drivesdk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t="n">
        <v>697.99</v>
      </c>
      <c r="H105" t="inlineStr">
        <is>
          <t>EUR</t>
        </is>
      </c>
      <c r="I105" t="inlineStr">
        <is>
          <t>documents</t>
        </is>
      </c>
      <c r="J105" s="45" t="inlineStr">
        <is>
          <t>1-2805</t>
        </is>
      </c>
      <c r="K105" t="inlineStr">
        <is>
          <t>https://drive.google.com/file/d/1n1TdGRm0xbbUrhiWxso3ucgcPhj4jbzx/view?usp=drivesdk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t="n">
        <v>26.57</v>
      </c>
      <c r="H106" t="inlineStr">
        <is>
          <t>EUR</t>
        </is>
      </c>
      <c r="I106" t="inlineStr">
        <is>
          <t>documents</t>
        </is>
      </c>
      <c r="J106" s="45" t="inlineStr">
        <is>
          <t>1-2806</t>
        </is>
      </c>
      <c r="K106" t="inlineStr">
        <is>
          <t>https://drive.google.com/file/d/1ao5r16qm7GhBSrW3YeiF3erPmxlcHELA/view?usp=drivesdk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t="n">
        <v>150.61</v>
      </c>
      <c r="H107" t="inlineStr">
        <is>
          <t>EUR</t>
        </is>
      </c>
      <c r="I107" t="inlineStr">
        <is>
          <t>documents</t>
        </is>
      </c>
      <c r="J107" s="45" t="inlineStr">
        <is>
          <t>1-2807</t>
        </is>
      </c>
      <c r="K107" t="inlineStr">
        <is>
          <t>https://drive.google.com/file/d/1OXbTejlLlT9SzZTWZP1D7tU57XBkfsLB/view?usp=drivesdk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t="n">
        <v>35.45</v>
      </c>
      <c r="H108" t="inlineStr">
        <is>
          <t>EUR</t>
        </is>
      </c>
      <c r="I108" t="inlineStr">
        <is>
          <t>documents</t>
        </is>
      </c>
      <c r="J108" s="45" t="inlineStr">
        <is>
          <t>1-2808</t>
        </is>
      </c>
      <c r="K108" t="inlineStr">
        <is>
          <t>https://drive.google.com/file/d/1-0D2m0NVI4A5J-ddmlF3nafsBa8vGWBd/view?usp=drivesdk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t="n">
        <v>18.45</v>
      </c>
      <c r="H109" t="inlineStr">
        <is>
          <t>EUR</t>
        </is>
      </c>
      <c r="I109" t="inlineStr">
        <is>
          <t>documents</t>
        </is>
      </c>
      <c r="J109" s="45" t="inlineStr">
        <is>
          <t>1-2809</t>
        </is>
      </c>
      <c r="K109" t="inlineStr">
        <is>
          <t>https://drive.google.com/file/d/109FoRS20p6fG5cg4HRHkxTwOGMiEB3AH/view?usp=drivesdk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APPHOTOES</t>
        </is>
      </c>
      <c r="F110" t="inlineStr"/>
      <c r="G110" t="n">
        <v>6244.25</v>
      </c>
      <c r="H110" t="inlineStr">
        <is>
          <t>EUR</t>
        </is>
      </c>
      <c r="I110" t="inlineStr">
        <is>
          <t>documents</t>
        </is>
      </c>
      <c r="J110" s="45" t="inlineStr">
        <is>
          <t>1-2921</t>
        </is>
      </c>
      <c r="K110" t="inlineStr">
        <is>
          <t>https://drive.google.com/file/d/1md630rqHnAw6S5fnMiH86ktIGL9wAfgF/view?usp=drivesdk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cogs</t>
        </is>
      </c>
      <c r="D111" t="inlineStr">
        <is>
          <t>manufacturing</t>
        </is>
      </c>
      <c r="E111" t="inlineStr">
        <is>
          <t>APPHOTOES</t>
        </is>
      </c>
      <c r="F111" t="inlineStr"/>
      <c r="G111" t="n">
        <v>4435.99</v>
      </c>
      <c r="H111" t="inlineStr">
        <is>
          <t>EUR</t>
        </is>
      </c>
      <c r="I111" t="inlineStr">
        <is>
          <t>documents</t>
        </is>
      </c>
      <c r="J111" s="45" t="inlineStr">
        <is>
          <t>1-3283</t>
        </is>
      </c>
      <c r="K111" t="inlineStr">
        <is>
          <t>https://drive.google.com/file/d/1MkhCT3OZenS4bJf5_J2qB8oGGw8oFzkf/view?usp=drivesdk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ARTLINK</t>
        </is>
      </c>
      <c r="F112" t="inlineStr">
        <is>
          <t>manufacturing</t>
        </is>
      </c>
      <c r="G112" t="n">
        <v>570</v>
      </c>
      <c r="H112" t="inlineStr">
        <is>
          <t>EUR</t>
        </is>
      </c>
      <c r="I112" t="inlineStr">
        <is>
          <t>documents</t>
        </is>
      </c>
      <c r="J112" s="45" t="inlineStr">
        <is>
          <t>000203570</t>
        </is>
      </c>
      <c r="K112" t="inlineStr">
        <is>
          <t>https://drive.google.com/file/d/1cfzsuLvXSAtRD2pLnRBZ59veQeIWQKjQ/view?usp=drivesdk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administration</t>
        </is>
      </c>
      <c r="E113" t="inlineStr">
        <is>
          <t>CLARIS</t>
        </is>
      </c>
      <c r="F113" t="inlineStr"/>
      <c r="G113" t="n">
        <v>808.08</v>
      </c>
      <c r="H113" t="inlineStr">
        <is>
          <t>EUR</t>
        </is>
      </c>
      <c r="I113" t="inlineStr">
        <is>
          <t>documents</t>
        </is>
      </c>
      <c r="J113" s="45" t="inlineStr">
        <is>
          <t>F00658/26</t>
        </is>
      </c>
      <c r="K113" t="inlineStr">
        <is>
          <t>https://drive.google.com/file/d/194sPXt7bz4RYudtr1LLnRSTHRD3IRfX_/view?usp=drivesdk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cogs</t>
        </is>
      </c>
      <c r="D114" t="inlineStr">
        <is>
          <t>manufacturing</t>
        </is>
      </c>
      <c r="E114" t="inlineStr">
        <is>
          <t>DCT</t>
        </is>
      </c>
      <c r="F114" t="inlineStr"/>
      <c r="G114" t="n">
        <v>2646.66</v>
      </c>
      <c r="H114" t="inlineStr">
        <is>
          <t>EUR</t>
        </is>
      </c>
      <c r="I114" t="inlineStr">
        <is>
          <t>documents</t>
        </is>
      </c>
      <c r="J114" s="45" t="inlineStr">
        <is>
          <t>26-0463</t>
        </is>
      </c>
      <c r="K114" t="inlineStr">
        <is>
          <t>https://drive.google.com/file/d/1d9bGOdNerfRkG8hm-9tNwNLOClNoUKV1/view?usp=drivesdk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GORGIAS</t>
        </is>
      </c>
      <c r="F115" t="inlineStr"/>
      <c r="G115" t="n">
        <v>126.4</v>
      </c>
      <c r="H115" t="inlineStr">
        <is>
          <t>USD</t>
        </is>
      </c>
      <c r="I115" t="inlineStr">
        <is>
          <t>documents</t>
        </is>
      </c>
      <c r="J115" s="45" t="inlineStr">
        <is>
          <t>INC-03-2026-64889</t>
        </is>
      </c>
      <c r="K115" t="inlineStr">
        <is>
          <t>https://drive.google.com/file/d/1r5NeAkt6BuK7stM77wMD2GmwfOkmyuaE/view?usp=drivesdk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administration</t>
        </is>
      </c>
      <c r="E116" t="inlineStr">
        <is>
          <t>HANNUN</t>
        </is>
      </c>
      <c r="F116" t="inlineStr">
        <is>
          <t>administration</t>
        </is>
      </c>
      <c r="G116" t="n">
        <v>30</v>
      </c>
      <c r="H116" t="inlineStr">
        <is>
          <t>EUR</t>
        </is>
      </c>
      <c r="I116" t="inlineStr">
        <is>
          <t>documents</t>
        </is>
      </c>
      <c r="J116" s="45" t="inlineStr">
        <is>
          <t>VTA/26-010337</t>
        </is>
      </c>
      <c r="K116" t="inlineStr">
        <is>
          <t>https://drive.google.com/file/d/1jBhJD7kS5_SPwJKWbOaHjrF8mX4mpiT8/view?usp=drivesdk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technology</t>
        </is>
      </c>
      <c r="E117" t="inlineStr">
        <is>
          <t>OPENAI</t>
        </is>
      </c>
      <c r="F117" t="inlineStr">
        <is>
          <t>api_usage</t>
        </is>
      </c>
      <c r="G117" t="n">
        <v>15</v>
      </c>
      <c r="H117" t="inlineStr">
        <is>
          <t>USD</t>
        </is>
      </c>
      <c r="I117" t="inlineStr">
        <is>
          <t>documents</t>
        </is>
      </c>
      <c r="J117" s="45" t="inlineStr">
        <is>
          <t>BZHJNTUB0008</t>
        </is>
      </c>
      <c r="K117" t="inlineStr">
        <is>
          <t>https://drive.google.com/file/d/14mLVYewapKRBwsNP7f6wLOc4WRmROQLm/view?usp=drivesdk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technology</t>
        </is>
      </c>
      <c r="E118" t="inlineStr">
        <is>
          <t>RAILWAY</t>
        </is>
      </c>
      <c r="F118" t="inlineStr"/>
      <c r="G118" t="n">
        <v>21.36</v>
      </c>
      <c r="H118" t="inlineStr">
        <is>
          <t>USD</t>
        </is>
      </c>
      <c r="I118" t="inlineStr">
        <is>
          <t>documents</t>
        </is>
      </c>
      <c r="J118" s="45" t="inlineStr">
        <is>
          <t>1602C2F5-0017</t>
        </is>
      </c>
      <c r="K118" t="inlineStr">
        <is>
          <t>https://drive.google.com/file/d/1_zSaGhAEICAUBmqreT7FKVxXgv2-r3jW/view?usp=drivesdk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administration</t>
        </is>
      </c>
      <c r="E119" t="inlineStr">
        <is>
          <t>TORRAS</t>
        </is>
      </c>
      <c r="F119" t="inlineStr"/>
      <c r="G119" t="n">
        <v>15</v>
      </c>
      <c r="H119" t="inlineStr">
        <is>
          <t>EUR</t>
        </is>
      </c>
      <c r="I119" t="inlineStr">
        <is>
          <t>documents</t>
        </is>
      </c>
      <c r="J119" s="45" t="inlineStr">
        <is>
          <t>7/800</t>
        </is>
      </c>
      <c r="K119" t="inlineStr">
        <is>
          <t>https://drive.google.com/file/d/1qLKvi2Ja2apUNKYZBiLqZTt00IfYF7J2/view?usp=drivesdk</t>
        </is>
      </c>
    </row>
    <row r="120" ht="12" customHeight="1">
      <c r="A120" t="inlineStr">
        <is>
          <t>202603</t>
        </is>
      </c>
      <c r="B120" t="inlineStr">
        <is>
          <t>SL</t>
        </is>
      </c>
      <c r="C120" t="inlineStr">
        <is>
          <t>opex</t>
        </is>
      </c>
      <c r="D120" t="inlineStr">
        <is>
          <t>administration</t>
        </is>
      </c>
      <c r="E120" t="inlineStr">
        <is>
          <t>VITALY</t>
        </is>
      </c>
      <c r="F120" t="inlineStr"/>
      <c r="G120" t="n">
        <v>369</v>
      </c>
      <c r="H120" t="inlineStr">
        <is>
          <t>EUR</t>
        </is>
      </c>
      <c r="I120" t="inlineStr">
        <is>
          <t>documents</t>
        </is>
      </c>
      <c r="J120" s="45" t="inlineStr">
        <is>
          <t>IFC2603-18831</t>
        </is>
      </c>
      <c r="K120" t="inlineStr">
        <is>
          <t>https://drive.google.com/file/d/1YylC1UsF8Mmxn_K1BFQWDm5IBpU5pT4S/view?usp=drivesdk</t>
        </is>
      </c>
    </row>
    <row r="121" ht="12" customHeight="1">
      <c r="A121" t="inlineStr">
        <is>
          <t>202603</t>
        </is>
      </c>
      <c r="B121" t="inlineStr">
        <is>
          <t>SL</t>
        </is>
      </c>
      <c r="C121" t="inlineStr">
        <is>
          <t>opex</t>
        </is>
      </c>
      <c r="D121" t="inlineStr">
        <is>
          <t>technology</t>
        </is>
      </c>
      <c r="E121" t="inlineStr">
        <is>
          <t>YUMAAI</t>
        </is>
      </c>
      <c r="F121" t="inlineStr"/>
      <c r="G121" t="n">
        <v>440</v>
      </c>
      <c r="H121" t="inlineStr">
        <is>
          <t>EUR</t>
        </is>
      </c>
      <c r="I121" t="inlineStr">
        <is>
          <t>documents</t>
        </is>
      </c>
      <c r="J121" s="45" t="inlineStr">
        <is>
          <t>OQXBYXMP-0006</t>
        </is>
      </c>
      <c r="K121" t="inlineStr">
        <is>
          <t>https://drive.google.com/file/d/1Dfe3TUTMjwwXhP0sW7OA-brj3bzdreVa/view?usp=drivesdk</t>
        </is>
      </c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cogs</t>
        </is>
      </c>
      <c r="D122" t="inlineStr">
        <is>
          <t>royalties</t>
        </is>
      </c>
      <c r="E122" t="inlineStr">
        <is>
          <t>ROYALTIES</t>
        </is>
      </c>
      <c r="F122" t="inlineStr"/>
      <c r="G122" t="n">
        <v>13737</v>
      </c>
      <c r="H122" t="inlineStr">
        <is>
          <t>EUR</t>
        </is>
      </c>
      <c r="I122" t="inlineStr">
        <is>
          <t>artist_royalties_monthly_summary</t>
        </is>
      </c>
      <c r="J122" t="inlineStr"/>
      <c r="K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cogs</t>
        </is>
      </c>
      <c r="D123" t="inlineStr">
        <is>
          <t>royalties</t>
        </is>
      </c>
      <c r="E123" t="inlineStr">
        <is>
          <t>ROYALTIES</t>
        </is>
      </c>
      <c r="F123" t="inlineStr"/>
      <c r="G123" t="n">
        <v>16662</v>
      </c>
      <c r="H123" t="inlineStr">
        <is>
          <t>EUR</t>
        </is>
      </c>
      <c r="I123" t="inlineStr">
        <is>
          <t>artist_royalties_monthly_summary</t>
        </is>
      </c>
      <c r="J123" t="inlineStr"/>
      <c r="K123" t="inlineStr"/>
    </row>
    <row r="124" ht="12" customHeight="1">
      <c r="A124" t="inlineStr">
        <is>
          <t>202601</t>
        </is>
      </c>
      <c r="B124" t="inlineStr">
        <is>
          <t>SL</t>
        </is>
      </c>
      <c r="C124" t="inlineStr">
        <is>
          <t>opex</t>
        </is>
      </c>
      <c r="D124" t="inlineStr">
        <is>
          <t>staff</t>
        </is>
      </c>
      <c r="E124" t="inlineStr">
        <is>
          <t>PAYROLL</t>
        </is>
      </c>
      <c r="F124" t="inlineStr"/>
      <c r="G124" t="n">
        <v>14731.84</v>
      </c>
      <c r="H124" t="inlineStr">
        <is>
          <t>EUR</t>
        </is>
      </c>
      <c r="I124" t="inlineStr">
        <is>
          <t>payroll_documents</t>
        </is>
      </c>
      <c r="J124" t="inlineStr"/>
      <c r="K124" t="inlineStr"/>
    </row>
    <row r="125" ht="12" customHeight="1">
      <c r="A125" t="inlineStr">
        <is>
          <t>202602</t>
        </is>
      </c>
      <c r="B125" t="inlineStr">
        <is>
          <t>SL</t>
        </is>
      </c>
      <c r="C125" t="inlineStr">
        <is>
          <t>opex</t>
        </is>
      </c>
      <c r="D125" t="inlineStr">
        <is>
          <t>staff</t>
        </is>
      </c>
      <c r="E125" t="inlineStr">
        <is>
          <t>PAYROLL</t>
        </is>
      </c>
      <c r="F125" t="inlineStr"/>
      <c r="G125" t="n">
        <v>14915.68</v>
      </c>
      <c r="H125" t="inlineStr">
        <is>
          <t>EUR</t>
        </is>
      </c>
      <c r="I125" t="inlineStr">
        <is>
          <t>payroll_documents</t>
        </is>
      </c>
      <c r="J125" t="inlineStr"/>
      <c r="K125" t="inlineStr"/>
    </row>
  </sheetData>
  <hyperlinks>
    <hyperlink ref="A1" location="'P&amp;G-SL'!A1" display="&lt;- Volver a P&amp;G-SL"/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3" r:id="rId61"/>
    <hyperlink xmlns:r="http://schemas.openxmlformats.org/officeDocument/2006/relationships" ref="J64" r:id="rId62"/>
    <hyperlink xmlns:r="http://schemas.openxmlformats.org/officeDocument/2006/relationships" ref="J65" r:id="rId63"/>
    <hyperlink xmlns:r="http://schemas.openxmlformats.org/officeDocument/2006/relationships" ref="J66" r:id="rId64"/>
    <hyperlink xmlns:r="http://schemas.openxmlformats.org/officeDocument/2006/relationships" ref="J67" r:id="rId65"/>
    <hyperlink xmlns:r="http://schemas.openxmlformats.org/officeDocument/2006/relationships" ref="J68" r:id="rId66"/>
    <hyperlink xmlns:r="http://schemas.openxmlformats.org/officeDocument/2006/relationships" ref="J69" r:id="rId67"/>
    <hyperlink xmlns:r="http://schemas.openxmlformats.org/officeDocument/2006/relationships" ref="J70" r:id="rId68"/>
    <hyperlink xmlns:r="http://schemas.openxmlformats.org/officeDocument/2006/relationships" ref="J71" r:id="rId69"/>
    <hyperlink xmlns:r="http://schemas.openxmlformats.org/officeDocument/2006/relationships" ref="J72" r:id="rId70"/>
    <hyperlink xmlns:r="http://schemas.openxmlformats.org/officeDocument/2006/relationships" ref="J73" r:id="rId71"/>
    <hyperlink xmlns:r="http://schemas.openxmlformats.org/officeDocument/2006/relationships" ref="J74" r:id="rId72"/>
    <hyperlink xmlns:r="http://schemas.openxmlformats.org/officeDocument/2006/relationships" ref="J75" r:id="rId73"/>
    <hyperlink xmlns:r="http://schemas.openxmlformats.org/officeDocument/2006/relationships" ref="J76" r:id="rId74"/>
    <hyperlink xmlns:r="http://schemas.openxmlformats.org/officeDocument/2006/relationships" ref="J77" r:id="rId75"/>
    <hyperlink xmlns:r="http://schemas.openxmlformats.org/officeDocument/2006/relationships" ref="J78" r:id="rId76"/>
    <hyperlink xmlns:r="http://schemas.openxmlformats.org/officeDocument/2006/relationships" ref="J79" r:id="rId77"/>
    <hyperlink xmlns:r="http://schemas.openxmlformats.org/officeDocument/2006/relationships" ref="J80" r:id="rId78"/>
    <hyperlink xmlns:r="http://schemas.openxmlformats.org/officeDocument/2006/relationships" ref="J81" r:id="rId79"/>
    <hyperlink xmlns:r="http://schemas.openxmlformats.org/officeDocument/2006/relationships" ref="J82" r:id="rId80"/>
    <hyperlink xmlns:r="http://schemas.openxmlformats.org/officeDocument/2006/relationships" ref="J83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7" r:id="rId85"/>
    <hyperlink xmlns:r="http://schemas.openxmlformats.org/officeDocument/2006/relationships" ref="J88" r:id="rId86"/>
    <hyperlink xmlns:r="http://schemas.openxmlformats.org/officeDocument/2006/relationships" ref="J89" r:id="rId87"/>
    <hyperlink xmlns:r="http://schemas.openxmlformats.org/officeDocument/2006/relationships" ref="J90" r:id="rId88"/>
    <hyperlink xmlns:r="http://schemas.openxmlformats.org/officeDocument/2006/relationships" ref="J91" r:id="rId89"/>
    <hyperlink xmlns:r="http://schemas.openxmlformats.org/officeDocument/2006/relationships" ref="J92" r:id="rId90"/>
    <hyperlink xmlns:r="http://schemas.openxmlformats.org/officeDocument/2006/relationships" ref="J93" r:id="rId91"/>
    <hyperlink xmlns:r="http://schemas.openxmlformats.org/officeDocument/2006/relationships" ref="J94" r:id="rId92"/>
    <hyperlink xmlns:r="http://schemas.openxmlformats.org/officeDocument/2006/relationships" ref="J95" r:id="rId93"/>
    <hyperlink xmlns:r="http://schemas.openxmlformats.org/officeDocument/2006/relationships" ref="J96" r:id="rId94"/>
    <hyperlink xmlns:r="http://schemas.openxmlformats.org/officeDocument/2006/relationships" ref="J97" r:id="rId95"/>
    <hyperlink xmlns:r="http://schemas.openxmlformats.org/officeDocument/2006/relationships" ref="J98" r:id="rId96"/>
    <hyperlink xmlns:r="http://schemas.openxmlformats.org/officeDocument/2006/relationships" ref="J99" r:id="rId97"/>
    <hyperlink xmlns:r="http://schemas.openxmlformats.org/officeDocument/2006/relationships" ref="J100" r:id="rId98"/>
    <hyperlink xmlns:r="http://schemas.openxmlformats.org/officeDocument/2006/relationships" ref="J101" r:id="rId99"/>
    <hyperlink xmlns:r="http://schemas.openxmlformats.org/officeDocument/2006/relationships" ref="J102" r:id="rId100"/>
    <hyperlink xmlns:r="http://schemas.openxmlformats.org/officeDocument/2006/relationships" ref="J103" r:id="rId101"/>
    <hyperlink xmlns:r="http://schemas.openxmlformats.org/officeDocument/2006/relationships" ref="J104" r:id="rId102"/>
    <hyperlink xmlns:r="http://schemas.openxmlformats.org/officeDocument/2006/relationships" ref="J105" r:id="rId103"/>
    <hyperlink xmlns:r="http://schemas.openxmlformats.org/officeDocument/2006/relationships" ref="J106" r:id="rId104"/>
    <hyperlink xmlns:r="http://schemas.openxmlformats.org/officeDocument/2006/relationships" ref="J107" r:id="rId105"/>
    <hyperlink xmlns:r="http://schemas.openxmlformats.org/officeDocument/2006/relationships" ref="J108" r:id="rId106"/>
    <hyperlink xmlns:r="http://schemas.openxmlformats.org/officeDocument/2006/relationships" ref="J109" r:id="rId107"/>
    <hyperlink xmlns:r="http://schemas.openxmlformats.org/officeDocument/2006/relationships" ref="J110" r:id="rId108"/>
    <hyperlink xmlns:r="http://schemas.openxmlformats.org/officeDocument/2006/relationships" ref="J111" r:id="rId109"/>
    <hyperlink xmlns:r="http://schemas.openxmlformats.org/officeDocument/2006/relationships" ref="J112" r:id="rId110"/>
    <hyperlink xmlns:r="http://schemas.openxmlformats.org/officeDocument/2006/relationships" ref="J113" r:id="rId111"/>
    <hyperlink xmlns:r="http://schemas.openxmlformats.org/officeDocument/2006/relationships" ref="J114" r:id="rId112"/>
    <hyperlink xmlns:r="http://schemas.openxmlformats.org/officeDocument/2006/relationships" ref="J115" r:id="rId113"/>
    <hyperlink xmlns:r="http://schemas.openxmlformats.org/officeDocument/2006/relationships" ref="J116" r:id="rId114"/>
    <hyperlink xmlns:r="http://schemas.openxmlformats.org/officeDocument/2006/relationships" ref="J117" r:id="rId115"/>
    <hyperlink xmlns:r="http://schemas.openxmlformats.org/officeDocument/2006/relationships" ref="J118" r:id="rId116"/>
    <hyperlink xmlns:r="http://schemas.openxmlformats.org/officeDocument/2006/relationships" ref="J119" r:id="rId117"/>
    <hyperlink xmlns:r="http://schemas.openxmlformats.org/officeDocument/2006/relationships" ref="J120" r:id="rId118"/>
    <hyperlink xmlns:r="http://schemas.openxmlformats.org/officeDocument/2006/relationships" ref="J121" r:id="rId11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t="n">
        <v>1405.82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t="n">
        <v>2616.7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t="n">
        <v>1126.69</v>
      </c>
      <c r="E5" t="inlineStr">
        <is>
          <t>EUR</t>
        </is>
      </c>
      <c r="F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t="n">
        <v>2778.19</v>
      </c>
      <c r="E6" t="inlineStr">
        <is>
          <t>EUR</t>
        </is>
      </c>
      <c r="F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t="n">
        <v>850.46</v>
      </c>
      <c r="E7" t="inlineStr">
        <is>
          <t>EUR</t>
        </is>
      </c>
      <c r="F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t="n">
        <v>2014.7</v>
      </c>
      <c r="E8" t="inlineStr">
        <is>
          <t>EUR</t>
        </is>
      </c>
      <c r="F8" t="inlineStr">
        <is>
          <t>payment_fee_monthly_summary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2026-03-23T08:26:33Z</dcterms:created>
  <dcterms:modified xsi:type="dcterms:W3CDTF">2026-03-23T08:26:33Z</dcterms:modified>
</cp:coreProperties>
</file>