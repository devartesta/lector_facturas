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03:04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D61+D71+D74+D80</f>
        <v/>
      </c>
      <c r="E60" s="14">
        <f>E61+E71+E74+E80</f>
        <v/>
      </c>
      <c r="F60" s="14">
        <f>F61+F71+F74+F80</f>
        <v/>
      </c>
      <c r="G60" s="14">
        <f>G61+G71+G74+G80</f>
        <v/>
      </c>
      <c r="H60" s="14">
        <f>H61+H71+H74+H80</f>
        <v/>
      </c>
      <c r="I60" s="14">
        <f>I61+I71+I74+I80</f>
        <v/>
      </c>
      <c r="J60" s="14">
        <f>J61+J71+J74+J80</f>
        <v/>
      </c>
      <c r="K60" s="14">
        <f>K61+K71+K74+K80</f>
        <v/>
      </c>
      <c r="L60" s="14">
        <f>L61+L71+L74+L80</f>
        <v/>
      </c>
      <c r="M60" s="14">
        <f>M61+M71+M74+M80</f>
        <v/>
      </c>
      <c r="N60" s="14">
        <f>N61+N71+N74+N80</f>
        <v/>
      </c>
      <c r="O60" s="14">
        <f>O61+O71+O74+O80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SUM(D75:D79)</f>
        <v/>
      </c>
      <c r="E74" s="20">
        <f>SUM(E75:E79)</f>
        <v/>
      </c>
      <c r="F74" s="20">
        <f>SUM(F75:F79)</f>
        <v/>
      </c>
      <c r="G74" s="20">
        <f>SUM(G75:G79)</f>
        <v/>
      </c>
      <c r="H74" s="20">
        <f>SUM(H75:H79)</f>
        <v/>
      </c>
      <c r="I74" s="20">
        <f>SUM(I75:I79)</f>
        <v/>
      </c>
      <c r="J74" s="20">
        <f>SUM(J75:J79)</f>
        <v/>
      </c>
      <c r="K74" s="20">
        <f>SUM(K75:K79)</f>
        <v/>
      </c>
      <c r="L74" s="20">
        <f>SUM(L75:L79)</f>
        <v/>
      </c>
      <c r="M74" s="20">
        <f>SUM(M75:M79)</f>
        <v/>
      </c>
      <c r="N74" s="20">
        <f>SUM(N75:N79)</f>
        <v/>
      </c>
      <c r="O74" s="20">
        <f>SUM(O75:O79)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NODA</t>
        </is>
      </c>
      <c r="B77" s="4" t="n"/>
      <c r="C77" s="4" t="inlineStr">
        <is>
          <t>NODA</t>
        </is>
      </c>
      <c r="D77" s="5">
        <f>SUMIFS('g-expenses-sl'!$G:$G,'g-expenses-sl'!$A:$A,D$1,'g-expenses-sl'!$D:$D,"administration",'g-expenses-sl'!$E:$E,$C77)</f>
        <v/>
      </c>
      <c r="E77" s="5">
        <f>SUMIFS('g-expenses-sl'!$G:$G,'g-expenses-sl'!$A:$A,E$1,'g-expenses-sl'!$D:$D,"administration",'g-expenses-sl'!$E:$E,$C77)</f>
        <v/>
      </c>
      <c r="F77" s="5">
        <f>SUMIFS('g-expenses-sl'!$G:$G,'g-expenses-sl'!$A:$A,F$1,'g-expenses-sl'!$D:$D,"administration",'g-expenses-sl'!$E:$E,$C77)</f>
        <v/>
      </c>
      <c r="G77" s="5">
        <f>SUMIFS('g-expenses-sl'!$G:$G,'g-expenses-sl'!$A:$A,G$1,'g-expenses-sl'!$D:$D,"administration",'g-expenses-sl'!$E:$E,$C77)</f>
        <v/>
      </c>
      <c r="H77" s="5">
        <f>SUMIFS('g-expenses-sl'!$G:$G,'g-expenses-sl'!$A:$A,H$1,'g-expenses-sl'!$D:$D,"administration",'g-expenses-sl'!$E:$E,$C77)</f>
        <v/>
      </c>
      <c r="I77" s="5">
        <f>SUMIFS('g-expenses-sl'!$G:$G,'g-expenses-sl'!$A:$A,I$1,'g-expenses-sl'!$D:$D,"administration",'g-expenses-sl'!$E:$E,$C77)</f>
        <v/>
      </c>
      <c r="J77" s="5">
        <f>SUMIFS('g-expenses-sl'!$G:$G,'g-expenses-sl'!$A:$A,J$1,'g-expenses-sl'!$D:$D,"administration",'g-expenses-sl'!$E:$E,$C77)</f>
        <v/>
      </c>
      <c r="K77" s="5">
        <f>SUMIFS('g-expenses-sl'!$G:$G,'g-expenses-sl'!$A:$A,K$1,'g-expenses-sl'!$D:$D,"administration",'g-expenses-sl'!$E:$E,$C77)</f>
        <v/>
      </c>
      <c r="L77" s="5">
        <f>SUMIFS('g-expenses-sl'!$G:$G,'g-expenses-sl'!$A:$A,L$1,'g-expenses-sl'!$D:$D,"administration",'g-expenses-sl'!$E:$E,$C77)</f>
        <v/>
      </c>
      <c r="M77" s="5">
        <f>SUMIFS('g-expenses-sl'!$G:$G,'g-expenses-sl'!$A:$A,M$1,'g-expenses-sl'!$D:$D,"administration",'g-expenses-sl'!$E:$E,$C77)</f>
        <v/>
      </c>
      <c r="N77" s="5">
        <f>SUMIFS('g-expenses-sl'!$G:$G,'g-expenses-sl'!$A:$A,N$1,'g-expenses-sl'!$D:$D,"administration",'g-expenses-sl'!$E:$E,$C77)</f>
        <v/>
      </c>
      <c r="O77" s="5">
        <f>SUMIFS('g-expenses-sl'!$G:$G,'g-expenses-sl'!$A:$A,O$1,'g-expenses-sl'!$D:$D,"administration",'g-expenses-sl'!$E:$E,$C77)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TORRAS</t>
        </is>
      </c>
      <c r="B78" s="4" t="n"/>
      <c r="C78" s="4" t="inlineStr">
        <is>
          <t>TORRAS</t>
        </is>
      </c>
      <c r="D78" s="5">
        <f>SUMIFS('g-expenses-sl'!$G:$G,'g-expenses-sl'!$A:$A,D$1,'g-expenses-sl'!$D:$D,"administration",'g-expenses-sl'!$E:$E,$C78)</f>
        <v/>
      </c>
      <c r="E78" s="5">
        <f>SUMIFS('g-expenses-sl'!$G:$G,'g-expenses-sl'!$A:$A,E$1,'g-expenses-sl'!$D:$D,"administration",'g-expenses-sl'!$E:$E,$C78)</f>
        <v/>
      </c>
      <c r="F78" s="5">
        <f>SUMIFS('g-expenses-sl'!$G:$G,'g-expenses-sl'!$A:$A,F$1,'g-expenses-sl'!$D:$D,"administration",'g-expenses-sl'!$E:$E,$C78)</f>
        <v/>
      </c>
      <c r="G78" s="5">
        <f>SUMIFS('g-expenses-sl'!$G:$G,'g-expenses-sl'!$A:$A,G$1,'g-expenses-sl'!$D:$D,"administration",'g-expenses-sl'!$E:$E,$C78)</f>
        <v/>
      </c>
      <c r="H78" s="5">
        <f>SUMIFS('g-expenses-sl'!$G:$G,'g-expenses-sl'!$A:$A,H$1,'g-expenses-sl'!$D:$D,"administration",'g-expenses-sl'!$E:$E,$C78)</f>
        <v/>
      </c>
      <c r="I78" s="5">
        <f>SUMIFS('g-expenses-sl'!$G:$G,'g-expenses-sl'!$A:$A,I$1,'g-expenses-sl'!$D:$D,"administration",'g-expenses-sl'!$E:$E,$C78)</f>
        <v/>
      </c>
      <c r="J78" s="5">
        <f>SUMIFS('g-expenses-sl'!$G:$G,'g-expenses-sl'!$A:$A,J$1,'g-expenses-sl'!$D:$D,"administration",'g-expenses-sl'!$E:$E,$C78)</f>
        <v/>
      </c>
      <c r="K78" s="5">
        <f>SUMIFS('g-expenses-sl'!$G:$G,'g-expenses-sl'!$A:$A,K$1,'g-expenses-sl'!$D:$D,"administration",'g-expenses-sl'!$E:$E,$C78)</f>
        <v/>
      </c>
      <c r="L78" s="5">
        <f>SUMIFS('g-expenses-sl'!$G:$G,'g-expenses-sl'!$A:$A,L$1,'g-expenses-sl'!$D:$D,"administration",'g-expenses-sl'!$E:$E,$C78)</f>
        <v/>
      </c>
      <c r="M78" s="5">
        <f>SUMIFS('g-expenses-sl'!$G:$G,'g-expenses-sl'!$A:$A,M$1,'g-expenses-sl'!$D:$D,"administration",'g-expenses-sl'!$E:$E,$C78)</f>
        <v/>
      </c>
      <c r="N78" s="5">
        <f>SUMIFS('g-expenses-sl'!$G:$G,'g-expenses-sl'!$A:$A,N$1,'g-expenses-sl'!$D:$D,"administration",'g-expenses-sl'!$E:$E,$C78)</f>
        <v/>
      </c>
      <c r="O78" s="5">
        <f>SUMIFS('g-expenses-sl'!$G:$G,'g-expenses-sl'!$A:$A,O$1,'g-expenses-sl'!$D:$D,"administration",'g-expenses-sl'!$E:$E,$C78)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VITALY</t>
        </is>
      </c>
      <c r="B79" s="4" t="n"/>
      <c r="C79" s="4" t="inlineStr">
        <is>
          <t>VITALY</t>
        </is>
      </c>
      <c r="D79" s="5">
        <f>SUMIFS('g-expenses-sl'!$G:$G,'g-expenses-sl'!$A:$A,D$1,'g-expenses-sl'!$D:$D,"administration",'g-expenses-sl'!$E:$E,$C79)</f>
        <v/>
      </c>
      <c r="E79" s="5">
        <f>SUMIFS('g-expenses-sl'!$G:$G,'g-expenses-sl'!$A:$A,E$1,'g-expenses-sl'!$D:$D,"administration",'g-expenses-sl'!$E:$E,$C79)</f>
        <v/>
      </c>
      <c r="F79" s="5">
        <f>SUMIFS('g-expenses-sl'!$G:$G,'g-expenses-sl'!$A:$A,F$1,'g-expenses-sl'!$D:$D,"administration",'g-expenses-sl'!$E:$E,$C79)</f>
        <v/>
      </c>
      <c r="G79" s="5">
        <f>SUMIFS('g-expenses-sl'!$G:$G,'g-expenses-sl'!$A:$A,G$1,'g-expenses-sl'!$D:$D,"administration",'g-expenses-sl'!$E:$E,$C79)</f>
        <v/>
      </c>
      <c r="H79" s="5">
        <f>SUMIFS('g-expenses-sl'!$G:$G,'g-expenses-sl'!$A:$A,H$1,'g-expenses-sl'!$D:$D,"administration",'g-expenses-sl'!$E:$E,$C79)</f>
        <v/>
      </c>
      <c r="I79" s="5">
        <f>SUMIFS('g-expenses-sl'!$G:$G,'g-expenses-sl'!$A:$A,I$1,'g-expenses-sl'!$D:$D,"administration",'g-expenses-sl'!$E:$E,$C79)</f>
        <v/>
      </c>
      <c r="J79" s="5">
        <f>SUMIFS('g-expenses-sl'!$G:$G,'g-expenses-sl'!$A:$A,J$1,'g-expenses-sl'!$D:$D,"administration",'g-expenses-sl'!$E:$E,$C79)</f>
        <v/>
      </c>
      <c r="K79" s="5">
        <f>SUMIFS('g-expenses-sl'!$G:$G,'g-expenses-sl'!$A:$A,K$1,'g-expenses-sl'!$D:$D,"administration",'g-expenses-sl'!$E:$E,$C79)</f>
        <v/>
      </c>
      <c r="L79" s="5">
        <f>SUMIFS('g-expenses-sl'!$G:$G,'g-expenses-sl'!$A:$A,L$1,'g-expenses-sl'!$D:$D,"administration",'g-expenses-sl'!$E:$E,$C79)</f>
        <v/>
      </c>
      <c r="M79" s="5">
        <f>SUMIFS('g-expenses-sl'!$G:$G,'g-expenses-sl'!$A:$A,M$1,'g-expenses-sl'!$D:$D,"administration",'g-expenses-sl'!$E:$E,$C79)</f>
        <v/>
      </c>
      <c r="N79" s="5">
        <f>SUMIFS('g-expenses-sl'!$G:$G,'g-expenses-sl'!$A:$A,N$1,'g-expenses-sl'!$D:$D,"administration",'g-expenses-sl'!$E:$E,$C79)</f>
        <v/>
      </c>
      <c r="O79" s="5">
        <f>SUMIFS('g-expenses-sl'!$G:$G,'g-expenses-sl'!$A:$A,O$1,'g-expenses-sl'!$D:$D,"administration",'g-expenses-sl'!$E:$E,$C79)</f>
        <v/>
      </c>
      <c r="P79" s="24">
        <f>SUM(D79:O79)</f>
        <v/>
      </c>
      <c r="Q79" s="25" t="inlineStr">
        <is>
          <t>-&gt;</t>
        </is>
      </c>
    </row>
    <row r="80" ht="12" customHeight="1">
      <c r="A80" s="17" t="inlineStr">
        <is>
          <t xml:space="preserve">        Technology</t>
        </is>
      </c>
      <c r="B80" s="18" t="n"/>
      <c r="C80" s="19" t="inlineStr">
        <is>
          <t>Technology</t>
        </is>
      </c>
      <c r="D80" s="20">
        <f>SUM(D81:D95)</f>
        <v/>
      </c>
      <c r="E80" s="20">
        <f>SUM(E81:E95)</f>
        <v/>
      </c>
      <c r="F80" s="20">
        <f>SUM(F81:F95)</f>
        <v/>
      </c>
      <c r="G80" s="20">
        <f>SUM(G81:G95)</f>
        <v/>
      </c>
      <c r="H80" s="20">
        <f>SUM(H81:H95)</f>
        <v/>
      </c>
      <c r="I80" s="20">
        <f>SUM(I81:I95)</f>
        <v/>
      </c>
      <c r="J80" s="20">
        <f>SUM(J81:J95)</f>
        <v/>
      </c>
      <c r="K80" s="20">
        <f>SUM(K81:K95)</f>
        <v/>
      </c>
      <c r="L80" s="20">
        <f>SUM(L81:L95)</f>
        <v/>
      </c>
      <c r="M80" s="20">
        <f>SUM(M81:M95)</f>
        <v/>
      </c>
      <c r="N80" s="20">
        <f>SUM(N81:N95)</f>
        <v/>
      </c>
      <c r="O80" s="20">
        <f>SUM(O81:O95)</f>
        <v/>
      </c>
      <c r="P80" s="21">
        <f>SUM(D80:O80)</f>
        <v/>
      </c>
      <c r="Q80" s="22" t="inlineStr">
        <is>
          <t>-&gt;</t>
        </is>
      </c>
    </row>
    <row r="81" hidden="1" outlineLevel="1" ht="12" customHeight="1">
      <c r="A81" s="23" t="inlineStr">
        <is>
          <t xml:space="preserve">            ADOBE</t>
        </is>
      </c>
      <c r="B81" s="4" t="n"/>
      <c r="C81" s="4" t="inlineStr">
        <is>
          <t>ADOBE</t>
        </is>
      </c>
      <c r="D81" s="5">
        <f>SUMIFS('g-expenses-sl'!$G:$G,'g-expenses-sl'!$A:$A,D$1,'g-expenses-sl'!$D:$D,"technology",'g-expenses-sl'!$E:$E,$C81)</f>
        <v/>
      </c>
      <c r="E81" s="5">
        <f>SUMIFS('g-expenses-sl'!$G:$G,'g-expenses-sl'!$A:$A,E$1,'g-expenses-sl'!$D:$D,"technology",'g-expenses-sl'!$E:$E,$C81)</f>
        <v/>
      </c>
      <c r="F81" s="5">
        <f>SUMIFS('g-expenses-sl'!$G:$G,'g-expenses-sl'!$A:$A,F$1,'g-expenses-sl'!$D:$D,"technology",'g-expenses-sl'!$E:$E,$C81)</f>
        <v/>
      </c>
      <c r="G81" s="5">
        <f>SUMIFS('g-expenses-sl'!$G:$G,'g-expenses-sl'!$A:$A,G$1,'g-expenses-sl'!$D:$D,"technology",'g-expenses-sl'!$E:$E,$C81)</f>
        <v/>
      </c>
      <c r="H81" s="5">
        <f>SUMIFS('g-expenses-sl'!$G:$G,'g-expenses-sl'!$A:$A,H$1,'g-expenses-sl'!$D:$D,"technology",'g-expenses-sl'!$E:$E,$C81)</f>
        <v/>
      </c>
      <c r="I81" s="5">
        <f>SUMIFS('g-expenses-sl'!$G:$G,'g-expenses-sl'!$A:$A,I$1,'g-expenses-sl'!$D:$D,"technology",'g-expenses-sl'!$E:$E,$C81)</f>
        <v/>
      </c>
      <c r="J81" s="5">
        <f>SUMIFS('g-expenses-sl'!$G:$G,'g-expenses-sl'!$A:$A,J$1,'g-expenses-sl'!$D:$D,"technology",'g-expenses-sl'!$E:$E,$C81)</f>
        <v/>
      </c>
      <c r="K81" s="5">
        <f>SUMIFS('g-expenses-sl'!$G:$G,'g-expenses-sl'!$A:$A,K$1,'g-expenses-sl'!$D:$D,"technology",'g-expenses-sl'!$E:$E,$C81)</f>
        <v/>
      </c>
      <c r="L81" s="5">
        <f>SUMIFS('g-expenses-sl'!$G:$G,'g-expenses-sl'!$A:$A,L$1,'g-expenses-sl'!$D:$D,"technology",'g-expenses-sl'!$E:$E,$C81)</f>
        <v/>
      </c>
      <c r="M81" s="5">
        <f>SUMIFS('g-expenses-sl'!$G:$G,'g-expenses-sl'!$A:$A,M$1,'g-expenses-sl'!$D:$D,"technology",'g-expenses-sl'!$E:$E,$C81)</f>
        <v/>
      </c>
      <c r="N81" s="5">
        <f>SUMIFS('g-expenses-sl'!$G:$G,'g-expenses-sl'!$A:$A,N$1,'g-expenses-sl'!$D:$D,"technology",'g-expenses-sl'!$E:$E,$C81)</f>
        <v/>
      </c>
      <c r="O81" s="5">
        <f>SUMIFS('g-expenses-sl'!$G:$G,'g-expenses-sl'!$A:$A,O$1,'g-expenses-sl'!$D:$D,"technology",'g-expenses-sl'!$E:$E,$C81)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ht="12" customHeight="1">
      <c r="A82" s="23" t="inlineStr">
        <is>
          <t xml:space="preserve">            CANVA</t>
        </is>
      </c>
      <c r="B82" s="4" t="n"/>
      <c r="C82" s="4" t="inlineStr">
        <is>
          <t>CANVA</t>
        </is>
      </c>
      <c r="D82" s="5">
        <f>SUMIFS('g-expenses-sl'!$G:$G,'g-expenses-sl'!$A:$A,D$1,'g-expenses-sl'!$D:$D,"technology",'g-expenses-sl'!$E:$E,$C82)</f>
        <v/>
      </c>
      <c r="E82" s="5">
        <f>SUMIFS('g-expenses-sl'!$G:$G,'g-expenses-sl'!$A:$A,E$1,'g-expenses-sl'!$D:$D,"technology",'g-expenses-sl'!$E:$E,$C82)</f>
        <v/>
      </c>
      <c r="F82" s="5">
        <f>SUMIFS('g-expenses-sl'!$G:$G,'g-expenses-sl'!$A:$A,F$1,'g-expenses-sl'!$D:$D,"technology",'g-expenses-sl'!$E:$E,$C82)</f>
        <v/>
      </c>
      <c r="G82" s="5">
        <f>SUMIFS('g-expenses-sl'!$G:$G,'g-expenses-sl'!$A:$A,G$1,'g-expenses-sl'!$D:$D,"technology",'g-expenses-sl'!$E:$E,$C82)</f>
        <v/>
      </c>
      <c r="H82" s="5">
        <f>SUMIFS('g-expenses-sl'!$G:$G,'g-expenses-sl'!$A:$A,H$1,'g-expenses-sl'!$D:$D,"technology",'g-expenses-sl'!$E:$E,$C82)</f>
        <v/>
      </c>
      <c r="I82" s="5">
        <f>SUMIFS('g-expenses-sl'!$G:$G,'g-expenses-sl'!$A:$A,I$1,'g-expenses-sl'!$D:$D,"technology",'g-expenses-sl'!$E:$E,$C82)</f>
        <v/>
      </c>
      <c r="J82" s="5">
        <f>SUMIFS('g-expenses-sl'!$G:$G,'g-expenses-sl'!$A:$A,J$1,'g-expenses-sl'!$D:$D,"technology",'g-expenses-sl'!$E:$E,$C82)</f>
        <v/>
      </c>
      <c r="K82" s="5">
        <f>SUMIFS('g-expenses-sl'!$G:$G,'g-expenses-sl'!$A:$A,K$1,'g-expenses-sl'!$D:$D,"technology",'g-expenses-sl'!$E:$E,$C82)</f>
        <v/>
      </c>
      <c r="L82" s="5">
        <f>SUMIFS('g-expenses-sl'!$G:$G,'g-expenses-sl'!$A:$A,L$1,'g-expenses-sl'!$D:$D,"technology",'g-expenses-sl'!$E:$E,$C82)</f>
        <v/>
      </c>
      <c r="M82" s="5">
        <f>SUMIFS('g-expenses-sl'!$G:$G,'g-expenses-sl'!$A:$A,M$1,'g-expenses-sl'!$D:$D,"technology",'g-expenses-sl'!$E:$E,$C82)</f>
        <v/>
      </c>
      <c r="N82" s="5">
        <f>SUMIFS('g-expenses-sl'!$G:$G,'g-expenses-sl'!$A:$A,N$1,'g-expenses-sl'!$D:$D,"technology",'g-expenses-sl'!$E:$E,$C82)</f>
        <v/>
      </c>
      <c r="O82" s="5">
        <f>SUMIFS('g-expenses-sl'!$G:$G,'g-expenses-sl'!$A:$A,O$1,'g-expenses-sl'!$D:$D,"technology",'g-expenses-sl'!$E:$E,$C82)</f>
        <v/>
      </c>
      <c r="P82" s="24">
        <f>SUM(D82:O82)</f>
        <v/>
      </c>
      <c r="Q82" s="25" t="inlineStr">
        <is>
          <t>-&gt;</t>
        </is>
      </c>
    </row>
    <row r="83" hidden="1" outlineLevel="1" ht="12" customHeight="1">
      <c r="A83" s="23" t="inlineStr">
        <is>
          <t xml:space="preserve">            GODADDY</t>
        </is>
      </c>
      <c r="B83" s="4" t="n"/>
      <c r="C83" s="4" t="inlineStr">
        <is>
          <t>GODADDY</t>
        </is>
      </c>
      <c r="D83" s="5">
        <f>SUMIFS('g-expenses-sl'!$G:$G,'g-expenses-sl'!$A:$A,D$1,'g-expenses-sl'!$D:$D,"technology",'g-expenses-sl'!$E:$E,$C83)</f>
        <v/>
      </c>
      <c r="E83" s="5">
        <f>SUMIFS('g-expenses-sl'!$G:$G,'g-expenses-sl'!$A:$A,E$1,'g-expenses-sl'!$D:$D,"technology",'g-expenses-sl'!$E:$E,$C83)</f>
        <v/>
      </c>
      <c r="F83" s="5">
        <f>SUMIFS('g-expenses-sl'!$G:$G,'g-expenses-sl'!$A:$A,F$1,'g-expenses-sl'!$D:$D,"technology",'g-expenses-sl'!$E:$E,$C83)</f>
        <v/>
      </c>
      <c r="G83" s="5">
        <f>SUMIFS('g-expenses-sl'!$G:$G,'g-expenses-sl'!$A:$A,G$1,'g-expenses-sl'!$D:$D,"technology",'g-expenses-sl'!$E:$E,$C83)</f>
        <v/>
      </c>
      <c r="H83" s="5">
        <f>SUMIFS('g-expenses-sl'!$G:$G,'g-expenses-sl'!$A:$A,H$1,'g-expenses-sl'!$D:$D,"technology",'g-expenses-sl'!$E:$E,$C83)</f>
        <v/>
      </c>
      <c r="I83" s="5">
        <f>SUMIFS('g-expenses-sl'!$G:$G,'g-expenses-sl'!$A:$A,I$1,'g-expenses-sl'!$D:$D,"technology",'g-expenses-sl'!$E:$E,$C83)</f>
        <v/>
      </c>
      <c r="J83" s="5">
        <f>SUMIFS('g-expenses-sl'!$G:$G,'g-expenses-sl'!$A:$A,J$1,'g-expenses-sl'!$D:$D,"technology",'g-expenses-sl'!$E:$E,$C83)</f>
        <v/>
      </c>
      <c r="K83" s="5">
        <f>SUMIFS('g-expenses-sl'!$G:$G,'g-expenses-sl'!$A:$A,K$1,'g-expenses-sl'!$D:$D,"technology",'g-expenses-sl'!$E:$E,$C83)</f>
        <v/>
      </c>
      <c r="L83" s="5">
        <f>SUMIFS('g-expenses-sl'!$G:$G,'g-expenses-sl'!$A:$A,L$1,'g-expenses-sl'!$D:$D,"technology",'g-expenses-sl'!$E:$E,$C83)</f>
        <v/>
      </c>
      <c r="M83" s="5">
        <f>SUMIFS('g-expenses-sl'!$G:$G,'g-expenses-sl'!$A:$A,M$1,'g-expenses-sl'!$D:$D,"technology",'g-expenses-sl'!$E:$E,$C83)</f>
        <v/>
      </c>
      <c r="N83" s="5">
        <f>SUMIFS('g-expenses-sl'!$G:$G,'g-expenses-sl'!$A:$A,N$1,'g-expenses-sl'!$D:$D,"technology",'g-expenses-sl'!$E:$E,$C83)</f>
        <v/>
      </c>
      <c r="O83" s="5">
        <f>SUMIFS('g-expenses-sl'!$G:$G,'g-expenses-sl'!$A:$A,O$1,'g-expenses-sl'!$D:$D,"technology",'g-expenses-sl'!$E:$E,$C83)</f>
        <v/>
      </c>
      <c r="P83" s="24">
        <f>SUM(D83:O83)</f>
        <v/>
      </c>
      <c r="Q83" s="25" t="inlineStr">
        <is>
          <t>-&gt;</t>
        </is>
      </c>
    </row>
    <row r="84" hidden="1" outlineLevel="1" ht="12" customHeight="1">
      <c r="A84" s="23" t="inlineStr">
        <is>
          <t xml:space="preserve">            GOOGLEWORKSPACE</t>
        </is>
      </c>
      <c r="B84" s="4" t="n"/>
      <c r="C84" s="4" t="inlineStr">
        <is>
          <t>GOOGLEWORKSPACE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GORGIAS</t>
        </is>
      </c>
      <c r="B85" s="4" t="n"/>
      <c r="C85" s="4" t="inlineStr">
        <is>
          <t>GORGIAS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HETZNER</t>
        </is>
      </c>
      <c r="B86" s="4" t="n"/>
      <c r="C86" s="4" t="inlineStr">
        <is>
          <t>HETZNER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KONVOAI</t>
        </is>
      </c>
      <c r="B87" s="4" t="n"/>
      <c r="C87" s="4" t="inlineStr">
        <is>
          <t>KONVOAI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MASMOVIL</t>
        </is>
      </c>
      <c r="B88" s="4" t="n"/>
      <c r="C88" s="4" t="inlineStr">
        <is>
          <t>MASMOVIL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MICROSOFT</t>
        </is>
      </c>
      <c r="B89" s="4" t="n"/>
      <c r="C89" s="4" t="inlineStr">
        <is>
          <t>MICROSOFT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OPENAI</t>
        </is>
      </c>
      <c r="B90" s="4" t="n"/>
      <c r="C90" s="4" t="inlineStr">
        <is>
          <t>OPENAI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PRODUCTHERO</t>
        </is>
      </c>
      <c r="B91" s="4" t="n"/>
      <c r="C91" s="4" t="inlineStr">
        <is>
          <t>PRODUCTHERO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RAILWAY</t>
        </is>
      </c>
      <c r="B92" s="4" t="n"/>
      <c r="C92" s="4" t="inlineStr">
        <is>
          <t>RAILWAY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REVER</t>
        </is>
      </c>
      <c r="B93" s="4" t="n"/>
      <c r="C93" s="4" t="inlineStr">
        <is>
          <t>REVER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SHOPIFY</t>
        </is>
      </c>
      <c r="B94" s="4" t="n"/>
      <c r="C94" s="4" t="inlineStr">
        <is>
          <t>SHOPIFY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collapsed="1" ht="12" customHeight="1">
      <c r="A95" s="23" t="inlineStr">
        <is>
          <t xml:space="preserve">            YUMAAI</t>
        </is>
      </c>
      <c r="B95" s="4" t="n"/>
      <c r="C95" s="4" t="inlineStr">
        <is>
          <t>YUMAAI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t="12" customHeight="1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24">
        <f>SUM(D96:O96)</f>
        <v/>
      </c>
      <c r="Q96" s="5" t="n"/>
    </row>
    <row r="97" ht="12" customHeight="1">
      <c r="A97" s="32" t="inlineStr">
        <is>
          <t>PROFIT</t>
        </is>
      </c>
      <c r="B97" s="33" t="n"/>
      <c r="C97" s="33" t="n"/>
      <c r="D97" s="34">
        <f>D4-D32-D60</f>
        <v/>
      </c>
      <c r="E97" s="34">
        <f>E4-E32-E60</f>
        <v/>
      </c>
      <c r="F97" s="34">
        <f>F4-F32-F60</f>
        <v/>
      </c>
      <c r="G97" s="34">
        <f>G4-G32-G60</f>
        <v/>
      </c>
      <c r="H97" s="34">
        <f>H4-H32-H60</f>
        <v/>
      </c>
      <c r="I97" s="34">
        <f>I4-I32-I60</f>
        <v/>
      </c>
      <c r="J97" s="34">
        <f>J4-J32-J60</f>
        <v/>
      </c>
      <c r="K97" s="34">
        <f>K4-K32-K60</f>
        <v/>
      </c>
      <c r="L97" s="34">
        <f>L4-L32-L60</f>
        <v/>
      </c>
      <c r="M97" s="34">
        <f>M4-M32-M60</f>
        <v/>
      </c>
      <c r="N97" s="34">
        <f>N4-N32-N60</f>
        <v/>
      </c>
      <c r="O97" s="34">
        <f>O4-O32-O60</f>
        <v/>
      </c>
      <c r="P97" s="9">
        <f>SUM(D97:O97)</f>
        <v/>
      </c>
      <c r="Q97" s="35" t="n"/>
    </row>
    <row r="98" ht="12" customHeight="1">
      <c r="A98" s="36" t="inlineStr">
        <is>
          <t xml:space="preserve">        % Profit / turnover</t>
        </is>
      </c>
      <c r="B98" s="37" t="n"/>
      <c r="C98" s="37" t="n"/>
      <c r="D98" s="38">
        <f>IFERROR(D97/D4,0)</f>
        <v/>
      </c>
      <c r="E98" s="38">
        <f>IFERROR(E97/E4,0)</f>
        <v/>
      </c>
      <c r="F98" s="38">
        <f>IFERROR(F97/F4,0)</f>
        <v/>
      </c>
      <c r="G98" s="38">
        <f>IFERROR(G97/G4,0)</f>
        <v/>
      </c>
      <c r="H98" s="38">
        <f>IFERROR(H97/H4,0)</f>
        <v/>
      </c>
      <c r="I98" s="38">
        <f>IFERROR(I97/I4,0)</f>
        <v/>
      </c>
      <c r="J98" s="38">
        <f>IFERROR(J97/J4,0)</f>
        <v/>
      </c>
      <c r="K98" s="38">
        <f>IFERROR(K97/K4,0)</f>
        <v/>
      </c>
      <c r="L98" s="38">
        <f>IFERROR(L97/L4,0)</f>
        <v/>
      </c>
      <c r="M98" s="38">
        <f>IFERROR(M97/M4,0)</f>
        <v/>
      </c>
      <c r="N98" s="38">
        <f>IFERROR(N97/N4,0)</f>
        <v/>
      </c>
      <c r="O98" s="38">
        <f>IFERROR(O97/O4,0)</f>
        <v/>
      </c>
      <c r="P98" s="39">
        <f>SUM(D98:O98)</f>
        <v/>
      </c>
      <c r="Q98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2026-03-23T02:04:05Z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-2176.46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-522.54</v>
      </c>
      <c r="F4" t="inlineStr">
        <is>
          <t>EUR</t>
        </is>
      </c>
      <c r="G4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17898.08</v>
      </c>
      <c r="H5" t="inlineStr">
        <is>
          <t>EUR</t>
        </is>
      </c>
      <c r="I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opex</t>
        </is>
      </c>
      <c r="D6" t="inlineStr">
        <is>
          <t>technology</t>
        </is>
      </c>
      <c r="E6" t="inlineStr">
        <is>
          <t>CANVA</t>
        </is>
      </c>
      <c r="F6" t="inlineStr"/>
      <c r="G6" t="n">
        <v>9.91</v>
      </c>
      <c r="H6" t="inlineStr">
        <is>
          <t>EUR</t>
        </is>
      </c>
      <c r="I6" t="inlineStr">
        <is>
          <t>documents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opex</t>
        </is>
      </c>
      <c r="D7" t="inlineStr">
        <is>
          <t>administration</t>
        </is>
      </c>
      <c r="E7" t="inlineStr">
        <is>
          <t>CLARIS</t>
        </is>
      </c>
      <c r="F7" t="inlineStr"/>
      <c r="G7" t="n">
        <v>808.08</v>
      </c>
      <c r="H7" t="inlineStr">
        <is>
          <t>EUR</t>
        </is>
      </c>
      <c r="I7" t="inlineStr">
        <is>
          <t>documents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logistics</t>
        </is>
      </c>
      <c r="E8" t="inlineStr">
        <is>
          <t>CORREOS</t>
        </is>
      </c>
      <c r="F8" t="inlineStr"/>
      <c r="G8" t="n">
        <v>553.76</v>
      </c>
      <c r="H8" t="inlineStr">
        <is>
          <t>EUR</t>
        </is>
      </c>
      <c r="I8" t="inlineStr">
        <is>
          <t>documents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DCT</t>
        </is>
      </c>
      <c r="F9" t="inlineStr"/>
      <c r="G9" t="n">
        <v>9730.110000000001</v>
      </c>
      <c r="H9" t="inlineStr">
        <is>
          <t>EUR</t>
        </is>
      </c>
      <c r="I9" t="inlineStr">
        <is>
          <t>documents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logistics</t>
        </is>
      </c>
      <c r="E10" t="inlineStr">
        <is>
          <t>GLS</t>
        </is>
      </c>
      <c r="F10" t="inlineStr"/>
      <c r="G10" t="n">
        <v>12319.26</v>
      </c>
      <c r="H10" t="inlineStr">
        <is>
          <t>EUR</t>
        </is>
      </c>
      <c r="I10" t="inlineStr">
        <is>
          <t>documents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GODADDY</t>
        </is>
      </c>
      <c r="F11" t="inlineStr"/>
      <c r="G11" t="n">
        <v>34.23</v>
      </c>
      <c r="H11" t="inlineStr">
        <is>
          <t>EUR</t>
        </is>
      </c>
      <c r="I11" t="inlineStr">
        <is>
          <t>documents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marketing</t>
        </is>
      </c>
      <c r="E12" t="inlineStr">
        <is>
          <t>GOOGLEADS</t>
        </is>
      </c>
      <c r="F12" t="inlineStr">
        <is>
          <t>eu</t>
        </is>
      </c>
      <c r="G12" t="n">
        <v>24746.34</v>
      </c>
      <c r="H12" t="inlineStr">
        <is>
          <t>EUR</t>
        </is>
      </c>
      <c r="I12" t="inlineStr">
        <is>
          <t>documents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marketing</t>
        </is>
      </c>
      <c r="E13" t="inlineStr">
        <is>
          <t>GOOGLEADS</t>
        </is>
      </c>
      <c r="F13" t="inlineStr">
        <is>
          <t>uk</t>
        </is>
      </c>
      <c r="G13" t="n">
        <v>2298.67</v>
      </c>
      <c r="H13" t="inlineStr">
        <is>
          <t>EUR</t>
        </is>
      </c>
      <c r="I13" t="inlineStr">
        <is>
          <t>documents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opex</t>
        </is>
      </c>
      <c r="D14" t="inlineStr">
        <is>
          <t>marketing</t>
        </is>
      </c>
      <c r="E14" t="inlineStr">
        <is>
          <t>GOOGLEADS</t>
        </is>
      </c>
      <c r="F14" t="inlineStr">
        <is>
          <t>us</t>
        </is>
      </c>
      <c r="G14" t="n">
        <v>2119.05</v>
      </c>
      <c r="H14" t="inlineStr">
        <is>
          <t>EUR</t>
        </is>
      </c>
      <c r="I14" t="inlineStr">
        <is>
          <t>documents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opex</t>
        </is>
      </c>
      <c r="D15" t="inlineStr">
        <is>
          <t>technology</t>
        </is>
      </c>
      <c r="E15" t="inlineStr">
        <is>
          <t>GOOGLEWORKSPACE</t>
        </is>
      </c>
      <c r="F15" t="inlineStr"/>
      <c r="G15" t="n">
        <v>194.4</v>
      </c>
      <c r="H15" t="inlineStr">
        <is>
          <t>EUR</t>
        </is>
      </c>
      <c r="I15" t="inlineStr">
        <is>
          <t>documents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opex</t>
        </is>
      </c>
      <c r="D16" t="inlineStr">
        <is>
          <t>technology</t>
        </is>
      </c>
      <c r="E16" t="inlineStr">
        <is>
          <t>GORGIAS</t>
        </is>
      </c>
      <c r="F16" t="inlineStr"/>
      <c r="G16" t="n">
        <v>201.2</v>
      </c>
      <c r="H16" t="inlineStr">
        <is>
          <t>USD</t>
        </is>
      </c>
      <c r="I16" t="inlineStr">
        <is>
          <t>documents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HETZNER</t>
        </is>
      </c>
      <c r="F17" t="inlineStr"/>
      <c r="G17" t="n">
        <v>10.9</v>
      </c>
      <c r="H17" t="inlineStr">
        <is>
          <t>EUR</t>
        </is>
      </c>
      <c r="I17" t="inlineStr">
        <is>
          <t>documents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KONVOAI</t>
        </is>
      </c>
      <c r="F18" t="inlineStr"/>
      <c r="G18" t="n">
        <v>453.89</v>
      </c>
      <c r="H18" t="inlineStr">
        <is>
          <t>EUR</t>
        </is>
      </c>
      <c r="I18" t="inlineStr">
        <is>
          <t>documents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MASMOVIL</t>
        </is>
      </c>
      <c r="F19" t="inlineStr"/>
      <c r="G19" t="n">
        <v>5</v>
      </c>
      <c r="H19" t="inlineStr">
        <is>
          <t>EUR</t>
        </is>
      </c>
      <c r="I19" t="inlineStr">
        <is>
          <t>documents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METAADS</t>
        </is>
      </c>
      <c r="F20" t="inlineStr">
        <is>
          <t>eu</t>
        </is>
      </c>
      <c r="G20" t="n">
        <v>20319.32</v>
      </c>
      <c r="H20" t="inlineStr">
        <is>
          <t>EUR</t>
        </is>
      </c>
      <c r="I20" t="inlineStr">
        <is>
          <t>documents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METAADS</t>
        </is>
      </c>
      <c r="F21" t="inlineStr">
        <is>
          <t>uk</t>
        </is>
      </c>
      <c r="G21" t="n">
        <v>3385.46</v>
      </c>
      <c r="H21" t="inlineStr">
        <is>
          <t>EUR</t>
        </is>
      </c>
      <c r="I21" t="inlineStr">
        <is>
          <t>documents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METAADS</t>
        </is>
      </c>
      <c r="F22" t="inlineStr">
        <is>
          <t>us</t>
        </is>
      </c>
      <c r="G22" t="n">
        <v>1779.68</v>
      </c>
      <c r="H22" t="inlineStr">
        <is>
          <t>EUR</t>
        </is>
      </c>
      <c r="I22" t="inlineStr">
        <is>
          <t>documents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MICROSOFT</t>
        </is>
      </c>
      <c r="F23" t="inlineStr"/>
      <c r="G23" t="n">
        <v>30.87</v>
      </c>
      <c r="H23" t="inlineStr">
        <is>
          <t>EUR</t>
        </is>
      </c>
      <c r="I23" t="inlineStr">
        <is>
          <t>documents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OPENAI</t>
        </is>
      </c>
      <c r="F24" t="inlineStr">
        <is>
          <t>api_usage</t>
        </is>
      </c>
      <c r="G24" t="n">
        <v>10</v>
      </c>
      <c r="H24" t="inlineStr">
        <is>
          <t>USD</t>
        </is>
      </c>
      <c r="I24" t="inlineStr">
        <is>
          <t>documents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OPENAI</t>
        </is>
      </c>
      <c r="F25" t="inlineStr">
        <is>
          <t>chatgpt_plus</t>
        </is>
      </c>
      <c r="G25" t="n">
        <v>19.01</v>
      </c>
      <c r="H25" t="inlineStr">
        <is>
          <t>EUR</t>
        </is>
      </c>
      <c r="I25" t="inlineStr">
        <is>
          <t>documents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cogs</t>
        </is>
      </c>
      <c r="D26" t="inlineStr">
        <is>
          <t>manufacturing</t>
        </is>
      </c>
      <c r="E26" t="inlineStr">
        <is>
          <t>PRESSING</t>
        </is>
      </c>
      <c r="F26" t="inlineStr"/>
      <c r="G26" t="n">
        <v>28979.31</v>
      </c>
      <c r="H26" t="inlineStr">
        <is>
          <t>EUR</t>
        </is>
      </c>
      <c r="I26" t="inlineStr">
        <is>
          <t>documents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PRODUCTHERO</t>
        </is>
      </c>
      <c r="F27" t="inlineStr"/>
      <c r="G27" t="n">
        <v>134</v>
      </c>
      <c r="H27" t="inlineStr">
        <is>
          <t>EUR</t>
        </is>
      </c>
      <c r="I27" t="inlineStr">
        <is>
          <t>documents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REVER</t>
        </is>
      </c>
      <c r="F28" t="inlineStr"/>
      <c r="G28" t="n">
        <v>513.8</v>
      </c>
      <c r="H28" t="inlineStr">
        <is>
          <t>EUR</t>
        </is>
      </c>
      <c r="I28" t="inlineStr">
        <is>
          <t>documents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SHOPIFY</t>
        </is>
      </c>
      <c r="F29" t="inlineStr"/>
      <c r="G29" t="n">
        <v>2674.4</v>
      </c>
      <c r="H29" t="inlineStr">
        <is>
          <t>USD</t>
        </is>
      </c>
      <c r="I29" t="inlineStr">
        <is>
          <t>documents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cogs</t>
        </is>
      </c>
      <c r="D30" t="inlineStr">
        <is>
          <t>logistics</t>
        </is>
      </c>
      <c r="E30" t="inlineStr">
        <is>
          <t>SPRINGGDS</t>
        </is>
      </c>
      <c r="F30" t="inlineStr"/>
      <c r="G30" t="n">
        <v>3.3</v>
      </c>
      <c r="H30" t="inlineStr">
        <is>
          <t>EUR</t>
        </is>
      </c>
      <c r="I30" t="inlineStr">
        <is>
          <t>documents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administration</t>
        </is>
      </c>
      <c r="E31" t="inlineStr">
        <is>
          <t>TORRAS</t>
        </is>
      </c>
      <c r="F31" t="inlineStr"/>
      <c r="G31" t="n">
        <v>15</v>
      </c>
      <c r="H31" t="inlineStr">
        <is>
          <t>EUR</t>
        </is>
      </c>
      <c r="I31" t="inlineStr">
        <is>
          <t>documents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cogs</t>
        </is>
      </c>
      <c r="D32" t="inlineStr">
        <is>
          <t>logistics</t>
        </is>
      </c>
      <c r="E32" t="inlineStr">
        <is>
          <t>UPS</t>
        </is>
      </c>
      <c r="F32" t="inlineStr"/>
      <c r="G32" t="n">
        <v>4305.55</v>
      </c>
      <c r="H32" t="inlineStr">
        <is>
          <t>EUR</t>
        </is>
      </c>
      <c r="I32" t="inlineStr">
        <is>
          <t>documents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YUMAAI</t>
        </is>
      </c>
      <c r="F33" t="inlineStr"/>
      <c r="G33" t="n">
        <v>507.2</v>
      </c>
      <c r="H33" t="inlineStr">
        <is>
          <t>EUR</t>
        </is>
      </c>
      <c r="I33" t="inlineStr">
        <is>
          <t>documents</t>
        </is>
      </c>
    </row>
    <row r="34" ht="12" customHeight="1">
      <c r="A34" t="inlineStr">
        <is>
          <t>202602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ADOBE</t>
        </is>
      </c>
      <c r="F34" t="inlineStr"/>
      <c r="G34" t="n">
        <v>33.49</v>
      </c>
      <c r="H34" t="inlineStr">
        <is>
          <t>EUR</t>
        </is>
      </c>
      <c r="I34" t="inlineStr">
        <is>
          <t>documents</t>
        </is>
      </c>
    </row>
    <row r="35" ht="12" customHeight="1">
      <c r="A35" t="inlineStr">
        <is>
          <t>202602</t>
        </is>
      </c>
      <c r="B35" t="inlineStr">
        <is>
          <t>SL</t>
        </is>
      </c>
      <c r="C35" t="inlineStr">
        <is>
          <t>cogs</t>
        </is>
      </c>
      <c r="D35" t="inlineStr">
        <is>
          <t>manufacturing</t>
        </is>
      </c>
      <c r="E35" t="inlineStr">
        <is>
          <t>APPHOTOCAN</t>
        </is>
      </c>
      <c r="F35" t="inlineStr"/>
      <c r="G35" t="n">
        <v>59.84</v>
      </c>
      <c r="H35" t="inlineStr">
        <is>
          <t>EUR</t>
        </is>
      </c>
      <c r="I35" t="inlineStr">
        <is>
          <t>documents</t>
        </is>
      </c>
    </row>
    <row r="36" ht="12" customHeight="1">
      <c r="A36" t="inlineStr">
        <is>
          <t>202602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APPHOTOES</t>
        </is>
      </c>
      <c r="F36" t="inlineStr"/>
      <c r="G36" t="n">
        <v>22987.13</v>
      </c>
      <c r="H36" t="inlineStr">
        <is>
          <t>EUR</t>
        </is>
      </c>
      <c r="I36" t="inlineStr">
        <is>
          <t>documents</t>
        </is>
      </c>
    </row>
    <row r="37" ht="12" customHeight="1">
      <c r="A37" t="inlineStr">
        <is>
          <t>202602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CANVA</t>
        </is>
      </c>
      <c r="F37" t="inlineStr"/>
      <c r="G37" t="n">
        <v>9.91</v>
      </c>
      <c r="H37" t="inlineStr">
        <is>
          <t>EUR</t>
        </is>
      </c>
      <c r="I37" t="inlineStr">
        <is>
          <t>documents</t>
        </is>
      </c>
    </row>
    <row r="38" ht="12" customHeight="1">
      <c r="A38" t="inlineStr">
        <is>
          <t>202602</t>
        </is>
      </c>
      <c r="B38" t="inlineStr">
        <is>
          <t>SL</t>
        </is>
      </c>
      <c r="C38" t="inlineStr">
        <is>
          <t>opex</t>
        </is>
      </c>
      <c r="D38" t="inlineStr">
        <is>
          <t>administration</t>
        </is>
      </c>
      <c r="E38" t="inlineStr">
        <is>
          <t>CLARIS</t>
        </is>
      </c>
      <c r="F38" t="inlineStr"/>
      <c r="G38" t="n">
        <v>808.08</v>
      </c>
      <c r="H38" t="inlineStr">
        <is>
          <t>EUR</t>
        </is>
      </c>
      <c r="I38" t="inlineStr">
        <is>
          <t>documents</t>
        </is>
      </c>
    </row>
    <row r="39" ht="12" customHeight="1">
      <c r="A39" t="inlineStr">
        <is>
          <t>202602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CORREOS</t>
        </is>
      </c>
      <c r="F39" t="inlineStr"/>
      <c r="G39" t="n">
        <v>96.77</v>
      </c>
      <c r="H39" t="inlineStr">
        <is>
          <t>EUR</t>
        </is>
      </c>
      <c r="I39" t="inlineStr">
        <is>
          <t>documents</t>
        </is>
      </c>
    </row>
    <row r="40" ht="12" customHeight="1">
      <c r="A40" t="inlineStr">
        <is>
          <t>202602</t>
        </is>
      </c>
      <c r="B40" t="inlineStr">
        <is>
          <t>SL</t>
        </is>
      </c>
      <c r="C40" t="inlineStr">
        <is>
          <t>cogs</t>
        </is>
      </c>
      <c r="D40" t="inlineStr">
        <is>
          <t>logistics</t>
        </is>
      </c>
      <c r="E40" t="inlineStr">
        <is>
          <t>CORREOSCAN</t>
        </is>
      </c>
      <c r="F40" t="inlineStr"/>
      <c r="G40" t="n">
        <v>16.45</v>
      </c>
      <c r="H40" t="inlineStr">
        <is>
          <t>EUR</t>
        </is>
      </c>
      <c r="I40" t="inlineStr">
        <is>
          <t>documents</t>
        </is>
      </c>
    </row>
    <row r="41" ht="12" customHeight="1">
      <c r="A41" t="inlineStr">
        <is>
          <t>202602</t>
        </is>
      </c>
      <c r="B41" t="inlineStr">
        <is>
          <t>SL</t>
        </is>
      </c>
      <c r="C41" t="inlineStr">
        <is>
          <t>cogs</t>
        </is>
      </c>
      <c r="D41" t="inlineStr">
        <is>
          <t>manufacturing</t>
        </is>
      </c>
      <c r="E41" t="inlineStr">
        <is>
          <t>DCT</t>
        </is>
      </c>
      <c r="F41" t="inlineStr"/>
      <c r="G41" t="n">
        <v>6925.32</v>
      </c>
      <c r="H41" t="inlineStr">
        <is>
          <t>EUR</t>
        </is>
      </c>
      <c r="I41" t="inlineStr">
        <is>
          <t>documents</t>
        </is>
      </c>
    </row>
    <row r="42" ht="12" customHeight="1">
      <c r="A42" t="inlineStr">
        <is>
          <t>202602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GLS</t>
        </is>
      </c>
      <c r="F42" t="inlineStr"/>
      <c r="G42" t="n">
        <v>15947.02</v>
      </c>
      <c r="H42" t="inlineStr">
        <is>
          <t>EUR</t>
        </is>
      </c>
      <c r="I42" t="inlineStr">
        <is>
          <t>documents</t>
        </is>
      </c>
    </row>
    <row r="43" ht="12" customHeight="1">
      <c r="A43" t="inlineStr">
        <is>
          <t>202602</t>
        </is>
      </c>
      <c r="B43" t="inlineStr">
        <is>
          <t>SL</t>
        </is>
      </c>
      <c r="C43" t="inlineStr">
        <is>
          <t>opex</t>
        </is>
      </c>
      <c r="D43" t="inlineStr">
        <is>
          <t>marketing</t>
        </is>
      </c>
      <c r="E43" t="inlineStr">
        <is>
          <t>GOOGLEADS</t>
        </is>
      </c>
      <c r="F43" t="inlineStr">
        <is>
          <t>eu</t>
        </is>
      </c>
      <c r="G43" t="n">
        <v>19199.14</v>
      </c>
      <c r="H43" t="inlineStr">
        <is>
          <t>EUR</t>
        </is>
      </c>
      <c r="I43" t="inlineStr">
        <is>
          <t>documents</t>
        </is>
      </c>
    </row>
    <row r="44" ht="12" customHeight="1">
      <c r="A44" t="inlineStr">
        <is>
          <t>202602</t>
        </is>
      </c>
      <c r="B44" t="inlineStr">
        <is>
          <t>SL</t>
        </is>
      </c>
      <c r="C44" t="inlineStr">
        <is>
          <t>opex</t>
        </is>
      </c>
      <c r="D44" t="inlineStr">
        <is>
          <t>marketing</t>
        </is>
      </c>
      <c r="E44" t="inlineStr">
        <is>
          <t>GOOGLEADS</t>
        </is>
      </c>
      <c r="F44" t="inlineStr">
        <is>
          <t>uk</t>
        </is>
      </c>
      <c r="G44" t="n">
        <v>5006.17</v>
      </c>
      <c r="H44" t="inlineStr">
        <is>
          <t>EUR</t>
        </is>
      </c>
      <c r="I44" t="inlineStr">
        <is>
          <t>documents</t>
        </is>
      </c>
    </row>
    <row r="45" ht="12" customHeight="1">
      <c r="A45" t="inlineStr">
        <is>
          <t>202602</t>
        </is>
      </c>
      <c r="B45" t="inlineStr">
        <is>
          <t>SL</t>
        </is>
      </c>
      <c r="C45" t="inlineStr">
        <is>
          <t>opex</t>
        </is>
      </c>
      <c r="D45" t="inlineStr">
        <is>
          <t>marketing</t>
        </is>
      </c>
      <c r="E45" t="inlineStr">
        <is>
          <t>GOOGLEADS</t>
        </is>
      </c>
      <c r="F45" t="inlineStr">
        <is>
          <t>us</t>
        </is>
      </c>
      <c r="G45" t="n">
        <v>3345.8</v>
      </c>
      <c r="H45" t="inlineStr">
        <is>
          <t>EUR</t>
        </is>
      </c>
      <c r="I45" t="inlineStr">
        <is>
          <t>documents</t>
        </is>
      </c>
    </row>
    <row r="46" ht="12" customHeight="1">
      <c r="A46" t="inlineStr">
        <is>
          <t>202602</t>
        </is>
      </c>
      <c r="B46" t="inlineStr">
        <is>
          <t>SL</t>
        </is>
      </c>
      <c r="C46" t="inlineStr">
        <is>
          <t>opex</t>
        </is>
      </c>
      <c r="D46" t="inlineStr">
        <is>
          <t>technology</t>
        </is>
      </c>
      <c r="E46" t="inlineStr">
        <is>
          <t>GOOGLEWORKSPACE</t>
        </is>
      </c>
      <c r="F46" t="inlineStr"/>
      <c r="G46" t="n">
        <v>201.91</v>
      </c>
      <c r="H46" t="inlineStr">
        <is>
          <t>EUR</t>
        </is>
      </c>
      <c r="I46" t="inlineStr">
        <is>
          <t>documents</t>
        </is>
      </c>
    </row>
    <row r="47" ht="12" customHeight="1">
      <c r="A47" t="inlineStr">
        <is>
          <t>202602</t>
        </is>
      </c>
      <c r="B47" t="inlineStr">
        <is>
          <t>SL</t>
        </is>
      </c>
      <c r="C47" t="inlineStr">
        <is>
          <t>opex</t>
        </is>
      </c>
      <c r="D47" t="inlineStr">
        <is>
          <t>technology</t>
        </is>
      </c>
      <c r="E47" t="inlineStr">
        <is>
          <t>GORGIAS</t>
        </is>
      </c>
      <c r="F47" t="inlineStr"/>
      <c r="G47" t="n">
        <v>120</v>
      </c>
      <c r="H47" t="inlineStr">
        <is>
          <t>USD</t>
        </is>
      </c>
      <c r="I47" t="inlineStr">
        <is>
          <t>documents</t>
        </is>
      </c>
    </row>
    <row r="48" ht="12" customHeight="1">
      <c r="A48" t="inlineStr">
        <is>
          <t>202602</t>
        </is>
      </c>
      <c r="B48" t="inlineStr">
        <is>
          <t>SL</t>
        </is>
      </c>
      <c r="C48" t="inlineStr">
        <is>
          <t>opex</t>
        </is>
      </c>
      <c r="D48" t="inlineStr">
        <is>
          <t>administration</t>
        </is>
      </c>
      <c r="E48" t="inlineStr">
        <is>
          <t>HANNUN</t>
        </is>
      </c>
      <c r="F48" t="inlineStr">
        <is>
          <t>administration</t>
        </is>
      </c>
      <c r="G48" t="n">
        <v>43192.69</v>
      </c>
      <c r="H48" t="inlineStr">
        <is>
          <t>EUR</t>
        </is>
      </c>
      <c r="I48" t="inlineStr">
        <is>
          <t>documents</t>
        </is>
      </c>
    </row>
    <row r="49" ht="12" customHeight="1">
      <c r="A49" t="inlineStr">
        <is>
          <t>202602</t>
        </is>
      </c>
      <c r="B49" t="inlineStr">
        <is>
          <t>SL</t>
        </is>
      </c>
      <c r="C49" t="inlineStr">
        <is>
          <t>opex</t>
        </is>
      </c>
      <c r="D49" t="inlineStr">
        <is>
          <t>administration</t>
        </is>
      </c>
      <c r="E49" t="inlineStr">
        <is>
          <t>HANNUN</t>
        </is>
      </c>
      <c r="F49" t="inlineStr">
        <is>
          <t>office</t>
        </is>
      </c>
      <c r="G49" t="n">
        <v>350</v>
      </c>
      <c r="H49" t="inlineStr">
        <is>
          <t>EUR</t>
        </is>
      </c>
      <c r="I49" t="inlineStr">
        <is>
          <t>documents</t>
        </is>
      </c>
    </row>
    <row r="50" ht="12" customHeight="1">
      <c r="A50" t="inlineStr">
        <is>
          <t>202602</t>
        </is>
      </c>
      <c r="B50" t="inlineStr">
        <is>
          <t>SL</t>
        </is>
      </c>
      <c r="C50" t="inlineStr">
        <is>
          <t>opex</t>
        </is>
      </c>
      <c r="D50" t="inlineStr">
        <is>
          <t>administration</t>
        </is>
      </c>
      <c r="E50" t="inlineStr">
        <is>
          <t>HANNUN</t>
        </is>
      </c>
      <c r="F50" t="inlineStr">
        <is>
          <t>services</t>
        </is>
      </c>
      <c r="G50" t="n">
        <v>3009.84</v>
      </c>
      <c r="H50" t="inlineStr">
        <is>
          <t>EUR</t>
        </is>
      </c>
      <c r="I50" t="inlineStr">
        <is>
          <t>documents</t>
        </is>
      </c>
    </row>
    <row r="51" ht="12" customHeight="1">
      <c r="A51" t="inlineStr">
        <is>
          <t>202602</t>
        </is>
      </c>
      <c r="B51" t="inlineStr">
        <is>
          <t>SL</t>
        </is>
      </c>
      <c r="C51" t="inlineStr">
        <is>
          <t>opex</t>
        </is>
      </c>
      <c r="D51" t="inlineStr">
        <is>
          <t>technology</t>
        </is>
      </c>
      <c r="E51" t="inlineStr">
        <is>
          <t>HETZNER</t>
        </is>
      </c>
      <c r="F51" t="inlineStr"/>
      <c r="G51" t="n">
        <v>10.9</v>
      </c>
      <c r="H51" t="inlineStr">
        <is>
          <t>EUR</t>
        </is>
      </c>
      <c r="I51" t="inlineStr">
        <is>
          <t>documents</t>
        </is>
      </c>
    </row>
    <row r="52" ht="12" customHeight="1">
      <c r="A52" t="inlineStr">
        <is>
          <t>202602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KONVOAI</t>
        </is>
      </c>
      <c r="F52" t="inlineStr"/>
      <c r="G52" t="n">
        <v>475.96</v>
      </c>
      <c r="H52" t="inlineStr">
        <is>
          <t>EUR</t>
        </is>
      </c>
      <c r="I52" t="inlineStr">
        <is>
          <t>documents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MASMOVIL</t>
        </is>
      </c>
      <c r="F53" t="inlineStr"/>
      <c r="G53" t="n">
        <v>5</v>
      </c>
      <c r="H53" t="inlineStr">
        <is>
          <t>EUR</t>
        </is>
      </c>
      <c r="I53" t="inlineStr">
        <is>
          <t>documents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opex</t>
        </is>
      </c>
      <c r="D54" t="inlineStr">
        <is>
          <t>marketing</t>
        </is>
      </c>
      <c r="E54" t="inlineStr">
        <is>
          <t>METAADS</t>
        </is>
      </c>
      <c r="F54" t="inlineStr">
        <is>
          <t>eu</t>
        </is>
      </c>
      <c r="G54" t="n">
        <v>15883.55</v>
      </c>
      <c r="H54" t="inlineStr">
        <is>
          <t>EUR</t>
        </is>
      </c>
      <c r="I54" t="inlineStr">
        <is>
          <t>documents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marketing</t>
        </is>
      </c>
      <c r="E55" t="inlineStr">
        <is>
          <t>METAADS</t>
        </is>
      </c>
      <c r="F55" t="inlineStr">
        <is>
          <t>uk</t>
        </is>
      </c>
      <c r="G55" t="n">
        <v>2794.04</v>
      </c>
      <c r="H55" t="inlineStr">
        <is>
          <t>EUR</t>
        </is>
      </c>
      <c r="I55" t="inlineStr">
        <is>
          <t>documents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opex</t>
        </is>
      </c>
      <c r="D56" t="inlineStr">
        <is>
          <t>marketing</t>
        </is>
      </c>
      <c r="E56" t="inlineStr">
        <is>
          <t>METAADS</t>
        </is>
      </c>
      <c r="F56" t="inlineStr">
        <is>
          <t>us</t>
        </is>
      </c>
      <c r="G56" t="n">
        <v>1397.4</v>
      </c>
      <c r="H56" t="inlineStr">
        <is>
          <t>EUR</t>
        </is>
      </c>
      <c r="I56" t="inlineStr">
        <is>
          <t>documents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opex</t>
        </is>
      </c>
      <c r="D57" t="inlineStr">
        <is>
          <t>technology</t>
        </is>
      </c>
      <c r="E57" t="inlineStr">
        <is>
          <t>MICROSOFT</t>
        </is>
      </c>
      <c r="F57" t="inlineStr"/>
      <c r="G57" t="n">
        <v>30.87</v>
      </c>
      <c r="H57" t="inlineStr">
        <is>
          <t>EUR</t>
        </is>
      </c>
      <c r="I57" t="inlineStr">
        <is>
          <t>documents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OPENAI</t>
        </is>
      </c>
      <c r="F58" t="inlineStr">
        <is>
          <t>api_usage</t>
        </is>
      </c>
      <c r="G58" t="n">
        <v>60.72</v>
      </c>
      <c r="H58" t="inlineStr">
        <is>
          <t>USD</t>
        </is>
      </c>
      <c r="I58" t="inlineStr">
        <is>
          <t>documents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technology</t>
        </is>
      </c>
      <c r="E59" t="inlineStr">
        <is>
          <t>OPENAI</t>
        </is>
      </c>
      <c r="F59" t="inlineStr">
        <is>
          <t>receipt</t>
        </is>
      </c>
      <c r="G59" t="n">
        <v>10.13</v>
      </c>
      <c r="H59" t="inlineStr">
        <is>
          <t>USD</t>
        </is>
      </c>
      <c r="I59" t="inlineStr">
        <is>
          <t>documents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PRESSING</t>
        </is>
      </c>
      <c r="F60" t="inlineStr"/>
      <c r="G60" t="n">
        <v>33510.62</v>
      </c>
      <c r="H60" t="inlineStr">
        <is>
          <t>EUR</t>
        </is>
      </c>
      <c r="I60" t="inlineStr">
        <is>
          <t>documents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opex</t>
        </is>
      </c>
      <c r="D61" t="inlineStr">
        <is>
          <t>technology</t>
        </is>
      </c>
      <c r="E61" t="inlineStr">
        <is>
          <t>PRODUCTHERO</t>
        </is>
      </c>
      <c r="F61" t="inlineStr"/>
      <c r="G61" t="n">
        <v>134</v>
      </c>
      <c r="H61" t="inlineStr">
        <is>
          <t>EUR</t>
        </is>
      </c>
      <c r="I61" t="inlineStr">
        <is>
          <t>documents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REVER</t>
        </is>
      </c>
      <c r="F62" t="inlineStr"/>
      <c r="G62" t="n">
        <v>79</v>
      </c>
      <c r="H62" t="inlineStr">
        <is>
          <t>EUR</t>
        </is>
      </c>
      <c r="I62" t="inlineStr">
        <is>
          <t>documents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technology</t>
        </is>
      </c>
      <c r="E63" t="inlineStr">
        <is>
          <t>SHOPIFY</t>
        </is>
      </c>
      <c r="F63" t="inlineStr"/>
      <c r="G63" t="n">
        <v>2812.25</v>
      </c>
      <c r="H63" t="inlineStr">
        <is>
          <t>USD</t>
        </is>
      </c>
      <c r="I63" t="inlineStr">
        <is>
          <t>documents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administration</t>
        </is>
      </c>
      <c r="E64" t="inlineStr">
        <is>
          <t>TORRAS</t>
        </is>
      </c>
      <c r="F64" t="inlineStr"/>
      <c r="G64" t="n">
        <v>15</v>
      </c>
      <c r="H64" t="inlineStr">
        <is>
          <t>EUR</t>
        </is>
      </c>
      <c r="I64" t="inlineStr">
        <is>
          <t>documents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UPS</t>
        </is>
      </c>
      <c r="F65" t="inlineStr"/>
      <c r="G65" t="n">
        <v>1826.49</v>
      </c>
      <c r="H65" t="inlineStr">
        <is>
          <t>EUR</t>
        </is>
      </c>
      <c r="I65" t="inlineStr">
        <is>
          <t>documents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opex</t>
        </is>
      </c>
      <c r="D66" t="inlineStr">
        <is>
          <t>technology</t>
        </is>
      </c>
      <c r="E66" t="inlineStr">
        <is>
          <t>YUMAAI</t>
        </is>
      </c>
      <c r="F66" t="inlineStr"/>
      <c r="G66" t="n">
        <v>440</v>
      </c>
      <c r="H66" t="inlineStr">
        <is>
          <t>EUR</t>
        </is>
      </c>
      <c r="I66" t="inlineStr">
        <is>
          <t>documents</t>
        </is>
      </c>
    </row>
    <row r="67" ht="12" customHeight="1">
      <c r="A67" t="inlineStr">
        <is>
          <t>202603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APPHOTOES</t>
        </is>
      </c>
      <c r="F67" t="inlineStr"/>
      <c r="G67" t="n">
        <v>11609.31</v>
      </c>
      <c r="H67" t="inlineStr">
        <is>
          <t>EUR</t>
        </is>
      </c>
      <c r="I67" t="inlineStr">
        <is>
          <t>documents</t>
        </is>
      </c>
    </row>
    <row r="68" ht="12" customHeight="1">
      <c r="A68" t="inlineStr">
        <is>
          <t>202603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ARTLINK</t>
        </is>
      </c>
      <c r="F68" t="inlineStr">
        <is>
          <t>manufacturing</t>
        </is>
      </c>
      <c r="G68" t="n">
        <v>570</v>
      </c>
      <c r="H68" t="inlineStr">
        <is>
          <t>EUR</t>
        </is>
      </c>
      <c r="I68" t="inlineStr">
        <is>
          <t>documents</t>
        </is>
      </c>
    </row>
    <row r="69" ht="12" customHeight="1">
      <c r="A69" t="inlineStr">
        <is>
          <t>202603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CLARIS</t>
        </is>
      </c>
      <c r="F69" t="inlineStr"/>
      <c r="G69" t="n">
        <v>808.08</v>
      </c>
      <c r="H69" t="inlineStr">
        <is>
          <t>EUR</t>
        </is>
      </c>
      <c r="I69" t="inlineStr">
        <is>
          <t>documents</t>
        </is>
      </c>
    </row>
    <row r="70" ht="12" customHeight="1">
      <c r="A70" t="inlineStr">
        <is>
          <t>202603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2646.66</v>
      </c>
      <c r="H70" t="inlineStr">
        <is>
          <t>EUR</t>
        </is>
      </c>
      <c r="I70" t="inlineStr">
        <is>
          <t>documents</t>
        </is>
      </c>
    </row>
    <row r="71" ht="12" customHeight="1">
      <c r="A71" t="inlineStr">
        <is>
          <t>202603</t>
        </is>
      </c>
      <c r="B71" t="inlineStr">
        <is>
          <t>SL</t>
        </is>
      </c>
      <c r="C71" t="inlineStr">
        <is>
          <t>opex</t>
        </is>
      </c>
      <c r="D71" t="inlineStr">
        <is>
          <t>technology</t>
        </is>
      </c>
      <c r="E71" t="inlineStr">
        <is>
          <t>GORGIAS</t>
        </is>
      </c>
      <c r="F71" t="inlineStr"/>
      <c r="G71" t="n">
        <v>126.4</v>
      </c>
      <c r="H71" t="inlineStr">
        <is>
          <t>USD</t>
        </is>
      </c>
      <c r="I71" t="inlineStr">
        <is>
          <t>documents</t>
        </is>
      </c>
    </row>
    <row r="72" ht="12" customHeight="1">
      <c r="A72" t="inlineStr">
        <is>
          <t>202603</t>
        </is>
      </c>
      <c r="B72" t="inlineStr">
        <is>
          <t>SL</t>
        </is>
      </c>
      <c r="C72" t="inlineStr">
        <is>
          <t>opex</t>
        </is>
      </c>
      <c r="D72" t="inlineStr">
        <is>
          <t>administration</t>
        </is>
      </c>
      <c r="E72" t="inlineStr">
        <is>
          <t>HANNUN</t>
        </is>
      </c>
      <c r="F72" t="inlineStr">
        <is>
          <t>administration</t>
        </is>
      </c>
      <c r="G72" t="n">
        <v>30</v>
      </c>
      <c r="H72" t="inlineStr">
        <is>
          <t>EUR</t>
        </is>
      </c>
      <c r="I72" t="inlineStr">
        <is>
          <t>documents</t>
        </is>
      </c>
    </row>
    <row r="73" ht="12" customHeight="1">
      <c r="A73" t="inlineStr">
        <is>
          <t>202603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OPENAI</t>
        </is>
      </c>
      <c r="F73" t="inlineStr">
        <is>
          <t>api_usage</t>
        </is>
      </c>
      <c r="G73" t="n">
        <v>15</v>
      </c>
      <c r="H73" t="inlineStr">
        <is>
          <t>USD</t>
        </is>
      </c>
      <c r="I73" t="inlineStr">
        <is>
          <t>documents</t>
        </is>
      </c>
    </row>
    <row r="74" ht="12" customHeight="1">
      <c r="A74" t="inlineStr">
        <is>
          <t>202603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RAILWAY</t>
        </is>
      </c>
      <c r="F74" t="inlineStr"/>
      <c r="G74" t="n">
        <v>21.36</v>
      </c>
      <c r="H74" t="inlineStr">
        <is>
          <t>USD</t>
        </is>
      </c>
      <c r="I74" t="inlineStr">
        <is>
          <t>documents</t>
        </is>
      </c>
    </row>
    <row r="75" ht="12" customHeight="1">
      <c r="A75" t="inlineStr">
        <is>
          <t>202603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TORRAS</t>
        </is>
      </c>
      <c r="F75" t="inlineStr"/>
      <c r="G75" t="n">
        <v>15</v>
      </c>
      <c r="H75" t="inlineStr">
        <is>
          <t>EUR</t>
        </is>
      </c>
      <c r="I75" t="inlineStr">
        <is>
          <t>documents</t>
        </is>
      </c>
    </row>
    <row r="76" ht="12" customHeight="1">
      <c r="A76" t="inlineStr">
        <is>
          <t>202603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VITALY</t>
        </is>
      </c>
      <c r="F76" t="inlineStr"/>
      <c r="G76" t="n">
        <v>369</v>
      </c>
      <c r="H76" t="inlineStr">
        <is>
          <t>EUR</t>
        </is>
      </c>
      <c r="I76" t="inlineStr">
        <is>
          <t>documents</t>
        </is>
      </c>
    </row>
    <row r="77" ht="12" customHeight="1">
      <c r="A77" t="inlineStr">
        <is>
          <t>202603</t>
        </is>
      </c>
      <c r="B77" t="inlineStr">
        <is>
          <t>SL</t>
        </is>
      </c>
      <c r="C77" t="inlineStr">
        <is>
          <t>opex</t>
        </is>
      </c>
      <c r="D77" t="inlineStr">
        <is>
          <t>technology</t>
        </is>
      </c>
      <c r="E77" t="inlineStr">
        <is>
          <t>YUMAAI</t>
        </is>
      </c>
      <c r="F77" t="inlineStr"/>
      <c r="G77" t="n">
        <v>440</v>
      </c>
      <c r="H77" t="inlineStr">
        <is>
          <t>EUR</t>
        </is>
      </c>
      <c r="I77" t="inlineStr">
        <is>
          <t>documents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cogs</t>
        </is>
      </c>
      <c r="D78" t="inlineStr">
        <is>
          <t>royalties</t>
        </is>
      </c>
      <c r="E78" t="inlineStr">
        <is>
          <t>ROYALTIES</t>
        </is>
      </c>
      <c r="F78" t="inlineStr"/>
      <c r="G78" t="n">
        <v>13737</v>
      </c>
      <c r="H78" t="inlineStr">
        <is>
          <t>EUR</t>
        </is>
      </c>
      <c r="I78" t="inlineStr">
        <is>
          <t>artist_royalties_monthly_summary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cogs</t>
        </is>
      </c>
      <c r="D79" t="inlineStr">
        <is>
          <t>royalties</t>
        </is>
      </c>
      <c r="E79" t="inlineStr">
        <is>
          <t>ROYALTIES</t>
        </is>
      </c>
      <c r="F79" t="inlineStr"/>
      <c r="G79" t="n">
        <v>16662</v>
      </c>
      <c r="H79" t="inlineStr">
        <is>
          <t>EUR</t>
        </is>
      </c>
      <c r="I79" t="inlineStr">
        <is>
          <t>artist_royalties_monthly_summary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staff</t>
        </is>
      </c>
      <c r="E80" t="inlineStr">
        <is>
          <t>PAYROLL</t>
        </is>
      </c>
      <c r="F80" t="inlineStr"/>
      <c r="G80" t="n">
        <v>14731.84</v>
      </c>
      <c r="H80" t="inlineStr">
        <is>
          <t>EUR</t>
        </is>
      </c>
      <c r="I80" t="inlineStr">
        <is>
          <t>payroll_documents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staff</t>
        </is>
      </c>
      <c r="E81" t="inlineStr">
        <is>
          <t>PAYROLL</t>
        </is>
      </c>
      <c r="F81" t="inlineStr"/>
      <c r="G81" t="n">
        <v>14915.68</v>
      </c>
      <c r="H81" t="inlineStr">
        <is>
          <t>EUR</t>
        </is>
      </c>
      <c r="I81" t="inlineStr">
        <is>
          <t>payroll_documents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SHOPIFY</t>
        </is>
      </c>
      <c r="D3" t="n">
        <v>2616.7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SHOPIFY</t>
        </is>
      </c>
      <c r="D4" t="n">
        <v>2778.19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SL</t>
        </is>
      </c>
      <c r="C5" t="inlineStr">
        <is>
          <t>SHOPIFY</t>
        </is>
      </c>
      <c r="D5" t="n">
        <v>2014.7</v>
      </c>
      <c r="E5" t="inlineStr">
        <is>
          <t>EUR</t>
        </is>
      </c>
      <c r="F5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2026-03-23T02:04:05Z</dcterms:created>
  <dcterms:modified xsi:type="dcterms:W3CDTF">2026-03-23T02:04:05Z</dcterms:modified>
</cp:coreProperties>
</file>