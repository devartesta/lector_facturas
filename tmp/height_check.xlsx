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%;[Red](0.0%);-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color rgb="00666666"/>
    </font>
    <font>
      <b val="1"/>
      <color rgb="001F1F1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4" fontId="4" fillId="8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8" fillId="5" borderId="2" applyAlignment="1" pivotButton="0" quotePrefix="0" xfId="0">
      <alignment horizontal="center" vertical="center"/>
    </xf>
    <xf numFmtId="164" fontId="5" fillId="8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indent="3"/>
    </xf>
    <xf numFmtId="164" fontId="8" fillId="0" borderId="0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  <xf numFmtId="165" fontId="5" fillId="7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3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5" fillId="7" borderId="2" applyAlignment="1" pivotButton="0" quotePrefix="0" xfId="0">
      <alignment horizontal="right" vertical="center"/>
    </xf>
    <xf numFmtId="0" fontId="9" fillId="6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shopify-sl'!A1" TargetMode="External" Id="rId1" /><Relationship Type="http://schemas.openxmlformats.org/officeDocument/2006/relationships/hyperlink" Target="#'i-shopify-sl'!A1" TargetMode="External" Id="rId2" /><Relationship Type="http://schemas.openxmlformats.org/officeDocument/2006/relationships/hyperlink" Target="#'i-shopify-sl'!A1" TargetMode="External" Id="rId3" /><Relationship Type="http://schemas.openxmlformats.org/officeDocument/2006/relationships/hyperlink" Target="#'i-shopify-sl'!A1" TargetMode="External" Id="rId4" /><Relationship Type="http://schemas.openxmlformats.org/officeDocument/2006/relationships/hyperlink" Target="#'i-shopify-sl'!A1" TargetMode="External" Id="rId5" /><Relationship Type="http://schemas.openxmlformats.org/officeDocument/2006/relationships/hyperlink" Target="#'i-shopify-sl'!A1" TargetMode="External" Id="rId6" /><Relationship Type="http://schemas.openxmlformats.org/officeDocument/2006/relationships/hyperlink" Target="#'i-shopify-sl'!A1" TargetMode="External" Id="rId7" /><Relationship Type="http://schemas.openxmlformats.org/officeDocument/2006/relationships/hyperlink" Target="#'i-shopify-sl'!A1" TargetMode="External" Id="rId8" /><Relationship Type="http://schemas.openxmlformats.org/officeDocument/2006/relationships/hyperlink" Target="#'i-shopify-sl'!A1" TargetMode="External" Id="rId9" /><Relationship Type="http://schemas.openxmlformats.org/officeDocument/2006/relationships/hyperlink" Target="#'i-shopify-sl'!A1" TargetMode="External" Id="rId10" /><Relationship Type="http://schemas.openxmlformats.org/officeDocument/2006/relationships/hyperlink" Target="#'i-marketplaces-sl'!A1" TargetMode="External" Id="rId11" /><Relationship Type="http://schemas.openxmlformats.org/officeDocument/2006/relationships/hyperlink" Target="#'i-marketplaces-sl'!A1" TargetMode="External" Id="rId12" /><Relationship Type="http://schemas.openxmlformats.org/officeDocument/2006/relationships/hyperlink" Target="#'i-marketplaces-sl'!A1" TargetMode="External" Id="rId13" /><Relationship Type="http://schemas.openxmlformats.org/officeDocument/2006/relationships/hyperlink" Target="#'i-marketplaces-sl'!A1" TargetMode="External" Id="rId14" /><Relationship Type="http://schemas.openxmlformats.org/officeDocument/2006/relationships/hyperlink" Target="#'i-rappels-sl'!A1" TargetMode="External" Id="rId15" /><Relationship Type="http://schemas.openxmlformats.org/officeDocument/2006/relationships/hyperlink" Target="#'i-rappels-sl'!A1" TargetMode="External" Id="rId16" /><Relationship Type="http://schemas.openxmlformats.org/officeDocument/2006/relationships/hyperlink" Target="#'i-supplies-sl'!A1" TargetMode="External" Id="rId17" /><Relationship Type="http://schemas.openxmlformats.org/officeDocument/2006/relationships/hyperlink" Target="#'i-supplies-sl'!A1" TargetMode="External" Id="rId18" /><Relationship Type="http://schemas.openxmlformats.org/officeDocument/2006/relationships/hyperlink" Target="#'i-services-sl'!A1" TargetMode="External" Id="rId19" /><Relationship Type="http://schemas.openxmlformats.org/officeDocument/2006/relationships/hyperlink" Target="#'i-services-sl'!A1" TargetMode="External" Id="rId20" /><Relationship Type="http://schemas.openxmlformats.org/officeDocument/2006/relationships/hyperlink" Target="#'i-services-sl'!A1" TargetMode="External" Id="rId21" /><Relationship Type="http://schemas.openxmlformats.org/officeDocument/2006/relationships/hyperlink" Target="#'i-services-sl'!A1" TargetMode="External" Id="rId22" /><Relationship Type="http://schemas.openxmlformats.org/officeDocument/2006/relationships/hyperlink" Target="#'i-services-sl'!A1" TargetMode="External" Id="rId23" /><Relationship Type="http://schemas.openxmlformats.org/officeDocument/2006/relationships/hyperlink" Target="#'g-expenses-sl'!A1" TargetMode="External" Id="rId24" /><Relationship Type="http://schemas.openxmlformats.org/officeDocument/2006/relationships/hyperlink" Target="#'g-expenses-sl'!A1" TargetMode="External" Id="rId25" /><Relationship Type="http://schemas.openxmlformats.org/officeDocument/2006/relationships/hyperlink" Target="#'g-expenses-sl'!A1" TargetMode="External" Id="rId26" /><Relationship Type="http://schemas.openxmlformats.org/officeDocument/2006/relationships/hyperlink" Target="#'g-expenses-sl'!A1" TargetMode="External" Id="rId27" /><Relationship Type="http://schemas.openxmlformats.org/officeDocument/2006/relationships/hyperlink" Target="#'g-expenses-sl'!A1" TargetMode="External" Id="rId28" /><Relationship Type="http://schemas.openxmlformats.org/officeDocument/2006/relationships/hyperlink" Target="#'g-expenses-sl'!A1" TargetMode="External" Id="rId29" /><Relationship Type="http://schemas.openxmlformats.org/officeDocument/2006/relationships/hyperlink" Target="#'g-expenses-sl'!A1" TargetMode="External" Id="rId30" /><Relationship Type="http://schemas.openxmlformats.org/officeDocument/2006/relationships/hyperlink" Target="#'g-expenses-sl'!A1" TargetMode="External" Id="rId31" /><Relationship Type="http://schemas.openxmlformats.org/officeDocument/2006/relationships/hyperlink" Target="#'g-expenses-sl'!A1" TargetMode="External" Id="rId32" /><Relationship Type="http://schemas.openxmlformats.org/officeDocument/2006/relationships/hyperlink" Target="#'g-expenses-sl'!A1" TargetMode="External" Id="rId33" /><Relationship Type="http://schemas.openxmlformats.org/officeDocument/2006/relationships/hyperlink" Target="#'g-expenses-sl'!A1" TargetMode="External" Id="rId34" /><Relationship Type="http://schemas.openxmlformats.org/officeDocument/2006/relationships/hyperlink" Target="#'g-expenses-sl'!A1" TargetMode="External" Id="rId35" /><Relationship Type="http://schemas.openxmlformats.org/officeDocument/2006/relationships/hyperlink" Target="#'g-expenses-sl'!A1" TargetMode="External" Id="rId36" /><Relationship Type="http://schemas.openxmlformats.org/officeDocument/2006/relationships/hyperlink" Target="#'g-expenses-sl'!A1" TargetMode="External" Id="rId37" /><Relationship Type="http://schemas.openxmlformats.org/officeDocument/2006/relationships/hyperlink" Target="#'g-payment-fees-sl'!A1" TargetMode="External" Id="rId38" /><Relationship Type="http://schemas.openxmlformats.org/officeDocument/2006/relationships/hyperlink" Target="#'g-payment-fees-sl'!A1" TargetMode="External" Id="rId39" /><Relationship Type="http://schemas.openxmlformats.org/officeDocument/2006/relationships/hyperlink" Target="#'g-payment-fees-sl'!A1" TargetMode="External" Id="rId40" /><Relationship Type="http://schemas.openxmlformats.org/officeDocument/2006/relationships/hyperlink" Target="#'g-expenses-sl'!A1" TargetMode="External" Id="rId41" /><Relationship Type="http://schemas.openxmlformats.org/officeDocument/2006/relationships/hyperlink" Target="#'g-expenses-sl'!A1" TargetMode="External" Id="rId42" /><Relationship Type="http://schemas.openxmlformats.org/officeDocument/2006/relationships/hyperlink" Target="#'g-expenses-sl'!A1" TargetMode="External" Id="rId43" /><Relationship Type="http://schemas.openxmlformats.org/officeDocument/2006/relationships/hyperlink" Target="#'g-expenses-sl'!A1" TargetMode="External" Id="rId44" /><Relationship Type="http://schemas.openxmlformats.org/officeDocument/2006/relationships/hyperlink" Target="#'g-expenses-sl'!A1" TargetMode="External" Id="rId45" /><Relationship Type="http://schemas.openxmlformats.org/officeDocument/2006/relationships/hyperlink" Target="#'g-expenses-sl'!A1" TargetMode="External" Id="rId46" /><Relationship Type="http://schemas.openxmlformats.org/officeDocument/2006/relationships/hyperlink" Target="#'g-expenses-sl'!A1" TargetMode="External" Id="rId47" /><Relationship Type="http://schemas.openxmlformats.org/officeDocument/2006/relationships/hyperlink" Target="#'g-expenses-sl'!A1" TargetMode="External" Id="rId48" /><Relationship Type="http://schemas.openxmlformats.org/officeDocument/2006/relationships/hyperlink" Target="#'g-expenses-sl'!A1" TargetMode="External" Id="rId49" /><Relationship Type="http://schemas.openxmlformats.org/officeDocument/2006/relationships/hyperlink" Target="#'g-expenses-sl'!A1" TargetMode="External" Id="rId50" /><Relationship Type="http://schemas.openxmlformats.org/officeDocument/2006/relationships/hyperlink" Target="#'g-expenses-sl'!A1" TargetMode="External" Id="rId51" /><Relationship Type="http://schemas.openxmlformats.org/officeDocument/2006/relationships/hyperlink" Target="#'g-expenses-sl'!A1" TargetMode="External" Id="rId52" /><Relationship Type="http://schemas.openxmlformats.org/officeDocument/2006/relationships/hyperlink" Target="#'g-expenses-sl'!A1" TargetMode="External" Id="rId53" /><Relationship Type="http://schemas.openxmlformats.org/officeDocument/2006/relationships/hyperlink" Target="#'g-expenses-sl'!A1" TargetMode="External" Id="rId54" /><Relationship Type="http://schemas.openxmlformats.org/officeDocument/2006/relationships/hyperlink" Target="#'g-expenses-sl'!A1" TargetMode="External" Id="rId55" /><Relationship Type="http://schemas.openxmlformats.org/officeDocument/2006/relationships/hyperlink" Target="#'g-expenses-sl'!A1" TargetMode="External" Id="rId56" /><Relationship Type="http://schemas.openxmlformats.org/officeDocument/2006/relationships/hyperlink" Target="#'g-expenses-sl'!A1" TargetMode="External" Id="rId57" /><Relationship Type="http://schemas.openxmlformats.org/officeDocument/2006/relationships/hyperlink" Target="#'g-expenses-sl'!A1" TargetMode="External" Id="rId58" /><Relationship Type="http://schemas.openxmlformats.org/officeDocument/2006/relationships/hyperlink" Target="#'g-expenses-sl'!A1" TargetMode="External" Id="rId59" /><Relationship Type="http://schemas.openxmlformats.org/officeDocument/2006/relationships/hyperlink" Target="#'g-expenses-sl'!A1" TargetMode="External" Id="rId60" /><Relationship Type="http://schemas.openxmlformats.org/officeDocument/2006/relationships/hyperlink" Target="#'g-expenses-sl'!A1" TargetMode="External" Id="rId61" /><Relationship Type="http://schemas.openxmlformats.org/officeDocument/2006/relationships/hyperlink" Target="#'g-expenses-sl'!A1" TargetMode="External" Id="rId62" /><Relationship Type="http://schemas.openxmlformats.org/officeDocument/2006/relationships/hyperlink" Target="#'g-expenses-sl'!A1" TargetMode="External" Id="rId63" /><Relationship Type="http://schemas.openxmlformats.org/officeDocument/2006/relationships/hyperlink" Target="#'g-expenses-sl'!A1" TargetMode="External" Id="rId64" /><Relationship Type="http://schemas.openxmlformats.org/officeDocument/2006/relationships/hyperlink" Target="#'g-expenses-sl'!A1" TargetMode="External" Id="rId65" /><Relationship Type="http://schemas.openxmlformats.org/officeDocument/2006/relationships/hyperlink" Target="#'g-expenses-sl'!A1" TargetMode="External" Id="rId66" /><Relationship Type="http://schemas.openxmlformats.org/officeDocument/2006/relationships/hyperlink" Target="#'g-expenses-sl'!A1" TargetMode="External" Id="rId67" /><Relationship Type="http://schemas.openxmlformats.org/officeDocument/2006/relationships/hyperlink" Target="#'g-expenses-sl'!A1" TargetMode="External" Id="rId68" /></Relationships>
</file>

<file path=xl/worksheets/_rels/sheet2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9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3" customWidth="1" min="16" max="16"/>
    <col width="14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/>
      <c r="Q1" s="1" t="inlineStr">
        <is>
          <t>TOTAL</t>
        </is>
      </c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/>
      <c r="Q2" s="1" t="inlineStr">
        <is>
          <t>Total</t>
        </is>
      </c>
    </row>
    <row r="3" ht="12" customHeight="1">
      <c r="A3" s="3" t="inlineStr">
        <is>
          <t>Actualizado: 23/03/2026 02:15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8" t="n"/>
      <c r="Q4" s="9">
        <f>SUM(D4:O4)</f>
        <v/>
      </c>
    </row>
    <row r="5" ht="12" customHeight="1">
      <c r="A5" s="10" t="inlineStr">
        <is>
          <t xml:space="preserve">    Product sales</t>
        </is>
      </c>
      <c r="B5" s="11" t="inlineStr">
        <is>
          <t>Product sales</t>
        </is>
      </c>
      <c r="C5" s="12" t="n"/>
      <c r="D5" s="13">
        <f>D6+D16+D20+D22</f>
        <v/>
      </c>
      <c r="E5" s="13">
        <f>E6+E16+E20+E22</f>
        <v/>
      </c>
      <c r="F5" s="13">
        <f>F6+F16+F20+F22</f>
        <v/>
      </c>
      <c r="G5" s="13">
        <f>G6+G16+G20+G22</f>
        <v/>
      </c>
      <c r="H5" s="13">
        <f>H6+H16+H20+H22</f>
        <v/>
      </c>
      <c r="I5" s="13">
        <f>I6+I16+I20+I22</f>
        <v/>
      </c>
      <c r="J5" s="13">
        <f>J6+J16+J20+J22</f>
        <v/>
      </c>
      <c r="K5" s="13">
        <f>K6+K16+K20+K22</f>
        <v/>
      </c>
      <c r="L5" s="13">
        <f>L6+L16+L20+L22</f>
        <v/>
      </c>
      <c r="M5" s="13">
        <f>M6+M16+M20+M22</f>
        <v/>
      </c>
      <c r="N5" s="13">
        <f>N6+N16+N20+N22</f>
        <v/>
      </c>
      <c r="O5" s="13">
        <f>O6+O16+O20+O22</f>
        <v/>
      </c>
      <c r="P5" s="13" t="n"/>
      <c r="Q5" s="9">
        <f>SUM(D5:O5)</f>
        <v/>
      </c>
    </row>
    <row r="6" ht="12" customHeight="1">
      <c r="A6" s="14" t="inlineStr">
        <is>
          <t xml:space="preserve">        Shopify</t>
        </is>
      </c>
      <c r="B6" s="15" t="n"/>
      <c r="C6" s="16" t="inlineStr">
        <is>
          <t>Shopify</t>
        </is>
      </c>
      <c r="D6" s="17">
        <f>SUM(D7:D15)</f>
        <v/>
      </c>
      <c r="E6" s="17">
        <f>SUM(E7:E15)</f>
        <v/>
      </c>
      <c r="F6" s="17">
        <f>SUM(F7:F15)</f>
        <v/>
      </c>
      <c r="G6" s="17">
        <f>SUM(G7:G15)</f>
        <v/>
      </c>
      <c r="H6" s="17">
        <f>SUM(H7:H15)</f>
        <v/>
      </c>
      <c r="I6" s="17">
        <f>SUM(I7:I15)</f>
        <v/>
      </c>
      <c r="J6" s="17">
        <f>SUM(J7:J15)</f>
        <v/>
      </c>
      <c r="K6" s="17">
        <f>SUM(K7:K15)</f>
        <v/>
      </c>
      <c r="L6" s="17">
        <f>SUM(L7:L15)</f>
        <v/>
      </c>
      <c r="M6" s="17">
        <f>SUM(M7:M15)</f>
        <v/>
      </c>
      <c r="N6" s="17">
        <f>SUM(N7:N15)</f>
        <v/>
      </c>
      <c r="O6" s="17">
        <f>SUM(O7:O15)</f>
        <v/>
      </c>
      <c r="P6" s="18" t="inlineStr">
        <is>
          <t>-&gt;</t>
        </is>
      </c>
      <c r="Q6" s="19">
        <f>SUM(D6:O6)</f>
        <v/>
      </c>
    </row>
    <row r="7" hidden="1" outlineLevel="1" ht="12" customHeight="1">
      <c r="A7" s="20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1" t="inlineStr">
        <is>
          <t>-&gt;</t>
        </is>
      </c>
      <c r="Q7" s="19">
        <f>SUM(D7:O7)</f>
        <v/>
      </c>
    </row>
    <row r="8" hidden="1" outlineLevel="1" ht="12" customHeight="1">
      <c r="A8" s="20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1" t="inlineStr">
        <is>
          <t>-&gt;</t>
        </is>
      </c>
      <c r="Q8" s="19">
        <f>SUM(D8:O8)</f>
        <v/>
      </c>
    </row>
    <row r="9" hidden="1" outlineLevel="1" ht="12" customHeight="1">
      <c r="A9" s="20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1" t="inlineStr">
        <is>
          <t>-&gt;</t>
        </is>
      </c>
      <c r="Q9" s="19">
        <f>SUM(D9:O9)</f>
        <v/>
      </c>
    </row>
    <row r="10" hidden="1" outlineLevel="1" ht="12" customHeight="1">
      <c r="A10" s="20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1" t="inlineStr">
        <is>
          <t>-&gt;</t>
        </is>
      </c>
      <c r="Q10" s="19">
        <f>SUM(D10:O10)</f>
        <v/>
      </c>
    </row>
    <row r="11" hidden="1" outlineLevel="1" ht="12" customHeight="1">
      <c r="A11" s="20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1" t="inlineStr">
        <is>
          <t>-&gt;</t>
        </is>
      </c>
      <c r="Q11" s="19">
        <f>SUM(D11:O11)</f>
        <v/>
      </c>
    </row>
    <row r="12" hidden="1" outlineLevel="1" ht="12" customHeight="1">
      <c r="A12" s="20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1" t="inlineStr">
        <is>
          <t>-&gt;</t>
        </is>
      </c>
      <c r="Q12" s="19">
        <f>SUM(D12:O12)</f>
        <v/>
      </c>
    </row>
    <row r="13" hidden="1" outlineLevel="1" ht="12" customHeight="1">
      <c r="A13" s="20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1" t="inlineStr">
        <is>
          <t>-&gt;</t>
        </is>
      </c>
      <c r="Q13" s="19">
        <f>SUM(D13:O13)</f>
        <v/>
      </c>
    </row>
    <row r="14" hidden="1" outlineLevel="1" ht="12" customHeight="1">
      <c r="A14" s="20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1" t="inlineStr">
        <is>
          <t>-&gt;</t>
        </is>
      </c>
      <c r="Q14" s="19">
        <f>SUM(D14:O14)</f>
        <v/>
      </c>
    </row>
    <row r="15" hidden="1" outlineLevel="1" collapsed="1" ht="12" customHeight="1">
      <c r="A15" s="20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1" t="inlineStr">
        <is>
          <t>-&gt;</t>
        </is>
      </c>
      <c r="Q15" s="19">
        <f>SUM(D15:O15)</f>
        <v/>
      </c>
    </row>
    <row r="16" ht="12" customHeight="1">
      <c r="A16" s="14" t="inlineStr">
        <is>
          <t xml:space="preserve">        Marketplaces</t>
        </is>
      </c>
      <c r="B16" s="15" t="n"/>
      <c r="C16" s="16" t="inlineStr">
        <is>
          <t>Marketplaces</t>
        </is>
      </c>
      <c r="D16" s="17">
        <f>SUM(D17:D19)</f>
        <v/>
      </c>
      <c r="E16" s="17">
        <f>SUM(E17:E19)</f>
        <v/>
      </c>
      <c r="F16" s="17">
        <f>SUM(F17:F19)</f>
        <v/>
      </c>
      <c r="G16" s="17">
        <f>SUM(G17:G19)</f>
        <v/>
      </c>
      <c r="H16" s="17">
        <f>SUM(H17:H19)</f>
        <v/>
      </c>
      <c r="I16" s="17">
        <f>SUM(I17:I19)</f>
        <v/>
      </c>
      <c r="J16" s="17">
        <f>SUM(J17:J19)</f>
        <v/>
      </c>
      <c r="K16" s="17">
        <f>SUM(K17:K19)</f>
        <v/>
      </c>
      <c r="L16" s="17">
        <f>SUM(L17:L19)</f>
        <v/>
      </c>
      <c r="M16" s="17">
        <f>SUM(M17:M19)</f>
        <v/>
      </c>
      <c r="N16" s="17">
        <f>SUM(N17:N19)</f>
        <v/>
      </c>
      <c r="O16" s="17">
        <f>SUM(O17:O19)</f>
        <v/>
      </c>
      <c r="P16" s="18" t="inlineStr">
        <is>
          <t>-&gt;</t>
        </is>
      </c>
      <c r="Q16" s="19">
        <f>SUM(D16:O16)</f>
        <v/>
      </c>
    </row>
    <row r="17" hidden="1" outlineLevel="1" ht="12" customHeight="1">
      <c r="A17" s="20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1" t="inlineStr">
        <is>
          <t>-&gt;</t>
        </is>
      </c>
      <c r="Q17" s="19">
        <f>SUM(D17:O17)</f>
        <v/>
      </c>
    </row>
    <row r="18" hidden="1" outlineLevel="1" ht="12" customHeight="1">
      <c r="A18" s="20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1" t="inlineStr">
        <is>
          <t>-&gt;</t>
        </is>
      </c>
      <c r="Q18" s="19">
        <f>SUM(D18:O18)</f>
        <v/>
      </c>
    </row>
    <row r="19" hidden="1" outlineLevel="1" collapsed="1" ht="12" customHeight="1">
      <c r="A19" s="20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1" t="inlineStr">
        <is>
          <t>-&gt;</t>
        </is>
      </c>
      <c r="Q19" s="19">
        <f>SUM(D19:O19)</f>
        <v/>
      </c>
    </row>
    <row r="20" ht="12" customHeight="1">
      <c r="A20" s="14" t="inlineStr">
        <is>
          <t xml:space="preserve">        Rappels</t>
        </is>
      </c>
      <c r="B20" s="15" t="n"/>
      <c r="C20" s="16" t="inlineStr">
        <is>
          <t>Rappels</t>
        </is>
      </c>
      <c r="D20" s="17">
        <f>D21</f>
        <v/>
      </c>
      <c r="E20" s="17">
        <f>E21</f>
        <v/>
      </c>
      <c r="F20" s="17">
        <f>F21</f>
        <v/>
      </c>
      <c r="G20" s="17">
        <f>G21</f>
        <v/>
      </c>
      <c r="H20" s="17">
        <f>H21</f>
        <v/>
      </c>
      <c r="I20" s="17">
        <f>I21</f>
        <v/>
      </c>
      <c r="J20" s="17">
        <f>J21</f>
        <v/>
      </c>
      <c r="K20" s="17">
        <f>K21</f>
        <v/>
      </c>
      <c r="L20" s="17">
        <f>L21</f>
        <v/>
      </c>
      <c r="M20" s="17">
        <f>M21</f>
        <v/>
      </c>
      <c r="N20" s="17">
        <f>N21</f>
        <v/>
      </c>
      <c r="O20" s="17">
        <f>O21</f>
        <v/>
      </c>
      <c r="P20" s="18" t="inlineStr">
        <is>
          <t>-&gt;</t>
        </is>
      </c>
      <c r="Q20" s="19">
        <f>SUM(D20:O20)</f>
        <v/>
      </c>
    </row>
    <row r="21" hidden="1" outlineLevel="1" collapsed="1" ht="12" customHeight="1">
      <c r="A21" s="20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1" t="inlineStr">
        <is>
          <t>-&gt;</t>
        </is>
      </c>
      <c r="Q21" s="19">
        <f>SUM(D21:O21)</f>
        <v/>
      </c>
    </row>
    <row r="22" ht="12" customHeight="1">
      <c r="A22" s="14" t="inlineStr">
        <is>
          <t xml:space="preserve">        Supplies</t>
        </is>
      </c>
      <c r="B22" s="15" t="n"/>
      <c r="C22" s="16" t="inlineStr">
        <is>
          <t>Supplies</t>
        </is>
      </c>
      <c r="D22" s="17">
        <f>D23</f>
        <v/>
      </c>
      <c r="E22" s="17">
        <f>E23</f>
        <v/>
      </c>
      <c r="F22" s="17">
        <f>F23</f>
        <v/>
      </c>
      <c r="G22" s="17">
        <f>G23</f>
        <v/>
      </c>
      <c r="H22" s="17">
        <f>H23</f>
        <v/>
      </c>
      <c r="I22" s="17">
        <f>I23</f>
        <v/>
      </c>
      <c r="J22" s="17">
        <f>J23</f>
        <v/>
      </c>
      <c r="K22" s="17">
        <f>K23</f>
        <v/>
      </c>
      <c r="L22" s="17">
        <f>L23</f>
        <v/>
      </c>
      <c r="M22" s="17">
        <f>M23</f>
        <v/>
      </c>
      <c r="N22" s="17">
        <f>N23</f>
        <v/>
      </c>
      <c r="O22" s="17">
        <f>O23</f>
        <v/>
      </c>
      <c r="P22" s="18" t="inlineStr">
        <is>
          <t>-&gt;</t>
        </is>
      </c>
      <c r="Q22" s="19">
        <f>SUM(D22:O22)</f>
        <v/>
      </c>
    </row>
    <row r="23" hidden="1" outlineLevel="1" collapsed="1" ht="12" customHeight="1">
      <c r="A23" s="20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1" t="inlineStr">
        <is>
          <t>-&gt;</t>
        </is>
      </c>
      <c r="Q23" s="19">
        <f>SUM(D23:O23)</f>
        <v/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19">
        <f>SUM(D24:O24)</f>
        <v/>
      </c>
    </row>
    <row r="25" ht="12" customHeight="1">
      <c r="A25" s="10" t="inlineStr">
        <is>
          <t xml:space="preserve">    Services</t>
        </is>
      </c>
      <c r="B25" s="11" t="inlineStr">
        <is>
          <t>Services</t>
        </is>
      </c>
      <c r="C25" s="12" t="n"/>
      <c r="D25" s="13">
        <f>SUM(D26:D29)</f>
        <v/>
      </c>
      <c r="E25" s="13">
        <f>SUM(E26:E29)</f>
        <v/>
      </c>
      <c r="F25" s="13">
        <f>SUM(F26:F29)</f>
        <v/>
      </c>
      <c r="G25" s="13">
        <f>SUM(G26:G29)</f>
        <v/>
      </c>
      <c r="H25" s="13">
        <f>SUM(H26:H29)</f>
        <v/>
      </c>
      <c r="I25" s="13">
        <f>SUM(I26:I29)</f>
        <v/>
      </c>
      <c r="J25" s="13">
        <f>SUM(J26:J29)</f>
        <v/>
      </c>
      <c r="K25" s="13">
        <f>SUM(K26:K29)</f>
        <v/>
      </c>
      <c r="L25" s="13">
        <f>SUM(L26:L29)</f>
        <v/>
      </c>
      <c r="M25" s="13">
        <f>SUM(M26:M29)</f>
        <v/>
      </c>
      <c r="N25" s="13">
        <f>SUM(N26:N29)</f>
        <v/>
      </c>
      <c r="O25" s="13">
        <f>SUM(O26:O29)</f>
        <v/>
      </c>
      <c r="P25" s="22" t="inlineStr">
        <is>
          <t>-&gt;</t>
        </is>
      </c>
      <c r="Q25" s="9">
        <f>SUM(D25:O25)</f>
        <v/>
      </c>
    </row>
    <row r="26" hidden="1" outlineLevel="1" ht="12" customHeight="1">
      <c r="A26" s="20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1" t="inlineStr">
        <is>
          <t>-&gt;</t>
        </is>
      </c>
      <c r="Q26" s="19">
        <f>SUM(D26:O26)</f>
        <v/>
      </c>
    </row>
    <row r="27" hidden="1" outlineLevel="1" ht="12" customHeight="1">
      <c r="A27" s="20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1" t="inlineStr">
        <is>
          <t>-&gt;</t>
        </is>
      </c>
      <c r="Q27" s="19">
        <f>SUM(D27:O27)</f>
        <v/>
      </c>
    </row>
    <row r="28" hidden="1" outlineLevel="1" ht="12" customHeight="1">
      <c r="A28" s="20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1" t="inlineStr">
        <is>
          <t>-&gt;</t>
        </is>
      </c>
      <c r="Q28" s="19">
        <f>SUM(D28:O28)</f>
        <v/>
      </c>
    </row>
    <row r="29" hidden="1" outlineLevel="1" collapsed="1" ht="12" customHeight="1">
      <c r="A29" s="20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1" t="inlineStr">
        <is>
          <t>-&gt;</t>
        </is>
      </c>
      <c r="Q29" s="19">
        <f>SUM(D29:O29)</f>
        <v/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19">
        <f>SUM(D30:O30)</f>
        <v/>
      </c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8" t="n"/>
      <c r="Q31" s="9">
        <f>SUM(D31:O31)</f>
        <v/>
      </c>
    </row>
    <row r="32" ht="12" customHeight="1">
      <c r="A32" s="10" t="inlineStr">
        <is>
          <t xml:space="preserve">    COGS</t>
        </is>
      </c>
      <c r="B32" s="11" t="inlineStr">
        <is>
          <t>COGS</t>
        </is>
      </c>
      <c r="C32" s="12" t="n"/>
      <c r="D32" s="13">
        <f>D33+D40+D47+D50</f>
        <v/>
      </c>
      <c r="E32" s="13">
        <f>E33+E40+E47+E50</f>
        <v/>
      </c>
      <c r="F32" s="13">
        <f>F33+F40+F47+F50</f>
        <v/>
      </c>
      <c r="G32" s="13">
        <f>G33+G40+G47+G50</f>
        <v/>
      </c>
      <c r="H32" s="13">
        <f>H33+H40+H47+H50</f>
        <v/>
      </c>
      <c r="I32" s="13">
        <f>I33+I40+I47+I50</f>
        <v/>
      </c>
      <c r="J32" s="13">
        <f>J33+J40+J47+J50</f>
        <v/>
      </c>
      <c r="K32" s="13">
        <f>K33+K40+K47+K50</f>
        <v/>
      </c>
      <c r="L32" s="13">
        <f>L33+L40+L47+L50</f>
        <v/>
      </c>
      <c r="M32" s="13">
        <f>M33+M40+M47+M50</f>
        <v/>
      </c>
      <c r="N32" s="13">
        <f>N33+N40+N47+N50</f>
        <v/>
      </c>
      <c r="O32" s="13">
        <f>O33+O40+O47+O50</f>
        <v/>
      </c>
      <c r="P32" s="13" t="n"/>
      <c r="Q32" s="9">
        <f>SUM(D32:O32)</f>
        <v/>
      </c>
    </row>
    <row r="33" ht="12" customHeight="1">
      <c r="A33" s="14" t="inlineStr">
        <is>
          <t xml:space="preserve">        Manufacturing (% sales)</t>
        </is>
      </c>
      <c r="B33" s="15" t="n"/>
      <c r="C33" s="16" t="inlineStr">
        <is>
          <t>Manufacturing (% sales)</t>
        </is>
      </c>
      <c r="D33" s="17">
        <f>SUM(D34:D38)</f>
        <v/>
      </c>
      <c r="E33" s="17">
        <f>SUM(E34:E38)</f>
        <v/>
      </c>
      <c r="F33" s="17">
        <f>SUM(F34:F38)</f>
        <v/>
      </c>
      <c r="G33" s="17">
        <f>SUM(G34:G38)</f>
        <v/>
      </c>
      <c r="H33" s="17">
        <f>SUM(H34:H38)</f>
        <v/>
      </c>
      <c r="I33" s="17">
        <f>SUM(I34:I38)</f>
        <v/>
      </c>
      <c r="J33" s="17">
        <f>SUM(J34:J38)</f>
        <v/>
      </c>
      <c r="K33" s="17">
        <f>SUM(K34:K38)</f>
        <v/>
      </c>
      <c r="L33" s="17">
        <f>SUM(L34:L38)</f>
        <v/>
      </c>
      <c r="M33" s="17">
        <f>SUM(M34:M38)</f>
        <v/>
      </c>
      <c r="N33" s="17">
        <f>SUM(N34:N38)</f>
        <v/>
      </c>
      <c r="O33" s="17">
        <f>SUM(O34:O38)</f>
        <v/>
      </c>
      <c r="P33" s="18" t="inlineStr">
        <is>
          <t>-&gt;</t>
        </is>
      </c>
      <c r="Q33" s="19">
        <f>SUM(D33:O33)</f>
        <v/>
      </c>
    </row>
    <row r="34" hidden="1" outlineLevel="1" ht="12" customHeight="1">
      <c r="A34" s="20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SUMIFS('g-expenses-sl'!$F:$F,'g-expenses-sl'!$A:$A,D$1,'g-expenses-sl'!$D:$D,"manufacturing",'g-expenses-sl'!$E:$E,$C34)</f>
        <v/>
      </c>
      <c r="E34" s="5">
        <f>SUMIFS('g-expenses-sl'!$F:$F,'g-expenses-sl'!$A:$A,E$1,'g-expenses-sl'!$D:$D,"manufacturing",'g-expenses-sl'!$E:$E,$C34)</f>
        <v/>
      </c>
      <c r="F34" s="5">
        <f>SUMIFS('g-expenses-sl'!$F:$F,'g-expenses-sl'!$A:$A,F$1,'g-expenses-sl'!$D:$D,"manufacturing",'g-expenses-sl'!$E:$E,$C34)</f>
        <v/>
      </c>
      <c r="G34" s="5">
        <f>SUMIFS('g-expenses-sl'!$F:$F,'g-expenses-sl'!$A:$A,G$1,'g-expenses-sl'!$D:$D,"manufacturing",'g-expenses-sl'!$E:$E,$C34)</f>
        <v/>
      </c>
      <c r="H34" s="5">
        <f>SUMIFS('g-expenses-sl'!$F:$F,'g-expenses-sl'!$A:$A,H$1,'g-expenses-sl'!$D:$D,"manufacturing",'g-expenses-sl'!$E:$E,$C34)</f>
        <v/>
      </c>
      <c r="I34" s="5">
        <f>SUMIFS('g-expenses-sl'!$F:$F,'g-expenses-sl'!$A:$A,I$1,'g-expenses-sl'!$D:$D,"manufacturing",'g-expenses-sl'!$E:$E,$C34)</f>
        <v/>
      </c>
      <c r="J34" s="5">
        <f>SUMIFS('g-expenses-sl'!$F:$F,'g-expenses-sl'!$A:$A,J$1,'g-expenses-sl'!$D:$D,"manufacturing",'g-expenses-sl'!$E:$E,$C34)</f>
        <v/>
      </c>
      <c r="K34" s="5">
        <f>SUMIFS('g-expenses-sl'!$F:$F,'g-expenses-sl'!$A:$A,K$1,'g-expenses-sl'!$D:$D,"manufacturing",'g-expenses-sl'!$E:$E,$C34)</f>
        <v/>
      </c>
      <c r="L34" s="5">
        <f>SUMIFS('g-expenses-sl'!$F:$F,'g-expenses-sl'!$A:$A,L$1,'g-expenses-sl'!$D:$D,"manufacturing",'g-expenses-sl'!$E:$E,$C34)</f>
        <v/>
      </c>
      <c r="M34" s="5">
        <f>SUMIFS('g-expenses-sl'!$F:$F,'g-expenses-sl'!$A:$A,M$1,'g-expenses-sl'!$D:$D,"manufacturing",'g-expenses-sl'!$E:$E,$C34)</f>
        <v/>
      </c>
      <c r="N34" s="5">
        <f>SUMIFS('g-expenses-sl'!$F:$F,'g-expenses-sl'!$A:$A,N$1,'g-expenses-sl'!$D:$D,"manufacturing",'g-expenses-sl'!$E:$E,$C34)</f>
        <v/>
      </c>
      <c r="O34" s="5">
        <f>SUMIFS('g-expenses-sl'!$F:$F,'g-expenses-sl'!$A:$A,O$1,'g-expenses-sl'!$D:$D,"manufacturing",'g-expenses-sl'!$E:$E,$C34)</f>
        <v/>
      </c>
      <c r="P34" s="21" t="inlineStr">
        <is>
          <t>-&gt;</t>
        </is>
      </c>
      <c r="Q34" s="19">
        <f>SUM(D34:O34)</f>
        <v/>
      </c>
    </row>
    <row r="35" hidden="1" outlineLevel="1" ht="12" customHeight="1">
      <c r="A35" s="20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SUMIFS('g-expenses-sl'!$F:$F,'g-expenses-sl'!$A:$A,D$1,'g-expenses-sl'!$D:$D,"manufacturing",'g-expenses-sl'!$E:$E,$C35)</f>
        <v/>
      </c>
      <c r="E35" s="5">
        <f>SUMIFS('g-expenses-sl'!$F:$F,'g-expenses-sl'!$A:$A,E$1,'g-expenses-sl'!$D:$D,"manufacturing",'g-expenses-sl'!$E:$E,$C35)</f>
        <v/>
      </c>
      <c r="F35" s="5">
        <f>SUMIFS('g-expenses-sl'!$F:$F,'g-expenses-sl'!$A:$A,F$1,'g-expenses-sl'!$D:$D,"manufacturing",'g-expenses-sl'!$E:$E,$C35)</f>
        <v/>
      </c>
      <c r="G35" s="5">
        <f>SUMIFS('g-expenses-sl'!$F:$F,'g-expenses-sl'!$A:$A,G$1,'g-expenses-sl'!$D:$D,"manufacturing",'g-expenses-sl'!$E:$E,$C35)</f>
        <v/>
      </c>
      <c r="H35" s="5">
        <f>SUMIFS('g-expenses-sl'!$F:$F,'g-expenses-sl'!$A:$A,H$1,'g-expenses-sl'!$D:$D,"manufacturing",'g-expenses-sl'!$E:$E,$C35)</f>
        <v/>
      </c>
      <c r="I35" s="5">
        <f>SUMIFS('g-expenses-sl'!$F:$F,'g-expenses-sl'!$A:$A,I$1,'g-expenses-sl'!$D:$D,"manufacturing",'g-expenses-sl'!$E:$E,$C35)</f>
        <v/>
      </c>
      <c r="J35" s="5">
        <f>SUMIFS('g-expenses-sl'!$F:$F,'g-expenses-sl'!$A:$A,J$1,'g-expenses-sl'!$D:$D,"manufacturing",'g-expenses-sl'!$E:$E,$C35)</f>
        <v/>
      </c>
      <c r="K35" s="5">
        <f>SUMIFS('g-expenses-sl'!$F:$F,'g-expenses-sl'!$A:$A,K$1,'g-expenses-sl'!$D:$D,"manufacturing",'g-expenses-sl'!$E:$E,$C35)</f>
        <v/>
      </c>
      <c r="L35" s="5">
        <f>SUMIFS('g-expenses-sl'!$F:$F,'g-expenses-sl'!$A:$A,L$1,'g-expenses-sl'!$D:$D,"manufacturing",'g-expenses-sl'!$E:$E,$C35)</f>
        <v/>
      </c>
      <c r="M35" s="5">
        <f>SUMIFS('g-expenses-sl'!$F:$F,'g-expenses-sl'!$A:$A,M$1,'g-expenses-sl'!$D:$D,"manufacturing",'g-expenses-sl'!$E:$E,$C35)</f>
        <v/>
      </c>
      <c r="N35" s="5">
        <f>SUMIFS('g-expenses-sl'!$F:$F,'g-expenses-sl'!$A:$A,N$1,'g-expenses-sl'!$D:$D,"manufacturing",'g-expenses-sl'!$E:$E,$C35)</f>
        <v/>
      </c>
      <c r="O35" s="5">
        <f>SUMIFS('g-expenses-sl'!$F:$F,'g-expenses-sl'!$A:$A,O$1,'g-expenses-sl'!$D:$D,"manufacturing",'g-expenses-sl'!$E:$E,$C35)</f>
        <v/>
      </c>
      <c r="P35" s="21" t="inlineStr">
        <is>
          <t>-&gt;</t>
        </is>
      </c>
      <c r="Q35" s="19">
        <f>SUM(D35:O35)</f>
        <v/>
      </c>
    </row>
    <row r="36" hidden="1" outlineLevel="1" ht="12" customHeight="1">
      <c r="A36" s="20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SUMIFS('g-expenses-sl'!$F:$F,'g-expenses-sl'!$A:$A,D$1,'g-expenses-sl'!$D:$D,"manufacturing",'g-expenses-sl'!$E:$E,$C36)</f>
        <v/>
      </c>
      <c r="E36" s="5">
        <f>SUMIFS('g-expenses-sl'!$F:$F,'g-expenses-sl'!$A:$A,E$1,'g-expenses-sl'!$D:$D,"manufacturing",'g-expenses-sl'!$E:$E,$C36)</f>
        <v/>
      </c>
      <c r="F36" s="5">
        <f>SUMIFS('g-expenses-sl'!$F:$F,'g-expenses-sl'!$A:$A,F$1,'g-expenses-sl'!$D:$D,"manufacturing",'g-expenses-sl'!$E:$E,$C36)</f>
        <v/>
      </c>
      <c r="G36" s="5">
        <f>SUMIFS('g-expenses-sl'!$F:$F,'g-expenses-sl'!$A:$A,G$1,'g-expenses-sl'!$D:$D,"manufacturing",'g-expenses-sl'!$E:$E,$C36)</f>
        <v/>
      </c>
      <c r="H36" s="5">
        <f>SUMIFS('g-expenses-sl'!$F:$F,'g-expenses-sl'!$A:$A,H$1,'g-expenses-sl'!$D:$D,"manufacturing",'g-expenses-sl'!$E:$E,$C36)</f>
        <v/>
      </c>
      <c r="I36" s="5">
        <f>SUMIFS('g-expenses-sl'!$F:$F,'g-expenses-sl'!$A:$A,I$1,'g-expenses-sl'!$D:$D,"manufacturing",'g-expenses-sl'!$E:$E,$C36)</f>
        <v/>
      </c>
      <c r="J36" s="5">
        <f>SUMIFS('g-expenses-sl'!$F:$F,'g-expenses-sl'!$A:$A,J$1,'g-expenses-sl'!$D:$D,"manufacturing",'g-expenses-sl'!$E:$E,$C36)</f>
        <v/>
      </c>
      <c r="K36" s="5">
        <f>SUMIFS('g-expenses-sl'!$F:$F,'g-expenses-sl'!$A:$A,K$1,'g-expenses-sl'!$D:$D,"manufacturing",'g-expenses-sl'!$E:$E,$C36)</f>
        <v/>
      </c>
      <c r="L36" s="5">
        <f>SUMIFS('g-expenses-sl'!$F:$F,'g-expenses-sl'!$A:$A,L$1,'g-expenses-sl'!$D:$D,"manufacturing",'g-expenses-sl'!$E:$E,$C36)</f>
        <v/>
      </c>
      <c r="M36" s="5">
        <f>SUMIFS('g-expenses-sl'!$F:$F,'g-expenses-sl'!$A:$A,M$1,'g-expenses-sl'!$D:$D,"manufacturing",'g-expenses-sl'!$E:$E,$C36)</f>
        <v/>
      </c>
      <c r="N36" s="5">
        <f>SUMIFS('g-expenses-sl'!$F:$F,'g-expenses-sl'!$A:$A,N$1,'g-expenses-sl'!$D:$D,"manufacturing",'g-expenses-sl'!$E:$E,$C36)</f>
        <v/>
      </c>
      <c r="O36" s="5">
        <f>SUMIFS('g-expenses-sl'!$F:$F,'g-expenses-sl'!$A:$A,O$1,'g-expenses-sl'!$D:$D,"manufacturing",'g-expenses-sl'!$E:$E,$C36)</f>
        <v/>
      </c>
      <c r="P36" s="21" t="inlineStr">
        <is>
          <t>-&gt;</t>
        </is>
      </c>
      <c r="Q36" s="19">
        <f>SUM(D36:O36)</f>
        <v/>
      </c>
    </row>
    <row r="37" hidden="1" outlineLevel="1" ht="12" customHeight="1">
      <c r="A37" s="20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SUMIFS('g-expenses-sl'!$F:$F,'g-expenses-sl'!$A:$A,D$1,'g-expenses-sl'!$D:$D,"manufacturing",'g-expenses-sl'!$E:$E,$C37)</f>
        <v/>
      </c>
      <c r="E37" s="5">
        <f>SUMIFS('g-expenses-sl'!$F:$F,'g-expenses-sl'!$A:$A,E$1,'g-expenses-sl'!$D:$D,"manufacturing",'g-expenses-sl'!$E:$E,$C37)</f>
        <v/>
      </c>
      <c r="F37" s="5">
        <f>SUMIFS('g-expenses-sl'!$F:$F,'g-expenses-sl'!$A:$A,F$1,'g-expenses-sl'!$D:$D,"manufacturing",'g-expenses-sl'!$E:$E,$C37)</f>
        <v/>
      </c>
      <c r="G37" s="5">
        <f>SUMIFS('g-expenses-sl'!$F:$F,'g-expenses-sl'!$A:$A,G$1,'g-expenses-sl'!$D:$D,"manufacturing",'g-expenses-sl'!$E:$E,$C37)</f>
        <v/>
      </c>
      <c r="H37" s="5">
        <f>SUMIFS('g-expenses-sl'!$F:$F,'g-expenses-sl'!$A:$A,H$1,'g-expenses-sl'!$D:$D,"manufacturing",'g-expenses-sl'!$E:$E,$C37)</f>
        <v/>
      </c>
      <c r="I37" s="5">
        <f>SUMIFS('g-expenses-sl'!$F:$F,'g-expenses-sl'!$A:$A,I$1,'g-expenses-sl'!$D:$D,"manufacturing",'g-expenses-sl'!$E:$E,$C37)</f>
        <v/>
      </c>
      <c r="J37" s="5">
        <f>SUMIFS('g-expenses-sl'!$F:$F,'g-expenses-sl'!$A:$A,J$1,'g-expenses-sl'!$D:$D,"manufacturing",'g-expenses-sl'!$E:$E,$C37)</f>
        <v/>
      </c>
      <c r="K37" s="5">
        <f>SUMIFS('g-expenses-sl'!$F:$F,'g-expenses-sl'!$A:$A,K$1,'g-expenses-sl'!$D:$D,"manufacturing",'g-expenses-sl'!$E:$E,$C37)</f>
        <v/>
      </c>
      <c r="L37" s="5">
        <f>SUMIFS('g-expenses-sl'!$F:$F,'g-expenses-sl'!$A:$A,L$1,'g-expenses-sl'!$D:$D,"manufacturing",'g-expenses-sl'!$E:$E,$C37)</f>
        <v/>
      </c>
      <c r="M37" s="5">
        <f>SUMIFS('g-expenses-sl'!$F:$F,'g-expenses-sl'!$A:$A,M$1,'g-expenses-sl'!$D:$D,"manufacturing",'g-expenses-sl'!$E:$E,$C37)</f>
        <v/>
      </c>
      <c r="N37" s="5">
        <f>SUMIFS('g-expenses-sl'!$F:$F,'g-expenses-sl'!$A:$A,N$1,'g-expenses-sl'!$D:$D,"manufacturing",'g-expenses-sl'!$E:$E,$C37)</f>
        <v/>
      </c>
      <c r="O37" s="5">
        <f>SUMIFS('g-expenses-sl'!$F:$F,'g-expenses-sl'!$A:$A,O$1,'g-expenses-sl'!$D:$D,"manufacturing",'g-expenses-sl'!$E:$E,$C37)</f>
        <v/>
      </c>
      <c r="P37" s="21" t="inlineStr">
        <is>
          <t>-&gt;</t>
        </is>
      </c>
      <c r="Q37" s="19">
        <f>SUM(D37:O37)</f>
        <v/>
      </c>
    </row>
    <row r="38" hidden="1" outlineLevel="1" collapsed="1" ht="12" customHeight="1">
      <c r="A38" s="20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SUMIFS('g-expenses-sl'!$F:$F,'g-expenses-sl'!$A:$A,D$1,'g-expenses-sl'!$D:$D,"manufacturing",'g-expenses-sl'!$E:$E,$C38)</f>
        <v/>
      </c>
      <c r="E38" s="5">
        <f>SUMIFS('g-expenses-sl'!$F:$F,'g-expenses-sl'!$A:$A,E$1,'g-expenses-sl'!$D:$D,"manufacturing",'g-expenses-sl'!$E:$E,$C38)</f>
        <v/>
      </c>
      <c r="F38" s="5">
        <f>SUMIFS('g-expenses-sl'!$F:$F,'g-expenses-sl'!$A:$A,F$1,'g-expenses-sl'!$D:$D,"manufacturing",'g-expenses-sl'!$E:$E,$C38)</f>
        <v/>
      </c>
      <c r="G38" s="5">
        <f>SUMIFS('g-expenses-sl'!$F:$F,'g-expenses-sl'!$A:$A,G$1,'g-expenses-sl'!$D:$D,"manufacturing",'g-expenses-sl'!$E:$E,$C38)</f>
        <v/>
      </c>
      <c r="H38" s="5">
        <f>SUMIFS('g-expenses-sl'!$F:$F,'g-expenses-sl'!$A:$A,H$1,'g-expenses-sl'!$D:$D,"manufacturing",'g-expenses-sl'!$E:$E,$C38)</f>
        <v/>
      </c>
      <c r="I38" s="5">
        <f>SUMIFS('g-expenses-sl'!$F:$F,'g-expenses-sl'!$A:$A,I$1,'g-expenses-sl'!$D:$D,"manufacturing",'g-expenses-sl'!$E:$E,$C38)</f>
        <v/>
      </c>
      <c r="J38" s="5">
        <f>SUMIFS('g-expenses-sl'!$F:$F,'g-expenses-sl'!$A:$A,J$1,'g-expenses-sl'!$D:$D,"manufacturing",'g-expenses-sl'!$E:$E,$C38)</f>
        <v/>
      </c>
      <c r="K38" s="5">
        <f>SUMIFS('g-expenses-sl'!$F:$F,'g-expenses-sl'!$A:$A,K$1,'g-expenses-sl'!$D:$D,"manufacturing",'g-expenses-sl'!$E:$E,$C38)</f>
        <v/>
      </c>
      <c r="L38" s="5">
        <f>SUMIFS('g-expenses-sl'!$F:$F,'g-expenses-sl'!$A:$A,L$1,'g-expenses-sl'!$D:$D,"manufacturing",'g-expenses-sl'!$E:$E,$C38)</f>
        <v/>
      </c>
      <c r="M38" s="5">
        <f>SUMIFS('g-expenses-sl'!$F:$F,'g-expenses-sl'!$A:$A,M$1,'g-expenses-sl'!$D:$D,"manufacturing",'g-expenses-sl'!$E:$E,$C38)</f>
        <v/>
      </c>
      <c r="N38" s="5">
        <f>SUMIFS('g-expenses-sl'!$F:$F,'g-expenses-sl'!$A:$A,N$1,'g-expenses-sl'!$D:$D,"manufacturing",'g-expenses-sl'!$E:$E,$C38)</f>
        <v/>
      </c>
      <c r="O38" s="5">
        <f>SUMIFS('g-expenses-sl'!$F:$F,'g-expenses-sl'!$A:$A,O$1,'g-expenses-sl'!$D:$D,"manufacturing",'g-expenses-sl'!$E:$E,$C38)</f>
        <v/>
      </c>
      <c r="P38" s="21" t="inlineStr">
        <is>
          <t>-&gt;</t>
        </is>
      </c>
      <c r="Q38" s="19">
        <f>SUM(D38:O38)</f>
        <v/>
      </c>
    </row>
    <row r="39" ht="12" customHeight="1">
      <c r="A39" s="23" t="inlineStr">
        <is>
          <t xml:space="preserve">        % Manufacturing / sales</t>
        </is>
      </c>
      <c r="B39" s="24" t="n"/>
      <c r="C39" s="25" t="inlineStr">
        <is>
          <t>% Manufacturing / sales</t>
        </is>
      </c>
      <c r="D39" s="26">
        <f>IFERROR(D33/D5,0)</f>
        <v/>
      </c>
      <c r="E39" s="26">
        <f>IFERROR(E33/E5,0)</f>
        <v/>
      </c>
      <c r="F39" s="26">
        <f>IFERROR(F33/F5,0)</f>
        <v/>
      </c>
      <c r="G39" s="26">
        <f>IFERROR(G33/G5,0)</f>
        <v/>
      </c>
      <c r="H39" s="26">
        <f>IFERROR(H33/H5,0)</f>
        <v/>
      </c>
      <c r="I39" s="26">
        <f>IFERROR(I33/I5,0)</f>
        <v/>
      </c>
      <c r="J39" s="26">
        <f>IFERROR(J33/J5,0)</f>
        <v/>
      </c>
      <c r="K39" s="26">
        <f>IFERROR(K33/K5,0)</f>
        <v/>
      </c>
      <c r="L39" s="26">
        <f>IFERROR(L33/L5,0)</f>
        <v/>
      </c>
      <c r="M39" s="26">
        <f>IFERROR(M33/M5,0)</f>
        <v/>
      </c>
      <c r="N39" s="26">
        <f>IFERROR(N33/N5,0)</f>
        <v/>
      </c>
      <c r="O39" s="26">
        <f>IFERROR(O33/O5,0)</f>
        <v/>
      </c>
      <c r="P39" s="26" t="n"/>
      <c r="Q39" s="27">
        <f>SUM(D39:O39)</f>
        <v/>
      </c>
    </row>
    <row r="40" ht="12" customHeight="1">
      <c r="A40" s="14" t="inlineStr">
        <is>
          <t xml:space="preserve">        Logistics (% sales)</t>
        </is>
      </c>
      <c r="B40" s="15" t="n"/>
      <c r="C40" s="16" t="inlineStr">
        <is>
          <t>Logistics (% sales)</t>
        </is>
      </c>
      <c r="D40" s="17">
        <f>SUM(D41:D45)</f>
        <v/>
      </c>
      <c r="E40" s="17">
        <f>SUM(E41:E45)</f>
        <v/>
      </c>
      <c r="F40" s="17">
        <f>SUM(F41:F45)</f>
        <v/>
      </c>
      <c r="G40" s="17">
        <f>SUM(G41:G45)</f>
        <v/>
      </c>
      <c r="H40" s="17">
        <f>SUM(H41:H45)</f>
        <v/>
      </c>
      <c r="I40" s="17">
        <f>SUM(I41:I45)</f>
        <v/>
      </c>
      <c r="J40" s="17">
        <f>SUM(J41:J45)</f>
        <v/>
      </c>
      <c r="K40" s="17">
        <f>SUM(K41:K45)</f>
        <v/>
      </c>
      <c r="L40" s="17">
        <f>SUM(L41:L45)</f>
        <v/>
      </c>
      <c r="M40" s="17">
        <f>SUM(M41:M45)</f>
        <v/>
      </c>
      <c r="N40" s="17">
        <f>SUM(N41:N45)</f>
        <v/>
      </c>
      <c r="O40" s="17">
        <f>SUM(O41:O45)</f>
        <v/>
      </c>
      <c r="P40" s="18" t="inlineStr">
        <is>
          <t>-&gt;</t>
        </is>
      </c>
      <c r="Q40" s="19">
        <f>SUM(D40:O40)</f>
        <v/>
      </c>
    </row>
    <row r="41" hidden="1" outlineLevel="1" ht="12" customHeight="1">
      <c r="A41" s="20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SUMIFS('g-expenses-sl'!$F:$F,'g-expenses-sl'!$A:$A,D$1,'g-expenses-sl'!$D:$D,"logistics",'g-expenses-sl'!$E:$E,$C41)</f>
        <v/>
      </c>
      <c r="E41" s="5">
        <f>SUMIFS('g-expenses-sl'!$F:$F,'g-expenses-sl'!$A:$A,E$1,'g-expenses-sl'!$D:$D,"logistics",'g-expenses-sl'!$E:$E,$C41)</f>
        <v/>
      </c>
      <c r="F41" s="5">
        <f>SUMIFS('g-expenses-sl'!$F:$F,'g-expenses-sl'!$A:$A,F$1,'g-expenses-sl'!$D:$D,"logistics",'g-expenses-sl'!$E:$E,$C41)</f>
        <v/>
      </c>
      <c r="G41" s="5">
        <f>SUMIFS('g-expenses-sl'!$F:$F,'g-expenses-sl'!$A:$A,G$1,'g-expenses-sl'!$D:$D,"logistics",'g-expenses-sl'!$E:$E,$C41)</f>
        <v/>
      </c>
      <c r="H41" s="5">
        <f>SUMIFS('g-expenses-sl'!$F:$F,'g-expenses-sl'!$A:$A,H$1,'g-expenses-sl'!$D:$D,"logistics",'g-expenses-sl'!$E:$E,$C41)</f>
        <v/>
      </c>
      <c r="I41" s="5">
        <f>SUMIFS('g-expenses-sl'!$F:$F,'g-expenses-sl'!$A:$A,I$1,'g-expenses-sl'!$D:$D,"logistics",'g-expenses-sl'!$E:$E,$C41)</f>
        <v/>
      </c>
      <c r="J41" s="5">
        <f>SUMIFS('g-expenses-sl'!$F:$F,'g-expenses-sl'!$A:$A,J$1,'g-expenses-sl'!$D:$D,"logistics",'g-expenses-sl'!$E:$E,$C41)</f>
        <v/>
      </c>
      <c r="K41" s="5">
        <f>SUMIFS('g-expenses-sl'!$F:$F,'g-expenses-sl'!$A:$A,K$1,'g-expenses-sl'!$D:$D,"logistics",'g-expenses-sl'!$E:$E,$C41)</f>
        <v/>
      </c>
      <c r="L41" s="5">
        <f>SUMIFS('g-expenses-sl'!$F:$F,'g-expenses-sl'!$A:$A,L$1,'g-expenses-sl'!$D:$D,"logistics",'g-expenses-sl'!$E:$E,$C41)</f>
        <v/>
      </c>
      <c r="M41" s="5">
        <f>SUMIFS('g-expenses-sl'!$F:$F,'g-expenses-sl'!$A:$A,M$1,'g-expenses-sl'!$D:$D,"logistics",'g-expenses-sl'!$E:$E,$C41)</f>
        <v/>
      </c>
      <c r="N41" s="5">
        <f>SUMIFS('g-expenses-sl'!$F:$F,'g-expenses-sl'!$A:$A,N$1,'g-expenses-sl'!$D:$D,"logistics",'g-expenses-sl'!$E:$E,$C41)</f>
        <v/>
      </c>
      <c r="O41" s="5">
        <f>SUMIFS('g-expenses-sl'!$F:$F,'g-expenses-sl'!$A:$A,O$1,'g-expenses-sl'!$D:$D,"logistics",'g-expenses-sl'!$E:$E,$C41)</f>
        <v/>
      </c>
      <c r="P41" s="21" t="inlineStr">
        <is>
          <t>-&gt;</t>
        </is>
      </c>
      <c r="Q41" s="19">
        <f>SUM(D41:O41)</f>
        <v/>
      </c>
    </row>
    <row r="42" hidden="1" outlineLevel="1" ht="12" customHeight="1">
      <c r="A42" s="20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SUMIFS('g-expenses-sl'!$F:$F,'g-expenses-sl'!$A:$A,D$1,'g-expenses-sl'!$D:$D,"logistics",'g-expenses-sl'!$E:$E,$C42)</f>
        <v/>
      </c>
      <c r="E42" s="5">
        <f>SUMIFS('g-expenses-sl'!$F:$F,'g-expenses-sl'!$A:$A,E$1,'g-expenses-sl'!$D:$D,"logistics",'g-expenses-sl'!$E:$E,$C42)</f>
        <v/>
      </c>
      <c r="F42" s="5">
        <f>SUMIFS('g-expenses-sl'!$F:$F,'g-expenses-sl'!$A:$A,F$1,'g-expenses-sl'!$D:$D,"logistics",'g-expenses-sl'!$E:$E,$C42)</f>
        <v/>
      </c>
      <c r="G42" s="5">
        <f>SUMIFS('g-expenses-sl'!$F:$F,'g-expenses-sl'!$A:$A,G$1,'g-expenses-sl'!$D:$D,"logistics",'g-expenses-sl'!$E:$E,$C42)</f>
        <v/>
      </c>
      <c r="H42" s="5">
        <f>SUMIFS('g-expenses-sl'!$F:$F,'g-expenses-sl'!$A:$A,H$1,'g-expenses-sl'!$D:$D,"logistics",'g-expenses-sl'!$E:$E,$C42)</f>
        <v/>
      </c>
      <c r="I42" s="5">
        <f>SUMIFS('g-expenses-sl'!$F:$F,'g-expenses-sl'!$A:$A,I$1,'g-expenses-sl'!$D:$D,"logistics",'g-expenses-sl'!$E:$E,$C42)</f>
        <v/>
      </c>
      <c r="J42" s="5">
        <f>SUMIFS('g-expenses-sl'!$F:$F,'g-expenses-sl'!$A:$A,J$1,'g-expenses-sl'!$D:$D,"logistics",'g-expenses-sl'!$E:$E,$C42)</f>
        <v/>
      </c>
      <c r="K42" s="5">
        <f>SUMIFS('g-expenses-sl'!$F:$F,'g-expenses-sl'!$A:$A,K$1,'g-expenses-sl'!$D:$D,"logistics",'g-expenses-sl'!$E:$E,$C42)</f>
        <v/>
      </c>
      <c r="L42" s="5">
        <f>SUMIFS('g-expenses-sl'!$F:$F,'g-expenses-sl'!$A:$A,L$1,'g-expenses-sl'!$D:$D,"logistics",'g-expenses-sl'!$E:$E,$C42)</f>
        <v/>
      </c>
      <c r="M42" s="5">
        <f>SUMIFS('g-expenses-sl'!$F:$F,'g-expenses-sl'!$A:$A,M$1,'g-expenses-sl'!$D:$D,"logistics",'g-expenses-sl'!$E:$E,$C42)</f>
        <v/>
      </c>
      <c r="N42" s="5">
        <f>SUMIFS('g-expenses-sl'!$F:$F,'g-expenses-sl'!$A:$A,N$1,'g-expenses-sl'!$D:$D,"logistics",'g-expenses-sl'!$E:$E,$C42)</f>
        <v/>
      </c>
      <c r="O42" s="5">
        <f>SUMIFS('g-expenses-sl'!$F:$F,'g-expenses-sl'!$A:$A,O$1,'g-expenses-sl'!$D:$D,"logistics",'g-expenses-sl'!$E:$E,$C42)</f>
        <v/>
      </c>
      <c r="P42" s="21" t="inlineStr">
        <is>
          <t>-&gt;</t>
        </is>
      </c>
      <c r="Q42" s="19">
        <f>SUM(D42:O42)</f>
        <v/>
      </c>
    </row>
    <row r="43" hidden="1" outlineLevel="1" ht="12" customHeight="1">
      <c r="A43" s="20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SUMIFS('g-expenses-sl'!$F:$F,'g-expenses-sl'!$A:$A,D$1,'g-expenses-sl'!$D:$D,"logistics",'g-expenses-sl'!$E:$E,$C43)</f>
        <v/>
      </c>
      <c r="E43" s="5">
        <f>SUMIFS('g-expenses-sl'!$F:$F,'g-expenses-sl'!$A:$A,E$1,'g-expenses-sl'!$D:$D,"logistics",'g-expenses-sl'!$E:$E,$C43)</f>
        <v/>
      </c>
      <c r="F43" s="5">
        <f>SUMIFS('g-expenses-sl'!$F:$F,'g-expenses-sl'!$A:$A,F$1,'g-expenses-sl'!$D:$D,"logistics",'g-expenses-sl'!$E:$E,$C43)</f>
        <v/>
      </c>
      <c r="G43" s="5">
        <f>SUMIFS('g-expenses-sl'!$F:$F,'g-expenses-sl'!$A:$A,G$1,'g-expenses-sl'!$D:$D,"logistics",'g-expenses-sl'!$E:$E,$C43)</f>
        <v/>
      </c>
      <c r="H43" s="5">
        <f>SUMIFS('g-expenses-sl'!$F:$F,'g-expenses-sl'!$A:$A,H$1,'g-expenses-sl'!$D:$D,"logistics",'g-expenses-sl'!$E:$E,$C43)</f>
        <v/>
      </c>
      <c r="I43" s="5">
        <f>SUMIFS('g-expenses-sl'!$F:$F,'g-expenses-sl'!$A:$A,I$1,'g-expenses-sl'!$D:$D,"logistics",'g-expenses-sl'!$E:$E,$C43)</f>
        <v/>
      </c>
      <c r="J43" s="5">
        <f>SUMIFS('g-expenses-sl'!$F:$F,'g-expenses-sl'!$A:$A,J$1,'g-expenses-sl'!$D:$D,"logistics",'g-expenses-sl'!$E:$E,$C43)</f>
        <v/>
      </c>
      <c r="K43" s="5">
        <f>SUMIFS('g-expenses-sl'!$F:$F,'g-expenses-sl'!$A:$A,K$1,'g-expenses-sl'!$D:$D,"logistics",'g-expenses-sl'!$E:$E,$C43)</f>
        <v/>
      </c>
      <c r="L43" s="5">
        <f>SUMIFS('g-expenses-sl'!$F:$F,'g-expenses-sl'!$A:$A,L$1,'g-expenses-sl'!$D:$D,"logistics",'g-expenses-sl'!$E:$E,$C43)</f>
        <v/>
      </c>
      <c r="M43" s="5">
        <f>SUMIFS('g-expenses-sl'!$F:$F,'g-expenses-sl'!$A:$A,M$1,'g-expenses-sl'!$D:$D,"logistics",'g-expenses-sl'!$E:$E,$C43)</f>
        <v/>
      </c>
      <c r="N43" s="5">
        <f>SUMIFS('g-expenses-sl'!$F:$F,'g-expenses-sl'!$A:$A,N$1,'g-expenses-sl'!$D:$D,"logistics",'g-expenses-sl'!$E:$E,$C43)</f>
        <v/>
      </c>
      <c r="O43" s="5">
        <f>SUMIFS('g-expenses-sl'!$F:$F,'g-expenses-sl'!$A:$A,O$1,'g-expenses-sl'!$D:$D,"logistics",'g-expenses-sl'!$E:$E,$C43)</f>
        <v/>
      </c>
      <c r="P43" s="21" t="inlineStr">
        <is>
          <t>-&gt;</t>
        </is>
      </c>
      <c r="Q43" s="19">
        <f>SUM(D43:O43)</f>
        <v/>
      </c>
    </row>
    <row r="44" hidden="1" outlineLevel="1" ht="12" customHeight="1">
      <c r="A44" s="20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SUMIFS('g-expenses-sl'!$F:$F,'g-expenses-sl'!$A:$A,D$1,'g-expenses-sl'!$D:$D,"logistics",'g-expenses-sl'!$E:$E,$C44)</f>
        <v/>
      </c>
      <c r="E44" s="5">
        <f>SUMIFS('g-expenses-sl'!$F:$F,'g-expenses-sl'!$A:$A,E$1,'g-expenses-sl'!$D:$D,"logistics",'g-expenses-sl'!$E:$E,$C44)</f>
        <v/>
      </c>
      <c r="F44" s="5">
        <f>SUMIFS('g-expenses-sl'!$F:$F,'g-expenses-sl'!$A:$A,F$1,'g-expenses-sl'!$D:$D,"logistics",'g-expenses-sl'!$E:$E,$C44)</f>
        <v/>
      </c>
      <c r="G44" s="5">
        <f>SUMIFS('g-expenses-sl'!$F:$F,'g-expenses-sl'!$A:$A,G$1,'g-expenses-sl'!$D:$D,"logistics",'g-expenses-sl'!$E:$E,$C44)</f>
        <v/>
      </c>
      <c r="H44" s="5">
        <f>SUMIFS('g-expenses-sl'!$F:$F,'g-expenses-sl'!$A:$A,H$1,'g-expenses-sl'!$D:$D,"logistics",'g-expenses-sl'!$E:$E,$C44)</f>
        <v/>
      </c>
      <c r="I44" s="5">
        <f>SUMIFS('g-expenses-sl'!$F:$F,'g-expenses-sl'!$A:$A,I$1,'g-expenses-sl'!$D:$D,"logistics",'g-expenses-sl'!$E:$E,$C44)</f>
        <v/>
      </c>
      <c r="J44" s="5">
        <f>SUMIFS('g-expenses-sl'!$F:$F,'g-expenses-sl'!$A:$A,J$1,'g-expenses-sl'!$D:$D,"logistics",'g-expenses-sl'!$E:$E,$C44)</f>
        <v/>
      </c>
      <c r="K44" s="5">
        <f>SUMIFS('g-expenses-sl'!$F:$F,'g-expenses-sl'!$A:$A,K$1,'g-expenses-sl'!$D:$D,"logistics",'g-expenses-sl'!$E:$E,$C44)</f>
        <v/>
      </c>
      <c r="L44" s="5">
        <f>SUMIFS('g-expenses-sl'!$F:$F,'g-expenses-sl'!$A:$A,L$1,'g-expenses-sl'!$D:$D,"logistics",'g-expenses-sl'!$E:$E,$C44)</f>
        <v/>
      </c>
      <c r="M44" s="5">
        <f>SUMIFS('g-expenses-sl'!$F:$F,'g-expenses-sl'!$A:$A,M$1,'g-expenses-sl'!$D:$D,"logistics",'g-expenses-sl'!$E:$E,$C44)</f>
        <v/>
      </c>
      <c r="N44" s="5">
        <f>SUMIFS('g-expenses-sl'!$F:$F,'g-expenses-sl'!$A:$A,N$1,'g-expenses-sl'!$D:$D,"logistics",'g-expenses-sl'!$E:$E,$C44)</f>
        <v/>
      </c>
      <c r="O44" s="5">
        <f>SUMIFS('g-expenses-sl'!$F:$F,'g-expenses-sl'!$A:$A,O$1,'g-expenses-sl'!$D:$D,"logistics",'g-expenses-sl'!$E:$E,$C44)</f>
        <v/>
      </c>
      <c r="P44" s="21" t="inlineStr">
        <is>
          <t>-&gt;</t>
        </is>
      </c>
      <c r="Q44" s="19">
        <f>SUM(D44:O44)</f>
        <v/>
      </c>
    </row>
    <row r="45" hidden="1" outlineLevel="1" collapsed="1" ht="12" customHeight="1">
      <c r="A45" s="20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SUMIFS('g-expenses-sl'!$F:$F,'g-expenses-sl'!$A:$A,D$1,'g-expenses-sl'!$D:$D,"logistics",'g-expenses-sl'!$E:$E,$C45)</f>
        <v/>
      </c>
      <c r="E45" s="5">
        <f>SUMIFS('g-expenses-sl'!$F:$F,'g-expenses-sl'!$A:$A,E$1,'g-expenses-sl'!$D:$D,"logistics",'g-expenses-sl'!$E:$E,$C45)</f>
        <v/>
      </c>
      <c r="F45" s="5">
        <f>SUMIFS('g-expenses-sl'!$F:$F,'g-expenses-sl'!$A:$A,F$1,'g-expenses-sl'!$D:$D,"logistics",'g-expenses-sl'!$E:$E,$C45)</f>
        <v/>
      </c>
      <c r="G45" s="5">
        <f>SUMIFS('g-expenses-sl'!$F:$F,'g-expenses-sl'!$A:$A,G$1,'g-expenses-sl'!$D:$D,"logistics",'g-expenses-sl'!$E:$E,$C45)</f>
        <v/>
      </c>
      <c r="H45" s="5">
        <f>SUMIFS('g-expenses-sl'!$F:$F,'g-expenses-sl'!$A:$A,H$1,'g-expenses-sl'!$D:$D,"logistics",'g-expenses-sl'!$E:$E,$C45)</f>
        <v/>
      </c>
      <c r="I45" s="5">
        <f>SUMIFS('g-expenses-sl'!$F:$F,'g-expenses-sl'!$A:$A,I$1,'g-expenses-sl'!$D:$D,"logistics",'g-expenses-sl'!$E:$E,$C45)</f>
        <v/>
      </c>
      <c r="J45" s="5">
        <f>SUMIFS('g-expenses-sl'!$F:$F,'g-expenses-sl'!$A:$A,J$1,'g-expenses-sl'!$D:$D,"logistics",'g-expenses-sl'!$E:$E,$C45)</f>
        <v/>
      </c>
      <c r="K45" s="5">
        <f>SUMIFS('g-expenses-sl'!$F:$F,'g-expenses-sl'!$A:$A,K$1,'g-expenses-sl'!$D:$D,"logistics",'g-expenses-sl'!$E:$E,$C45)</f>
        <v/>
      </c>
      <c r="L45" s="5">
        <f>SUMIFS('g-expenses-sl'!$F:$F,'g-expenses-sl'!$A:$A,L$1,'g-expenses-sl'!$D:$D,"logistics",'g-expenses-sl'!$E:$E,$C45)</f>
        <v/>
      </c>
      <c r="M45" s="5">
        <f>SUMIFS('g-expenses-sl'!$F:$F,'g-expenses-sl'!$A:$A,M$1,'g-expenses-sl'!$D:$D,"logistics",'g-expenses-sl'!$E:$E,$C45)</f>
        <v/>
      </c>
      <c r="N45" s="5">
        <f>SUMIFS('g-expenses-sl'!$F:$F,'g-expenses-sl'!$A:$A,N$1,'g-expenses-sl'!$D:$D,"logistics",'g-expenses-sl'!$E:$E,$C45)</f>
        <v/>
      </c>
      <c r="O45" s="5">
        <f>SUMIFS('g-expenses-sl'!$F:$F,'g-expenses-sl'!$A:$A,O$1,'g-expenses-sl'!$D:$D,"logistics",'g-expenses-sl'!$E:$E,$C45)</f>
        <v/>
      </c>
      <c r="P45" s="21" t="inlineStr">
        <is>
          <t>-&gt;</t>
        </is>
      </c>
      <c r="Q45" s="19">
        <f>SUM(D45:O45)</f>
        <v/>
      </c>
    </row>
    <row r="46" ht="12" customHeight="1">
      <c r="A46" s="23" t="inlineStr">
        <is>
          <t xml:space="preserve">        % Logistics / sales</t>
        </is>
      </c>
      <c r="B46" s="24" t="n"/>
      <c r="C46" s="25" t="inlineStr">
        <is>
          <t>% Logistics / sales</t>
        </is>
      </c>
      <c r="D46" s="26">
        <f>IFERROR(D40/D5,0)</f>
        <v/>
      </c>
      <c r="E46" s="26">
        <f>IFERROR(E40/E5,0)</f>
        <v/>
      </c>
      <c r="F46" s="26">
        <f>IFERROR(F40/F5,0)</f>
        <v/>
      </c>
      <c r="G46" s="26">
        <f>IFERROR(G40/G5,0)</f>
        <v/>
      </c>
      <c r="H46" s="26">
        <f>IFERROR(H40/H5,0)</f>
        <v/>
      </c>
      <c r="I46" s="26">
        <f>IFERROR(I40/I5,0)</f>
        <v/>
      </c>
      <c r="J46" s="26">
        <f>IFERROR(J40/J5,0)</f>
        <v/>
      </c>
      <c r="K46" s="26">
        <f>IFERROR(K40/K5,0)</f>
        <v/>
      </c>
      <c r="L46" s="26">
        <f>IFERROR(L40/L5,0)</f>
        <v/>
      </c>
      <c r="M46" s="26">
        <f>IFERROR(M40/M5,0)</f>
        <v/>
      </c>
      <c r="N46" s="26">
        <f>IFERROR(N40/N5,0)</f>
        <v/>
      </c>
      <c r="O46" s="26">
        <f>IFERROR(O40/O5,0)</f>
        <v/>
      </c>
      <c r="P46" s="26" t="n"/>
      <c r="Q46" s="27">
        <f>SUM(D46:O46)</f>
        <v/>
      </c>
    </row>
    <row r="47" ht="12" customHeight="1">
      <c r="A47" s="14" t="inlineStr">
        <is>
          <t xml:space="preserve">        Royalties (% sales)</t>
        </is>
      </c>
      <c r="B47" s="15" t="n"/>
      <c r="C47" s="16" t="inlineStr">
        <is>
          <t>Royalties (% sales)</t>
        </is>
      </c>
      <c r="D47" s="17">
        <f>D48</f>
        <v/>
      </c>
      <c r="E47" s="17">
        <f>E48</f>
        <v/>
      </c>
      <c r="F47" s="17">
        <f>F48</f>
        <v/>
      </c>
      <c r="G47" s="17">
        <f>G48</f>
        <v/>
      </c>
      <c r="H47" s="17">
        <f>H48</f>
        <v/>
      </c>
      <c r="I47" s="17">
        <f>I48</f>
        <v/>
      </c>
      <c r="J47" s="17">
        <f>J48</f>
        <v/>
      </c>
      <c r="K47" s="17">
        <f>K48</f>
        <v/>
      </c>
      <c r="L47" s="17">
        <f>L48</f>
        <v/>
      </c>
      <c r="M47" s="17">
        <f>M48</f>
        <v/>
      </c>
      <c r="N47" s="17">
        <f>N48</f>
        <v/>
      </c>
      <c r="O47" s="17">
        <f>O48</f>
        <v/>
      </c>
      <c r="P47" s="18" t="inlineStr">
        <is>
          <t>-&gt;</t>
        </is>
      </c>
      <c r="Q47" s="19">
        <f>SUM(D47:O47)</f>
        <v/>
      </c>
    </row>
    <row r="48" hidden="1" outlineLevel="1" collapsed="1" ht="12" customHeight="1">
      <c r="A48" s="20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SUMIFS('g-expenses-sl'!$F:$F,'g-expenses-sl'!$A:$A,D$1,'g-expenses-sl'!$D:$D,"royalties",'g-expenses-sl'!$E:$E,$C48)</f>
        <v/>
      </c>
      <c r="E48" s="5">
        <f>SUMIFS('g-expenses-sl'!$F:$F,'g-expenses-sl'!$A:$A,E$1,'g-expenses-sl'!$D:$D,"royalties",'g-expenses-sl'!$E:$E,$C48)</f>
        <v/>
      </c>
      <c r="F48" s="5">
        <f>SUMIFS('g-expenses-sl'!$F:$F,'g-expenses-sl'!$A:$A,F$1,'g-expenses-sl'!$D:$D,"royalties",'g-expenses-sl'!$E:$E,$C48)</f>
        <v/>
      </c>
      <c r="G48" s="5">
        <f>SUMIFS('g-expenses-sl'!$F:$F,'g-expenses-sl'!$A:$A,G$1,'g-expenses-sl'!$D:$D,"royalties",'g-expenses-sl'!$E:$E,$C48)</f>
        <v/>
      </c>
      <c r="H48" s="5">
        <f>SUMIFS('g-expenses-sl'!$F:$F,'g-expenses-sl'!$A:$A,H$1,'g-expenses-sl'!$D:$D,"royalties",'g-expenses-sl'!$E:$E,$C48)</f>
        <v/>
      </c>
      <c r="I48" s="5">
        <f>SUMIFS('g-expenses-sl'!$F:$F,'g-expenses-sl'!$A:$A,I$1,'g-expenses-sl'!$D:$D,"royalties",'g-expenses-sl'!$E:$E,$C48)</f>
        <v/>
      </c>
      <c r="J48" s="5">
        <f>SUMIFS('g-expenses-sl'!$F:$F,'g-expenses-sl'!$A:$A,J$1,'g-expenses-sl'!$D:$D,"royalties",'g-expenses-sl'!$E:$E,$C48)</f>
        <v/>
      </c>
      <c r="K48" s="5">
        <f>SUMIFS('g-expenses-sl'!$F:$F,'g-expenses-sl'!$A:$A,K$1,'g-expenses-sl'!$D:$D,"royalties",'g-expenses-sl'!$E:$E,$C48)</f>
        <v/>
      </c>
      <c r="L48" s="5">
        <f>SUMIFS('g-expenses-sl'!$F:$F,'g-expenses-sl'!$A:$A,L$1,'g-expenses-sl'!$D:$D,"royalties",'g-expenses-sl'!$E:$E,$C48)</f>
        <v/>
      </c>
      <c r="M48" s="5">
        <f>SUMIFS('g-expenses-sl'!$F:$F,'g-expenses-sl'!$A:$A,M$1,'g-expenses-sl'!$D:$D,"royalties",'g-expenses-sl'!$E:$E,$C48)</f>
        <v/>
      </c>
      <c r="N48" s="5">
        <f>SUMIFS('g-expenses-sl'!$F:$F,'g-expenses-sl'!$A:$A,N$1,'g-expenses-sl'!$D:$D,"royalties",'g-expenses-sl'!$E:$E,$C48)</f>
        <v/>
      </c>
      <c r="O48" s="5">
        <f>SUMIFS('g-expenses-sl'!$F:$F,'g-expenses-sl'!$A:$A,O$1,'g-expenses-sl'!$D:$D,"royalties",'g-expenses-sl'!$E:$E,$C48)</f>
        <v/>
      </c>
      <c r="P48" s="21" t="inlineStr">
        <is>
          <t>-&gt;</t>
        </is>
      </c>
      <c r="Q48" s="19">
        <f>SUM(D48:O48)</f>
        <v/>
      </c>
    </row>
    <row r="49" ht="12" customHeight="1">
      <c r="A49" s="23" t="inlineStr">
        <is>
          <t xml:space="preserve">        % Royalties / sales</t>
        </is>
      </c>
      <c r="B49" s="24" t="n"/>
      <c r="C49" s="25" t="inlineStr">
        <is>
          <t>% Royalties / sales</t>
        </is>
      </c>
      <c r="D49" s="26">
        <f>IFERROR(D47/D5,0)</f>
        <v/>
      </c>
      <c r="E49" s="26">
        <f>IFERROR(E47/E5,0)</f>
        <v/>
      </c>
      <c r="F49" s="26">
        <f>IFERROR(F47/F5,0)</f>
        <v/>
      </c>
      <c r="G49" s="26">
        <f>IFERROR(G47/G5,0)</f>
        <v/>
      </c>
      <c r="H49" s="26">
        <f>IFERROR(H47/H5,0)</f>
        <v/>
      </c>
      <c r="I49" s="26">
        <f>IFERROR(I47/I5,0)</f>
        <v/>
      </c>
      <c r="J49" s="26">
        <f>IFERROR(J47/J5,0)</f>
        <v/>
      </c>
      <c r="K49" s="26">
        <f>IFERROR(K47/K5,0)</f>
        <v/>
      </c>
      <c r="L49" s="26">
        <f>IFERROR(L47/L5,0)</f>
        <v/>
      </c>
      <c r="M49" s="26">
        <f>IFERROR(M47/M5,0)</f>
        <v/>
      </c>
      <c r="N49" s="26">
        <f>IFERROR(N47/N5,0)</f>
        <v/>
      </c>
      <c r="O49" s="26">
        <f>IFERROR(O47/O5,0)</f>
        <v/>
      </c>
      <c r="P49" s="26" t="n"/>
      <c r="Q49" s="27">
        <f>SUM(D49:O49)</f>
        <v/>
      </c>
    </row>
    <row r="50" ht="12" customHeight="1">
      <c r="A50" s="14" t="inlineStr">
        <is>
          <t xml:space="preserve">        Payment fees (% sales)</t>
        </is>
      </c>
      <c r="B50" s="15" t="n"/>
      <c r="C50" s="16" t="inlineStr">
        <is>
          <t>Payment fees (% sales)</t>
        </is>
      </c>
      <c r="D50" s="17">
        <f>SUM(D51:D52)</f>
        <v/>
      </c>
      <c r="E50" s="17">
        <f>SUM(E51:E52)</f>
        <v/>
      </c>
      <c r="F50" s="17">
        <f>SUM(F51:F52)</f>
        <v/>
      </c>
      <c r="G50" s="17">
        <f>SUM(G51:G52)</f>
        <v/>
      </c>
      <c r="H50" s="17">
        <f>SUM(H51:H52)</f>
        <v/>
      </c>
      <c r="I50" s="17">
        <f>SUM(I51:I52)</f>
        <v/>
      </c>
      <c r="J50" s="17">
        <f>SUM(J51:J52)</f>
        <v/>
      </c>
      <c r="K50" s="17">
        <f>SUM(K51:K52)</f>
        <v/>
      </c>
      <c r="L50" s="17">
        <f>SUM(L51:L52)</f>
        <v/>
      </c>
      <c r="M50" s="17">
        <f>SUM(M51:M52)</f>
        <v/>
      </c>
      <c r="N50" s="17">
        <f>SUM(N51:N52)</f>
        <v/>
      </c>
      <c r="O50" s="17">
        <f>SUM(O51:O52)</f>
        <v/>
      </c>
      <c r="P50" s="18" t="inlineStr">
        <is>
          <t>-&gt;</t>
        </is>
      </c>
      <c r="Q50" s="19">
        <f>SUM(D50:O50)</f>
        <v/>
      </c>
    </row>
    <row r="51" hidden="1" outlineLevel="1" ht="12" customHeight="1">
      <c r="A51" s="20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1" t="inlineStr">
        <is>
          <t>-&gt;</t>
        </is>
      </c>
      <c r="Q51" s="19">
        <f>SUM(D51:O51)</f>
        <v/>
      </c>
    </row>
    <row r="52" hidden="1" outlineLevel="1" collapsed="1" ht="12" customHeight="1">
      <c r="A52" s="20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1" t="inlineStr">
        <is>
          <t>-&gt;</t>
        </is>
      </c>
      <c r="Q52" s="19">
        <f>SUM(D52:O52)</f>
        <v/>
      </c>
    </row>
    <row r="53" ht="12" customHeight="1">
      <c r="A53" s="23" t="inlineStr">
        <is>
          <t xml:space="preserve">        % Payment fees / sales</t>
        </is>
      </c>
      <c r="B53" s="24" t="n"/>
      <c r="C53" s="25" t="inlineStr">
        <is>
          <t>% Payment fees / sales</t>
        </is>
      </c>
      <c r="D53" s="26">
        <f>IFERROR(D50/D5,0)</f>
        <v/>
      </c>
      <c r="E53" s="26">
        <f>IFERROR(E50/E5,0)</f>
        <v/>
      </c>
      <c r="F53" s="26">
        <f>IFERROR(F50/F5,0)</f>
        <v/>
      </c>
      <c r="G53" s="26">
        <f>IFERROR(G50/G5,0)</f>
        <v/>
      </c>
      <c r="H53" s="26">
        <f>IFERROR(H50/H5,0)</f>
        <v/>
      </c>
      <c r="I53" s="26">
        <f>IFERROR(I50/I5,0)</f>
        <v/>
      </c>
      <c r="J53" s="26">
        <f>IFERROR(J50/J5,0)</f>
        <v/>
      </c>
      <c r="K53" s="26">
        <f>IFERROR(K50/K5,0)</f>
        <v/>
      </c>
      <c r="L53" s="26">
        <f>IFERROR(L50/L5,0)</f>
        <v/>
      </c>
      <c r="M53" s="26">
        <f>IFERROR(M50/M5,0)</f>
        <v/>
      </c>
      <c r="N53" s="26">
        <f>IFERROR(N50/N5,0)</f>
        <v/>
      </c>
      <c r="O53" s="26">
        <f>IFERROR(O50/O5,0)</f>
        <v/>
      </c>
      <c r="P53" s="26" t="n"/>
      <c r="Q53" s="27">
        <f>SUM(D53:O53)</f>
        <v/>
      </c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19">
        <f>SUM(D54:O54)</f>
        <v/>
      </c>
    </row>
    <row r="55" ht="12" customHeight="1">
      <c r="A55" s="28" t="inlineStr">
        <is>
          <t>GROSS MARGIN (SALES-MANUFACTURING)</t>
        </is>
      </c>
      <c r="B55" s="29" t="n"/>
      <c r="C55" s="29" t="n"/>
      <c r="D55" s="30">
        <f>D5-D33</f>
        <v/>
      </c>
      <c r="E55" s="30">
        <f>E5-E33</f>
        <v/>
      </c>
      <c r="F55" s="30">
        <f>F5-F33</f>
        <v/>
      </c>
      <c r="G55" s="30">
        <f>G5-G33</f>
        <v/>
      </c>
      <c r="H55" s="30">
        <f>H5-H33</f>
        <v/>
      </c>
      <c r="I55" s="30">
        <f>I5-I33</f>
        <v/>
      </c>
      <c r="J55" s="30">
        <f>J5-J33</f>
        <v/>
      </c>
      <c r="K55" s="30">
        <f>K5-K33</f>
        <v/>
      </c>
      <c r="L55" s="30">
        <f>L5-L33</f>
        <v/>
      </c>
      <c r="M55" s="30">
        <f>M5-M33</f>
        <v/>
      </c>
      <c r="N55" s="30">
        <f>N5-N33</f>
        <v/>
      </c>
      <c r="O55" s="30">
        <f>O5-O33</f>
        <v/>
      </c>
      <c r="P55" s="30" t="n"/>
      <c r="Q55" s="9">
        <f>SUM(D55:O55)</f>
        <v/>
      </c>
    </row>
    <row r="56" ht="12" customHeight="1">
      <c r="A56" s="31" t="inlineStr">
        <is>
          <t xml:space="preserve">        % GROSS MARGIN</t>
        </is>
      </c>
      <c r="B56" s="32" t="n"/>
      <c r="C56" s="32" t="n"/>
      <c r="D56" s="33">
        <f>IFERROR(D55/D5,0)</f>
        <v/>
      </c>
      <c r="E56" s="33">
        <f>IFERROR(E55/E5,0)</f>
        <v/>
      </c>
      <c r="F56" s="33">
        <f>IFERROR(F55/F5,0)</f>
        <v/>
      </c>
      <c r="G56" s="33">
        <f>IFERROR(G55/G5,0)</f>
        <v/>
      </c>
      <c r="H56" s="33">
        <f>IFERROR(H55/H5,0)</f>
        <v/>
      </c>
      <c r="I56" s="33">
        <f>IFERROR(I55/I5,0)</f>
        <v/>
      </c>
      <c r="J56" s="33">
        <f>IFERROR(J55/J5,0)</f>
        <v/>
      </c>
      <c r="K56" s="33">
        <f>IFERROR(K55/K5,0)</f>
        <v/>
      </c>
      <c r="L56" s="33">
        <f>IFERROR(L55/L5,0)</f>
        <v/>
      </c>
      <c r="M56" s="33">
        <f>IFERROR(M55/M5,0)</f>
        <v/>
      </c>
      <c r="N56" s="33">
        <f>IFERROR(N55/N5,0)</f>
        <v/>
      </c>
      <c r="O56" s="33">
        <f>IFERROR(O55/O5,0)</f>
        <v/>
      </c>
      <c r="P56" s="33" t="n"/>
      <c r="Q56" s="27">
        <f>SUM(D56:O56)</f>
        <v/>
      </c>
    </row>
    <row r="57" ht="12" customHeight="1">
      <c r="A57" s="28" t="inlineStr">
        <is>
          <t>CONTRIBUTIVE MARGIN (TURNOVER-COGS)</t>
        </is>
      </c>
      <c r="B57" s="29" t="n"/>
      <c r="C57" s="29" t="n"/>
      <c r="D57" s="30">
        <f>D4-D32</f>
        <v/>
      </c>
      <c r="E57" s="30">
        <f>E4-E32</f>
        <v/>
      </c>
      <c r="F57" s="30">
        <f>F4-F32</f>
        <v/>
      </c>
      <c r="G57" s="30">
        <f>G4-G32</f>
        <v/>
      </c>
      <c r="H57" s="30">
        <f>H4-H32</f>
        <v/>
      </c>
      <c r="I57" s="30">
        <f>I4-I32</f>
        <v/>
      </c>
      <c r="J57" s="30">
        <f>J4-J32</f>
        <v/>
      </c>
      <c r="K57" s="30">
        <f>K4-K32</f>
        <v/>
      </c>
      <c r="L57" s="30">
        <f>L4-L32</f>
        <v/>
      </c>
      <c r="M57" s="30">
        <f>M4-M32</f>
        <v/>
      </c>
      <c r="N57" s="30">
        <f>N4-N32</f>
        <v/>
      </c>
      <c r="O57" s="30">
        <f>O4-O32</f>
        <v/>
      </c>
      <c r="P57" s="30" t="n"/>
      <c r="Q57" s="9">
        <f>SUM(D57:O57)</f>
        <v/>
      </c>
    </row>
    <row r="58" ht="12" customHeight="1">
      <c r="A58" s="31" t="inlineStr">
        <is>
          <t xml:space="preserve">        % CONTRIBUTIVE MARGIN</t>
        </is>
      </c>
      <c r="B58" s="32" t="n"/>
      <c r="C58" s="32" t="n"/>
      <c r="D58" s="33">
        <f>IFERROR(D57/D4,0)</f>
        <v/>
      </c>
      <c r="E58" s="33">
        <f>IFERROR(E57/E4,0)</f>
        <v/>
      </c>
      <c r="F58" s="33">
        <f>IFERROR(F57/F4,0)</f>
        <v/>
      </c>
      <c r="G58" s="33">
        <f>IFERROR(G57/G4,0)</f>
        <v/>
      </c>
      <c r="H58" s="33">
        <f>IFERROR(H57/H4,0)</f>
        <v/>
      </c>
      <c r="I58" s="33">
        <f>IFERROR(I57/I4,0)</f>
        <v/>
      </c>
      <c r="J58" s="33">
        <f>IFERROR(J57/J4,0)</f>
        <v/>
      </c>
      <c r="K58" s="33">
        <f>IFERROR(K57/K4,0)</f>
        <v/>
      </c>
      <c r="L58" s="33">
        <f>IFERROR(L57/L4,0)</f>
        <v/>
      </c>
      <c r="M58" s="33">
        <f>IFERROR(M57/M4,0)</f>
        <v/>
      </c>
      <c r="N58" s="33">
        <f>IFERROR(N57/N4,0)</f>
        <v/>
      </c>
      <c r="O58" s="33">
        <f>IFERROR(O57/O4,0)</f>
        <v/>
      </c>
      <c r="P58" s="33" t="n"/>
      <c r="Q58" s="27">
        <f>SUM(D58:O58)</f>
        <v/>
      </c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19">
        <f>SUM(D59:O59)</f>
        <v/>
      </c>
    </row>
    <row r="60" ht="12" customHeight="1">
      <c r="A60" s="10" t="inlineStr">
        <is>
          <t xml:space="preserve">    Opex</t>
        </is>
      </c>
      <c r="B60" s="11" t="inlineStr">
        <is>
          <t>Opex</t>
        </is>
      </c>
      <c r="C60" s="12" t="n"/>
      <c r="D60" s="13">
        <f>D61+D65+D68+D74</f>
        <v/>
      </c>
      <c r="E60" s="13">
        <f>E61+E65+E68+E74</f>
        <v/>
      </c>
      <c r="F60" s="13">
        <f>F61+F65+F68+F74</f>
        <v/>
      </c>
      <c r="G60" s="13">
        <f>G61+G65+G68+G74</f>
        <v/>
      </c>
      <c r="H60" s="13">
        <f>H61+H65+H68+H74</f>
        <v/>
      </c>
      <c r="I60" s="13">
        <f>I61+I65+I68+I74</f>
        <v/>
      </c>
      <c r="J60" s="13">
        <f>J61+J65+J68+J74</f>
        <v/>
      </c>
      <c r="K60" s="13">
        <f>K61+K65+K68+K74</f>
        <v/>
      </c>
      <c r="L60" s="13">
        <f>L61+L65+L68+L74</f>
        <v/>
      </c>
      <c r="M60" s="13">
        <f>M61+M65+M68+M74</f>
        <v/>
      </c>
      <c r="N60" s="13">
        <f>N61+N65+N68+N74</f>
        <v/>
      </c>
      <c r="O60" s="13">
        <f>O61+O65+O68+O74</f>
        <v/>
      </c>
      <c r="P60" s="13" t="n"/>
      <c r="Q60" s="9">
        <f>SUM(D60:O60)</f>
        <v/>
      </c>
    </row>
    <row r="61" ht="12" customHeight="1">
      <c r="A61" s="14" t="inlineStr">
        <is>
          <t xml:space="preserve">        Marketing</t>
        </is>
      </c>
      <c r="B61" s="15" t="n"/>
      <c r="C61" s="16" t="inlineStr">
        <is>
          <t>Marketing</t>
        </is>
      </c>
      <c r="D61" s="17">
        <f>SUM(D62:D63)</f>
        <v/>
      </c>
      <c r="E61" s="17">
        <f>SUM(E62:E63)</f>
        <v/>
      </c>
      <c r="F61" s="17">
        <f>SUM(F62:F63)</f>
        <v/>
      </c>
      <c r="G61" s="17">
        <f>SUM(G62:G63)</f>
        <v/>
      </c>
      <c r="H61" s="17">
        <f>SUM(H62:H63)</f>
        <v/>
      </c>
      <c r="I61" s="17">
        <f>SUM(I62:I63)</f>
        <v/>
      </c>
      <c r="J61" s="17">
        <f>SUM(J62:J63)</f>
        <v/>
      </c>
      <c r="K61" s="17">
        <f>SUM(K62:K63)</f>
        <v/>
      </c>
      <c r="L61" s="17">
        <f>SUM(L62:L63)</f>
        <v/>
      </c>
      <c r="M61" s="17">
        <f>SUM(M62:M63)</f>
        <v/>
      </c>
      <c r="N61" s="17">
        <f>SUM(N62:N63)</f>
        <v/>
      </c>
      <c r="O61" s="17">
        <f>SUM(O62:O63)</f>
        <v/>
      </c>
      <c r="P61" s="18" t="inlineStr">
        <is>
          <t>-&gt;</t>
        </is>
      </c>
      <c r="Q61" s="19">
        <f>SUM(D61:O61)</f>
        <v/>
      </c>
    </row>
    <row r="62" hidden="1" outlineLevel="1" ht="12" customHeight="1">
      <c r="A62" s="20" t="inlineStr">
        <is>
          <t xml:space="preserve">            METAADS</t>
        </is>
      </c>
      <c r="B62" s="4" t="n"/>
      <c r="C62" s="4" t="inlineStr">
        <is>
          <t>METAADS</t>
        </is>
      </c>
      <c r="D62" s="5">
        <f>SUMIFS('g-expenses-sl'!$F:$F,'g-expenses-sl'!$A:$A,D$1,'g-expenses-sl'!$D:$D,"marketing",'g-expenses-sl'!$E:$E,$C62)</f>
        <v/>
      </c>
      <c r="E62" s="5">
        <f>SUMIFS('g-expenses-sl'!$F:$F,'g-expenses-sl'!$A:$A,E$1,'g-expenses-sl'!$D:$D,"marketing",'g-expenses-sl'!$E:$E,$C62)</f>
        <v/>
      </c>
      <c r="F62" s="5">
        <f>SUMIFS('g-expenses-sl'!$F:$F,'g-expenses-sl'!$A:$A,F$1,'g-expenses-sl'!$D:$D,"marketing",'g-expenses-sl'!$E:$E,$C62)</f>
        <v/>
      </c>
      <c r="G62" s="5">
        <f>SUMIFS('g-expenses-sl'!$F:$F,'g-expenses-sl'!$A:$A,G$1,'g-expenses-sl'!$D:$D,"marketing",'g-expenses-sl'!$E:$E,$C62)</f>
        <v/>
      </c>
      <c r="H62" s="5">
        <f>SUMIFS('g-expenses-sl'!$F:$F,'g-expenses-sl'!$A:$A,H$1,'g-expenses-sl'!$D:$D,"marketing",'g-expenses-sl'!$E:$E,$C62)</f>
        <v/>
      </c>
      <c r="I62" s="5">
        <f>SUMIFS('g-expenses-sl'!$F:$F,'g-expenses-sl'!$A:$A,I$1,'g-expenses-sl'!$D:$D,"marketing",'g-expenses-sl'!$E:$E,$C62)</f>
        <v/>
      </c>
      <c r="J62" s="5">
        <f>SUMIFS('g-expenses-sl'!$F:$F,'g-expenses-sl'!$A:$A,J$1,'g-expenses-sl'!$D:$D,"marketing",'g-expenses-sl'!$E:$E,$C62)</f>
        <v/>
      </c>
      <c r="K62" s="5">
        <f>SUMIFS('g-expenses-sl'!$F:$F,'g-expenses-sl'!$A:$A,K$1,'g-expenses-sl'!$D:$D,"marketing",'g-expenses-sl'!$E:$E,$C62)</f>
        <v/>
      </c>
      <c r="L62" s="5">
        <f>SUMIFS('g-expenses-sl'!$F:$F,'g-expenses-sl'!$A:$A,L$1,'g-expenses-sl'!$D:$D,"marketing",'g-expenses-sl'!$E:$E,$C62)</f>
        <v/>
      </c>
      <c r="M62" s="5">
        <f>SUMIFS('g-expenses-sl'!$F:$F,'g-expenses-sl'!$A:$A,M$1,'g-expenses-sl'!$D:$D,"marketing",'g-expenses-sl'!$E:$E,$C62)</f>
        <v/>
      </c>
      <c r="N62" s="5">
        <f>SUMIFS('g-expenses-sl'!$F:$F,'g-expenses-sl'!$A:$A,N$1,'g-expenses-sl'!$D:$D,"marketing",'g-expenses-sl'!$E:$E,$C62)</f>
        <v/>
      </c>
      <c r="O62" s="5">
        <f>SUMIFS('g-expenses-sl'!$F:$F,'g-expenses-sl'!$A:$A,O$1,'g-expenses-sl'!$D:$D,"marketing",'g-expenses-sl'!$E:$E,$C62)</f>
        <v/>
      </c>
      <c r="P62" s="21" t="inlineStr">
        <is>
          <t>-&gt;</t>
        </is>
      </c>
      <c r="Q62" s="19">
        <f>SUM(D62:O62)</f>
        <v/>
      </c>
    </row>
    <row r="63" hidden="1" outlineLevel="1" collapsed="1" ht="12" customHeight="1">
      <c r="A63" s="20" t="inlineStr">
        <is>
          <t xml:space="preserve">            GOOGLEADS</t>
        </is>
      </c>
      <c r="B63" s="4" t="n"/>
      <c r="C63" s="4" t="inlineStr">
        <is>
          <t>GOOGLEADS</t>
        </is>
      </c>
      <c r="D63" s="5">
        <f>SUMIFS('g-expenses-sl'!$F:$F,'g-expenses-sl'!$A:$A,D$1,'g-expenses-sl'!$D:$D,"marketing",'g-expenses-sl'!$E:$E,$C63)</f>
        <v/>
      </c>
      <c r="E63" s="5">
        <f>SUMIFS('g-expenses-sl'!$F:$F,'g-expenses-sl'!$A:$A,E$1,'g-expenses-sl'!$D:$D,"marketing",'g-expenses-sl'!$E:$E,$C63)</f>
        <v/>
      </c>
      <c r="F63" s="5">
        <f>SUMIFS('g-expenses-sl'!$F:$F,'g-expenses-sl'!$A:$A,F$1,'g-expenses-sl'!$D:$D,"marketing",'g-expenses-sl'!$E:$E,$C63)</f>
        <v/>
      </c>
      <c r="G63" s="5">
        <f>SUMIFS('g-expenses-sl'!$F:$F,'g-expenses-sl'!$A:$A,G$1,'g-expenses-sl'!$D:$D,"marketing",'g-expenses-sl'!$E:$E,$C63)</f>
        <v/>
      </c>
      <c r="H63" s="5">
        <f>SUMIFS('g-expenses-sl'!$F:$F,'g-expenses-sl'!$A:$A,H$1,'g-expenses-sl'!$D:$D,"marketing",'g-expenses-sl'!$E:$E,$C63)</f>
        <v/>
      </c>
      <c r="I63" s="5">
        <f>SUMIFS('g-expenses-sl'!$F:$F,'g-expenses-sl'!$A:$A,I$1,'g-expenses-sl'!$D:$D,"marketing",'g-expenses-sl'!$E:$E,$C63)</f>
        <v/>
      </c>
      <c r="J63" s="5">
        <f>SUMIFS('g-expenses-sl'!$F:$F,'g-expenses-sl'!$A:$A,J$1,'g-expenses-sl'!$D:$D,"marketing",'g-expenses-sl'!$E:$E,$C63)</f>
        <v/>
      </c>
      <c r="K63" s="5">
        <f>SUMIFS('g-expenses-sl'!$F:$F,'g-expenses-sl'!$A:$A,K$1,'g-expenses-sl'!$D:$D,"marketing",'g-expenses-sl'!$E:$E,$C63)</f>
        <v/>
      </c>
      <c r="L63" s="5">
        <f>SUMIFS('g-expenses-sl'!$F:$F,'g-expenses-sl'!$A:$A,L$1,'g-expenses-sl'!$D:$D,"marketing",'g-expenses-sl'!$E:$E,$C63)</f>
        <v/>
      </c>
      <c r="M63" s="5">
        <f>SUMIFS('g-expenses-sl'!$F:$F,'g-expenses-sl'!$A:$A,M$1,'g-expenses-sl'!$D:$D,"marketing",'g-expenses-sl'!$E:$E,$C63)</f>
        <v/>
      </c>
      <c r="N63" s="5">
        <f>SUMIFS('g-expenses-sl'!$F:$F,'g-expenses-sl'!$A:$A,N$1,'g-expenses-sl'!$D:$D,"marketing",'g-expenses-sl'!$E:$E,$C63)</f>
        <v/>
      </c>
      <c r="O63" s="5">
        <f>SUMIFS('g-expenses-sl'!$F:$F,'g-expenses-sl'!$A:$A,O$1,'g-expenses-sl'!$D:$D,"marketing",'g-expenses-sl'!$E:$E,$C63)</f>
        <v/>
      </c>
      <c r="P63" s="21" t="inlineStr">
        <is>
          <t>-&gt;</t>
        </is>
      </c>
      <c r="Q63" s="19">
        <f>SUM(D63:O63)</f>
        <v/>
      </c>
    </row>
    <row r="64" ht="12" customHeight="1">
      <c r="A64" s="23" t="inlineStr">
        <is>
          <t xml:space="preserve">        % Marketing / sales</t>
        </is>
      </c>
      <c r="B64" s="24" t="n"/>
      <c r="C64" s="25" t="inlineStr">
        <is>
          <t>% Marketing / sales</t>
        </is>
      </c>
      <c r="D64" s="26">
        <f>IFERROR(D61/D6,0)</f>
        <v/>
      </c>
      <c r="E64" s="26">
        <f>IFERROR(E61/E6,0)</f>
        <v/>
      </c>
      <c r="F64" s="26">
        <f>IFERROR(F61/F6,0)</f>
        <v/>
      </c>
      <c r="G64" s="26">
        <f>IFERROR(G61/G6,0)</f>
        <v/>
      </c>
      <c r="H64" s="26">
        <f>IFERROR(H61/H6,0)</f>
        <v/>
      </c>
      <c r="I64" s="26">
        <f>IFERROR(I61/I6,0)</f>
        <v/>
      </c>
      <c r="J64" s="26">
        <f>IFERROR(J61/J6,0)</f>
        <v/>
      </c>
      <c r="K64" s="26">
        <f>IFERROR(K61/K6,0)</f>
        <v/>
      </c>
      <c r="L64" s="26">
        <f>IFERROR(L61/L6,0)</f>
        <v/>
      </c>
      <c r="M64" s="26">
        <f>IFERROR(M61/M6,0)</f>
        <v/>
      </c>
      <c r="N64" s="26">
        <f>IFERROR(N61/N6,0)</f>
        <v/>
      </c>
      <c r="O64" s="26">
        <f>IFERROR(O61/O6,0)</f>
        <v/>
      </c>
      <c r="P64" s="26" t="n"/>
      <c r="Q64" s="27">
        <f>SUM(D64:O64)</f>
        <v/>
      </c>
    </row>
    <row r="65" ht="12" customHeight="1">
      <c r="A65" s="14" t="inlineStr">
        <is>
          <t xml:space="preserve">        Staff</t>
        </is>
      </c>
      <c r="B65" s="15" t="n"/>
      <c r="C65" s="16" t="inlineStr">
        <is>
          <t>Staff</t>
        </is>
      </c>
      <c r="D65" s="17">
        <f>SUM(D66:D67)</f>
        <v/>
      </c>
      <c r="E65" s="17">
        <f>SUM(E66:E67)</f>
        <v/>
      </c>
      <c r="F65" s="17">
        <f>SUM(F66:F67)</f>
        <v/>
      </c>
      <c r="G65" s="17">
        <f>SUM(G66:G67)</f>
        <v/>
      </c>
      <c r="H65" s="17">
        <f>SUM(H66:H67)</f>
        <v/>
      </c>
      <c r="I65" s="17">
        <f>SUM(I66:I67)</f>
        <v/>
      </c>
      <c r="J65" s="17">
        <f>SUM(J66:J67)</f>
        <v/>
      </c>
      <c r="K65" s="17">
        <f>SUM(K66:K67)</f>
        <v/>
      </c>
      <c r="L65" s="17">
        <f>SUM(L66:L67)</f>
        <v/>
      </c>
      <c r="M65" s="17">
        <f>SUM(M66:M67)</f>
        <v/>
      </c>
      <c r="N65" s="17">
        <f>SUM(N66:N67)</f>
        <v/>
      </c>
      <c r="O65" s="17">
        <f>SUM(O66:O67)</f>
        <v/>
      </c>
      <c r="P65" s="18" t="inlineStr">
        <is>
          <t>-&gt;</t>
        </is>
      </c>
      <c r="Q65" s="19">
        <f>SUM(D65:O65)</f>
        <v/>
      </c>
    </row>
    <row r="66" hidden="1" outlineLevel="1" ht="12" customHeight="1">
      <c r="A66" s="20" t="inlineStr">
        <is>
          <t xml:space="preserve">            PAYROLL</t>
        </is>
      </c>
      <c r="B66" s="4" t="n"/>
      <c r="C66" s="4" t="inlineStr">
        <is>
          <t>PAYROLL</t>
        </is>
      </c>
      <c r="D66" s="5">
        <f>SUMIFS('g-expenses-sl'!$F:$F,'g-expenses-sl'!$A:$A,D$1,'g-expenses-sl'!$D:$D,"staff",'g-expenses-sl'!$E:$E,$C66)</f>
        <v/>
      </c>
      <c r="E66" s="5">
        <f>SUMIFS('g-expenses-sl'!$F:$F,'g-expenses-sl'!$A:$A,E$1,'g-expenses-sl'!$D:$D,"staff",'g-expenses-sl'!$E:$E,$C66)</f>
        <v/>
      </c>
      <c r="F66" s="5">
        <f>SUMIFS('g-expenses-sl'!$F:$F,'g-expenses-sl'!$A:$A,F$1,'g-expenses-sl'!$D:$D,"staff",'g-expenses-sl'!$E:$E,$C66)</f>
        <v/>
      </c>
      <c r="G66" s="5">
        <f>SUMIFS('g-expenses-sl'!$F:$F,'g-expenses-sl'!$A:$A,G$1,'g-expenses-sl'!$D:$D,"staff",'g-expenses-sl'!$E:$E,$C66)</f>
        <v/>
      </c>
      <c r="H66" s="5">
        <f>SUMIFS('g-expenses-sl'!$F:$F,'g-expenses-sl'!$A:$A,H$1,'g-expenses-sl'!$D:$D,"staff",'g-expenses-sl'!$E:$E,$C66)</f>
        <v/>
      </c>
      <c r="I66" s="5">
        <f>SUMIFS('g-expenses-sl'!$F:$F,'g-expenses-sl'!$A:$A,I$1,'g-expenses-sl'!$D:$D,"staff",'g-expenses-sl'!$E:$E,$C66)</f>
        <v/>
      </c>
      <c r="J66" s="5">
        <f>SUMIFS('g-expenses-sl'!$F:$F,'g-expenses-sl'!$A:$A,J$1,'g-expenses-sl'!$D:$D,"staff",'g-expenses-sl'!$E:$E,$C66)</f>
        <v/>
      </c>
      <c r="K66" s="5">
        <f>SUMIFS('g-expenses-sl'!$F:$F,'g-expenses-sl'!$A:$A,K$1,'g-expenses-sl'!$D:$D,"staff",'g-expenses-sl'!$E:$E,$C66)</f>
        <v/>
      </c>
      <c r="L66" s="5">
        <f>SUMIFS('g-expenses-sl'!$F:$F,'g-expenses-sl'!$A:$A,L$1,'g-expenses-sl'!$D:$D,"staff",'g-expenses-sl'!$E:$E,$C66)</f>
        <v/>
      </c>
      <c r="M66" s="5">
        <f>SUMIFS('g-expenses-sl'!$F:$F,'g-expenses-sl'!$A:$A,M$1,'g-expenses-sl'!$D:$D,"staff",'g-expenses-sl'!$E:$E,$C66)</f>
        <v/>
      </c>
      <c r="N66" s="5">
        <f>SUMIFS('g-expenses-sl'!$F:$F,'g-expenses-sl'!$A:$A,N$1,'g-expenses-sl'!$D:$D,"staff",'g-expenses-sl'!$E:$E,$C66)</f>
        <v/>
      </c>
      <c r="O66" s="5">
        <f>SUMIFS('g-expenses-sl'!$F:$F,'g-expenses-sl'!$A:$A,O$1,'g-expenses-sl'!$D:$D,"staff",'g-expenses-sl'!$E:$E,$C66)</f>
        <v/>
      </c>
      <c r="P66" s="21" t="inlineStr">
        <is>
          <t>-&gt;</t>
        </is>
      </c>
      <c r="Q66" s="19">
        <f>SUM(D66:O66)</f>
        <v/>
      </c>
    </row>
    <row r="67" hidden="1" outlineLevel="1" collapsed="1" ht="12" customHeight="1">
      <c r="A67" s="20" t="inlineStr">
        <is>
          <t xml:space="preserve">            DOSCONSULTING</t>
        </is>
      </c>
      <c r="B67" s="4" t="n"/>
      <c r="C67" s="4" t="inlineStr">
        <is>
          <t>DOSCONSULTING</t>
        </is>
      </c>
      <c r="D67" s="5">
        <f>SUMIFS('g-expenses-sl'!$F:$F,'g-expenses-sl'!$A:$A,D$1,'g-expenses-sl'!$D:$D,"staff",'g-expenses-sl'!$E:$E,$C67)</f>
        <v/>
      </c>
      <c r="E67" s="5">
        <f>SUMIFS('g-expenses-sl'!$F:$F,'g-expenses-sl'!$A:$A,E$1,'g-expenses-sl'!$D:$D,"staff",'g-expenses-sl'!$E:$E,$C67)</f>
        <v/>
      </c>
      <c r="F67" s="5">
        <f>SUMIFS('g-expenses-sl'!$F:$F,'g-expenses-sl'!$A:$A,F$1,'g-expenses-sl'!$D:$D,"staff",'g-expenses-sl'!$E:$E,$C67)</f>
        <v/>
      </c>
      <c r="G67" s="5">
        <f>SUMIFS('g-expenses-sl'!$F:$F,'g-expenses-sl'!$A:$A,G$1,'g-expenses-sl'!$D:$D,"staff",'g-expenses-sl'!$E:$E,$C67)</f>
        <v/>
      </c>
      <c r="H67" s="5">
        <f>SUMIFS('g-expenses-sl'!$F:$F,'g-expenses-sl'!$A:$A,H$1,'g-expenses-sl'!$D:$D,"staff",'g-expenses-sl'!$E:$E,$C67)</f>
        <v/>
      </c>
      <c r="I67" s="5">
        <f>SUMIFS('g-expenses-sl'!$F:$F,'g-expenses-sl'!$A:$A,I$1,'g-expenses-sl'!$D:$D,"staff",'g-expenses-sl'!$E:$E,$C67)</f>
        <v/>
      </c>
      <c r="J67" s="5">
        <f>SUMIFS('g-expenses-sl'!$F:$F,'g-expenses-sl'!$A:$A,J$1,'g-expenses-sl'!$D:$D,"staff",'g-expenses-sl'!$E:$E,$C67)</f>
        <v/>
      </c>
      <c r="K67" s="5">
        <f>SUMIFS('g-expenses-sl'!$F:$F,'g-expenses-sl'!$A:$A,K$1,'g-expenses-sl'!$D:$D,"staff",'g-expenses-sl'!$E:$E,$C67)</f>
        <v/>
      </c>
      <c r="L67" s="5">
        <f>SUMIFS('g-expenses-sl'!$F:$F,'g-expenses-sl'!$A:$A,L$1,'g-expenses-sl'!$D:$D,"staff",'g-expenses-sl'!$E:$E,$C67)</f>
        <v/>
      </c>
      <c r="M67" s="5">
        <f>SUMIFS('g-expenses-sl'!$F:$F,'g-expenses-sl'!$A:$A,M$1,'g-expenses-sl'!$D:$D,"staff",'g-expenses-sl'!$E:$E,$C67)</f>
        <v/>
      </c>
      <c r="N67" s="5">
        <f>SUMIFS('g-expenses-sl'!$F:$F,'g-expenses-sl'!$A:$A,N$1,'g-expenses-sl'!$D:$D,"staff",'g-expenses-sl'!$E:$E,$C67)</f>
        <v/>
      </c>
      <c r="O67" s="5">
        <f>SUMIFS('g-expenses-sl'!$F:$F,'g-expenses-sl'!$A:$A,O$1,'g-expenses-sl'!$D:$D,"staff",'g-expenses-sl'!$E:$E,$C67)</f>
        <v/>
      </c>
      <c r="P67" s="21" t="inlineStr">
        <is>
          <t>-&gt;</t>
        </is>
      </c>
      <c r="Q67" s="19">
        <f>SUM(D67:O67)</f>
        <v/>
      </c>
    </row>
    <row r="68" ht="12" customHeight="1">
      <c r="A68" s="14" t="inlineStr">
        <is>
          <t xml:space="preserve">        Administration</t>
        </is>
      </c>
      <c r="B68" s="15" t="n"/>
      <c r="C68" s="16" t="inlineStr">
        <is>
          <t>Administration</t>
        </is>
      </c>
      <c r="D68" s="17">
        <f>SUM(D69:D73)</f>
        <v/>
      </c>
      <c r="E68" s="17">
        <f>SUM(E69:E73)</f>
        <v/>
      </c>
      <c r="F68" s="17">
        <f>SUM(F69:F73)</f>
        <v/>
      </c>
      <c r="G68" s="17">
        <f>SUM(G69:G73)</f>
        <v/>
      </c>
      <c r="H68" s="17">
        <f>SUM(H69:H73)</f>
        <v/>
      </c>
      <c r="I68" s="17">
        <f>SUM(I69:I73)</f>
        <v/>
      </c>
      <c r="J68" s="17">
        <f>SUM(J69:J73)</f>
        <v/>
      </c>
      <c r="K68" s="17">
        <f>SUM(K69:K73)</f>
        <v/>
      </c>
      <c r="L68" s="17">
        <f>SUM(L69:L73)</f>
        <v/>
      </c>
      <c r="M68" s="17">
        <f>SUM(M69:M73)</f>
        <v/>
      </c>
      <c r="N68" s="17">
        <f>SUM(N69:N73)</f>
        <v/>
      </c>
      <c r="O68" s="17">
        <f>SUM(O69:O73)</f>
        <v/>
      </c>
      <c r="P68" s="18" t="inlineStr">
        <is>
          <t>-&gt;</t>
        </is>
      </c>
      <c r="Q68" s="19">
        <f>SUM(D68:O68)</f>
        <v/>
      </c>
    </row>
    <row r="69" hidden="1" outlineLevel="1" ht="12" customHeight="1">
      <c r="A69" s="20" t="inlineStr">
        <is>
          <t xml:space="preserve">            CLARIS</t>
        </is>
      </c>
      <c r="B69" s="4" t="n"/>
      <c r="C69" s="4" t="inlineStr">
        <is>
          <t>CLARIS</t>
        </is>
      </c>
      <c r="D69" s="5">
        <f>SUMIFS('g-expenses-sl'!$F:$F,'g-expenses-sl'!$A:$A,D$1,'g-expenses-sl'!$D:$D,"administration",'g-expenses-sl'!$E:$E,$C69)</f>
        <v/>
      </c>
      <c r="E69" s="5">
        <f>SUMIFS('g-expenses-sl'!$F:$F,'g-expenses-sl'!$A:$A,E$1,'g-expenses-sl'!$D:$D,"administration",'g-expenses-sl'!$E:$E,$C69)</f>
        <v/>
      </c>
      <c r="F69" s="5">
        <f>SUMIFS('g-expenses-sl'!$F:$F,'g-expenses-sl'!$A:$A,F$1,'g-expenses-sl'!$D:$D,"administration",'g-expenses-sl'!$E:$E,$C69)</f>
        <v/>
      </c>
      <c r="G69" s="5">
        <f>SUMIFS('g-expenses-sl'!$F:$F,'g-expenses-sl'!$A:$A,G$1,'g-expenses-sl'!$D:$D,"administration",'g-expenses-sl'!$E:$E,$C69)</f>
        <v/>
      </c>
      <c r="H69" s="5">
        <f>SUMIFS('g-expenses-sl'!$F:$F,'g-expenses-sl'!$A:$A,H$1,'g-expenses-sl'!$D:$D,"administration",'g-expenses-sl'!$E:$E,$C69)</f>
        <v/>
      </c>
      <c r="I69" s="5">
        <f>SUMIFS('g-expenses-sl'!$F:$F,'g-expenses-sl'!$A:$A,I$1,'g-expenses-sl'!$D:$D,"administration",'g-expenses-sl'!$E:$E,$C69)</f>
        <v/>
      </c>
      <c r="J69" s="5">
        <f>SUMIFS('g-expenses-sl'!$F:$F,'g-expenses-sl'!$A:$A,J$1,'g-expenses-sl'!$D:$D,"administration",'g-expenses-sl'!$E:$E,$C69)</f>
        <v/>
      </c>
      <c r="K69" s="5">
        <f>SUMIFS('g-expenses-sl'!$F:$F,'g-expenses-sl'!$A:$A,K$1,'g-expenses-sl'!$D:$D,"administration",'g-expenses-sl'!$E:$E,$C69)</f>
        <v/>
      </c>
      <c r="L69" s="5">
        <f>SUMIFS('g-expenses-sl'!$F:$F,'g-expenses-sl'!$A:$A,L$1,'g-expenses-sl'!$D:$D,"administration",'g-expenses-sl'!$E:$E,$C69)</f>
        <v/>
      </c>
      <c r="M69" s="5">
        <f>SUMIFS('g-expenses-sl'!$F:$F,'g-expenses-sl'!$A:$A,M$1,'g-expenses-sl'!$D:$D,"administration",'g-expenses-sl'!$E:$E,$C69)</f>
        <v/>
      </c>
      <c r="N69" s="5">
        <f>SUMIFS('g-expenses-sl'!$F:$F,'g-expenses-sl'!$A:$A,N$1,'g-expenses-sl'!$D:$D,"administration",'g-expenses-sl'!$E:$E,$C69)</f>
        <v/>
      </c>
      <c r="O69" s="5">
        <f>SUMIFS('g-expenses-sl'!$F:$F,'g-expenses-sl'!$A:$A,O$1,'g-expenses-sl'!$D:$D,"administration",'g-expenses-sl'!$E:$E,$C69)</f>
        <v/>
      </c>
      <c r="P69" s="21" t="inlineStr">
        <is>
          <t>-&gt;</t>
        </is>
      </c>
      <c r="Q69" s="19">
        <f>SUM(D69:O69)</f>
        <v/>
      </c>
    </row>
    <row r="70" hidden="1" outlineLevel="1" ht="12" customHeight="1">
      <c r="A70" s="20" t="inlineStr">
        <is>
          <t xml:space="preserve">            HANNUN</t>
        </is>
      </c>
      <c r="B70" s="4" t="n"/>
      <c r="C70" s="4" t="inlineStr">
        <is>
          <t>HANNUN</t>
        </is>
      </c>
      <c r="D70" s="5">
        <f>SUMIFS('g-expenses-sl'!$F:$F,'g-expenses-sl'!$A:$A,D$1,'g-expenses-sl'!$D:$D,"administration",'g-expenses-sl'!$E:$E,$C70)</f>
        <v/>
      </c>
      <c r="E70" s="5">
        <f>SUMIFS('g-expenses-sl'!$F:$F,'g-expenses-sl'!$A:$A,E$1,'g-expenses-sl'!$D:$D,"administration",'g-expenses-sl'!$E:$E,$C70)</f>
        <v/>
      </c>
      <c r="F70" s="5">
        <f>SUMIFS('g-expenses-sl'!$F:$F,'g-expenses-sl'!$A:$A,F$1,'g-expenses-sl'!$D:$D,"administration",'g-expenses-sl'!$E:$E,$C70)</f>
        <v/>
      </c>
      <c r="G70" s="5">
        <f>SUMIFS('g-expenses-sl'!$F:$F,'g-expenses-sl'!$A:$A,G$1,'g-expenses-sl'!$D:$D,"administration",'g-expenses-sl'!$E:$E,$C70)</f>
        <v/>
      </c>
      <c r="H70" s="5">
        <f>SUMIFS('g-expenses-sl'!$F:$F,'g-expenses-sl'!$A:$A,H$1,'g-expenses-sl'!$D:$D,"administration",'g-expenses-sl'!$E:$E,$C70)</f>
        <v/>
      </c>
      <c r="I70" s="5">
        <f>SUMIFS('g-expenses-sl'!$F:$F,'g-expenses-sl'!$A:$A,I$1,'g-expenses-sl'!$D:$D,"administration",'g-expenses-sl'!$E:$E,$C70)</f>
        <v/>
      </c>
      <c r="J70" s="5">
        <f>SUMIFS('g-expenses-sl'!$F:$F,'g-expenses-sl'!$A:$A,J$1,'g-expenses-sl'!$D:$D,"administration",'g-expenses-sl'!$E:$E,$C70)</f>
        <v/>
      </c>
      <c r="K70" s="5">
        <f>SUMIFS('g-expenses-sl'!$F:$F,'g-expenses-sl'!$A:$A,K$1,'g-expenses-sl'!$D:$D,"administration",'g-expenses-sl'!$E:$E,$C70)</f>
        <v/>
      </c>
      <c r="L70" s="5">
        <f>SUMIFS('g-expenses-sl'!$F:$F,'g-expenses-sl'!$A:$A,L$1,'g-expenses-sl'!$D:$D,"administration",'g-expenses-sl'!$E:$E,$C70)</f>
        <v/>
      </c>
      <c r="M70" s="5">
        <f>SUMIFS('g-expenses-sl'!$F:$F,'g-expenses-sl'!$A:$A,M$1,'g-expenses-sl'!$D:$D,"administration",'g-expenses-sl'!$E:$E,$C70)</f>
        <v/>
      </c>
      <c r="N70" s="5">
        <f>SUMIFS('g-expenses-sl'!$F:$F,'g-expenses-sl'!$A:$A,N$1,'g-expenses-sl'!$D:$D,"administration",'g-expenses-sl'!$E:$E,$C70)</f>
        <v/>
      </c>
      <c r="O70" s="5">
        <f>SUMIFS('g-expenses-sl'!$F:$F,'g-expenses-sl'!$A:$A,O$1,'g-expenses-sl'!$D:$D,"administration",'g-expenses-sl'!$E:$E,$C70)</f>
        <v/>
      </c>
      <c r="P70" s="21" t="inlineStr">
        <is>
          <t>-&gt;</t>
        </is>
      </c>
      <c r="Q70" s="19">
        <f>SUM(D70:O70)</f>
        <v/>
      </c>
    </row>
    <row r="71" hidden="1" outlineLevel="1" ht="12" customHeight="1">
      <c r="A71" s="20" t="inlineStr">
        <is>
          <t xml:space="preserve">            NODA</t>
        </is>
      </c>
      <c r="B71" s="4" t="n"/>
      <c r="C71" s="4" t="inlineStr">
        <is>
          <t>NODA</t>
        </is>
      </c>
      <c r="D71" s="5">
        <f>SUMIFS('g-expenses-sl'!$F:$F,'g-expenses-sl'!$A:$A,D$1,'g-expenses-sl'!$D:$D,"administration",'g-expenses-sl'!$E:$E,$C71)</f>
        <v/>
      </c>
      <c r="E71" s="5">
        <f>SUMIFS('g-expenses-sl'!$F:$F,'g-expenses-sl'!$A:$A,E$1,'g-expenses-sl'!$D:$D,"administration",'g-expenses-sl'!$E:$E,$C71)</f>
        <v/>
      </c>
      <c r="F71" s="5">
        <f>SUMIFS('g-expenses-sl'!$F:$F,'g-expenses-sl'!$A:$A,F$1,'g-expenses-sl'!$D:$D,"administration",'g-expenses-sl'!$E:$E,$C71)</f>
        <v/>
      </c>
      <c r="G71" s="5">
        <f>SUMIFS('g-expenses-sl'!$F:$F,'g-expenses-sl'!$A:$A,G$1,'g-expenses-sl'!$D:$D,"administration",'g-expenses-sl'!$E:$E,$C71)</f>
        <v/>
      </c>
      <c r="H71" s="5">
        <f>SUMIFS('g-expenses-sl'!$F:$F,'g-expenses-sl'!$A:$A,H$1,'g-expenses-sl'!$D:$D,"administration",'g-expenses-sl'!$E:$E,$C71)</f>
        <v/>
      </c>
      <c r="I71" s="5">
        <f>SUMIFS('g-expenses-sl'!$F:$F,'g-expenses-sl'!$A:$A,I$1,'g-expenses-sl'!$D:$D,"administration",'g-expenses-sl'!$E:$E,$C71)</f>
        <v/>
      </c>
      <c r="J71" s="5">
        <f>SUMIFS('g-expenses-sl'!$F:$F,'g-expenses-sl'!$A:$A,J$1,'g-expenses-sl'!$D:$D,"administration",'g-expenses-sl'!$E:$E,$C71)</f>
        <v/>
      </c>
      <c r="K71" s="5">
        <f>SUMIFS('g-expenses-sl'!$F:$F,'g-expenses-sl'!$A:$A,K$1,'g-expenses-sl'!$D:$D,"administration",'g-expenses-sl'!$E:$E,$C71)</f>
        <v/>
      </c>
      <c r="L71" s="5">
        <f>SUMIFS('g-expenses-sl'!$F:$F,'g-expenses-sl'!$A:$A,L$1,'g-expenses-sl'!$D:$D,"administration",'g-expenses-sl'!$E:$E,$C71)</f>
        <v/>
      </c>
      <c r="M71" s="5">
        <f>SUMIFS('g-expenses-sl'!$F:$F,'g-expenses-sl'!$A:$A,M$1,'g-expenses-sl'!$D:$D,"administration",'g-expenses-sl'!$E:$E,$C71)</f>
        <v/>
      </c>
      <c r="N71" s="5">
        <f>SUMIFS('g-expenses-sl'!$F:$F,'g-expenses-sl'!$A:$A,N$1,'g-expenses-sl'!$D:$D,"administration",'g-expenses-sl'!$E:$E,$C71)</f>
        <v/>
      </c>
      <c r="O71" s="5">
        <f>SUMIFS('g-expenses-sl'!$F:$F,'g-expenses-sl'!$A:$A,O$1,'g-expenses-sl'!$D:$D,"administration",'g-expenses-sl'!$E:$E,$C71)</f>
        <v/>
      </c>
      <c r="P71" s="21" t="inlineStr">
        <is>
          <t>-&gt;</t>
        </is>
      </c>
      <c r="Q71" s="19">
        <f>SUM(D71:O71)</f>
        <v/>
      </c>
    </row>
    <row r="72" hidden="1" outlineLevel="1" ht="12" customHeight="1">
      <c r="A72" s="20" t="inlineStr">
        <is>
          <t xml:space="preserve">            TORRAS</t>
        </is>
      </c>
      <c r="B72" s="4" t="n"/>
      <c r="C72" s="4" t="inlineStr">
        <is>
          <t>TORRAS</t>
        </is>
      </c>
      <c r="D72" s="5">
        <f>SUMIFS('g-expenses-sl'!$F:$F,'g-expenses-sl'!$A:$A,D$1,'g-expenses-sl'!$D:$D,"administration",'g-expenses-sl'!$E:$E,$C72)</f>
        <v/>
      </c>
      <c r="E72" s="5">
        <f>SUMIFS('g-expenses-sl'!$F:$F,'g-expenses-sl'!$A:$A,E$1,'g-expenses-sl'!$D:$D,"administration",'g-expenses-sl'!$E:$E,$C72)</f>
        <v/>
      </c>
      <c r="F72" s="5">
        <f>SUMIFS('g-expenses-sl'!$F:$F,'g-expenses-sl'!$A:$A,F$1,'g-expenses-sl'!$D:$D,"administration",'g-expenses-sl'!$E:$E,$C72)</f>
        <v/>
      </c>
      <c r="G72" s="5">
        <f>SUMIFS('g-expenses-sl'!$F:$F,'g-expenses-sl'!$A:$A,G$1,'g-expenses-sl'!$D:$D,"administration",'g-expenses-sl'!$E:$E,$C72)</f>
        <v/>
      </c>
      <c r="H72" s="5">
        <f>SUMIFS('g-expenses-sl'!$F:$F,'g-expenses-sl'!$A:$A,H$1,'g-expenses-sl'!$D:$D,"administration",'g-expenses-sl'!$E:$E,$C72)</f>
        <v/>
      </c>
      <c r="I72" s="5">
        <f>SUMIFS('g-expenses-sl'!$F:$F,'g-expenses-sl'!$A:$A,I$1,'g-expenses-sl'!$D:$D,"administration",'g-expenses-sl'!$E:$E,$C72)</f>
        <v/>
      </c>
      <c r="J72" s="5">
        <f>SUMIFS('g-expenses-sl'!$F:$F,'g-expenses-sl'!$A:$A,J$1,'g-expenses-sl'!$D:$D,"administration",'g-expenses-sl'!$E:$E,$C72)</f>
        <v/>
      </c>
      <c r="K72" s="5">
        <f>SUMIFS('g-expenses-sl'!$F:$F,'g-expenses-sl'!$A:$A,K$1,'g-expenses-sl'!$D:$D,"administration",'g-expenses-sl'!$E:$E,$C72)</f>
        <v/>
      </c>
      <c r="L72" s="5">
        <f>SUMIFS('g-expenses-sl'!$F:$F,'g-expenses-sl'!$A:$A,L$1,'g-expenses-sl'!$D:$D,"administration",'g-expenses-sl'!$E:$E,$C72)</f>
        <v/>
      </c>
      <c r="M72" s="5">
        <f>SUMIFS('g-expenses-sl'!$F:$F,'g-expenses-sl'!$A:$A,M$1,'g-expenses-sl'!$D:$D,"administration",'g-expenses-sl'!$E:$E,$C72)</f>
        <v/>
      </c>
      <c r="N72" s="5">
        <f>SUMIFS('g-expenses-sl'!$F:$F,'g-expenses-sl'!$A:$A,N$1,'g-expenses-sl'!$D:$D,"administration",'g-expenses-sl'!$E:$E,$C72)</f>
        <v/>
      </c>
      <c r="O72" s="5">
        <f>SUMIFS('g-expenses-sl'!$F:$F,'g-expenses-sl'!$A:$A,O$1,'g-expenses-sl'!$D:$D,"administration",'g-expenses-sl'!$E:$E,$C72)</f>
        <v/>
      </c>
      <c r="P72" s="21" t="inlineStr">
        <is>
          <t>-&gt;</t>
        </is>
      </c>
      <c r="Q72" s="19">
        <f>SUM(D72:O72)</f>
        <v/>
      </c>
    </row>
    <row r="73" hidden="1" outlineLevel="1" collapsed="1" ht="12" customHeight="1">
      <c r="A73" s="20" t="inlineStr">
        <is>
          <t xml:space="preserve">            VITALY</t>
        </is>
      </c>
      <c r="B73" s="4" t="n"/>
      <c r="C73" s="4" t="inlineStr">
        <is>
          <t>VITALY</t>
        </is>
      </c>
      <c r="D73" s="5">
        <f>SUMIFS('g-expenses-sl'!$F:$F,'g-expenses-sl'!$A:$A,D$1,'g-expenses-sl'!$D:$D,"administration",'g-expenses-sl'!$E:$E,$C73)</f>
        <v/>
      </c>
      <c r="E73" s="5">
        <f>SUMIFS('g-expenses-sl'!$F:$F,'g-expenses-sl'!$A:$A,E$1,'g-expenses-sl'!$D:$D,"administration",'g-expenses-sl'!$E:$E,$C73)</f>
        <v/>
      </c>
      <c r="F73" s="5">
        <f>SUMIFS('g-expenses-sl'!$F:$F,'g-expenses-sl'!$A:$A,F$1,'g-expenses-sl'!$D:$D,"administration",'g-expenses-sl'!$E:$E,$C73)</f>
        <v/>
      </c>
      <c r="G73" s="5">
        <f>SUMIFS('g-expenses-sl'!$F:$F,'g-expenses-sl'!$A:$A,G$1,'g-expenses-sl'!$D:$D,"administration",'g-expenses-sl'!$E:$E,$C73)</f>
        <v/>
      </c>
      <c r="H73" s="5">
        <f>SUMIFS('g-expenses-sl'!$F:$F,'g-expenses-sl'!$A:$A,H$1,'g-expenses-sl'!$D:$D,"administration",'g-expenses-sl'!$E:$E,$C73)</f>
        <v/>
      </c>
      <c r="I73" s="5">
        <f>SUMIFS('g-expenses-sl'!$F:$F,'g-expenses-sl'!$A:$A,I$1,'g-expenses-sl'!$D:$D,"administration",'g-expenses-sl'!$E:$E,$C73)</f>
        <v/>
      </c>
      <c r="J73" s="5">
        <f>SUMIFS('g-expenses-sl'!$F:$F,'g-expenses-sl'!$A:$A,J$1,'g-expenses-sl'!$D:$D,"administration",'g-expenses-sl'!$E:$E,$C73)</f>
        <v/>
      </c>
      <c r="K73" s="5">
        <f>SUMIFS('g-expenses-sl'!$F:$F,'g-expenses-sl'!$A:$A,K$1,'g-expenses-sl'!$D:$D,"administration",'g-expenses-sl'!$E:$E,$C73)</f>
        <v/>
      </c>
      <c r="L73" s="5">
        <f>SUMIFS('g-expenses-sl'!$F:$F,'g-expenses-sl'!$A:$A,L$1,'g-expenses-sl'!$D:$D,"administration",'g-expenses-sl'!$E:$E,$C73)</f>
        <v/>
      </c>
      <c r="M73" s="5">
        <f>SUMIFS('g-expenses-sl'!$F:$F,'g-expenses-sl'!$A:$A,M$1,'g-expenses-sl'!$D:$D,"administration",'g-expenses-sl'!$E:$E,$C73)</f>
        <v/>
      </c>
      <c r="N73" s="5">
        <f>SUMIFS('g-expenses-sl'!$F:$F,'g-expenses-sl'!$A:$A,N$1,'g-expenses-sl'!$D:$D,"administration",'g-expenses-sl'!$E:$E,$C73)</f>
        <v/>
      </c>
      <c r="O73" s="5">
        <f>SUMIFS('g-expenses-sl'!$F:$F,'g-expenses-sl'!$A:$A,O$1,'g-expenses-sl'!$D:$D,"administration",'g-expenses-sl'!$E:$E,$C73)</f>
        <v/>
      </c>
      <c r="P73" s="21" t="inlineStr">
        <is>
          <t>-&gt;</t>
        </is>
      </c>
      <c r="Q73" s="19">
        <f>SUM(D73:O73)</f>
        <v/>
      </c>
    </row>
    <row r="74" ht="12" customHeight="1">
      <c r="A74" s="14" t="inlineStr">
        <is>
          <t xml:space="preserve">        Technology</t>
        </is>
      </c>
      <c r="B74" s="15" t="n"/>
      <c r="C74" s="16" t="inlineStr">
        <is>
          <t>Technology</t>
        </is>
      </c>
      <c r="D74" s="17">
        <f>SUM(D75:D89)</f>
        <v/>
      </c>
      <c r="E74" s="17">
        <f>SUM(E75:E89)</f>
        <v/>
      </c>
      <c r="F74" s="17">
        <f>SUM(F75:F89)</f>
        <v/>
      </c>
      <c r="G74" s="17">
        <f>SUM(G75:G89)</f>
        <v/>
      </c>
      <c r="H74" s="17">
        <f>SUM(H75:H89)</f>
        <v/>
      </c>
      <c r="I74" s="17">
        <f>SUM(I75:I89)</f>
        <v/>
      </c>
      <c r="J74" s="17">
        <f>SUM(J75:J89)</f>
        <v/>
      </c>
      <c r="K74" s="17">
        <f>SUM(K75:K89)</f>
        <v/>
      </c>
      <c r="L74" s="17">
        <f>SUM(L75:L89)</f>
        <v/>
      </c>
      <c r="M74" s="17">
        <f>SUM(M75:M89)</f>
        <v/>
      </c>
      <c r="N74" s="17">
        <f>SUM(N75:N89)</f>
        <v/>
      </c>
      <c r="O74" s="17">
        <f>SUM(O75:O89)</f>
        <v/>
      </c>
      <c r="P74" s="18" t="inlineStr">
        <is>
          <t>-&gt;</t>
        </is>
      </c>
      <c r="Q74" s="19">
        <f>SUM(D74:O74)</f>
        <v/>
      </c>
    </row>
    <row r="75" hidden="1" outlineLevel="1" ht="12" customHeight="1">
      <c r="A75" s="20" t="inlineStr">
        <is>
          <t xml:space="preserve">            ADOBE</t>
        </is>
      </c>
      <c r="B75" s="4" t="n"/>
      <c r="C75" s="4" t="inlineStr">
        <is>
          <t>ADOBE</t>
        </is>
      </c>
      <c r="D75" s="5">
        <f>SUMIFS('g-expenses-sl'!$F:$F,'g-expenses-sl'!$A:$A,D$1,'g-expenses-sl'!$D:$D,"technology",'g-expenses-sl'!$E:$E,$C75)</f>
        <v/>
      </c>
      <c r="E75" s="5">
        <f>SUMIFS('g-expenses-sl'!$F:$F,'g-expenses-sl'!$A:$A,E$1,'g-expenses-sl'!$D:$D,"technology",'g-expenses-sl'!$E:$E,$C75)</f>
        <v/>
      </c>
      <c r="F75" s="5">
        <f>SUMIFS('g-expenses-sl'!$F:$F,'g-expenses-sl'!$A:$A,F$1,'g-expenses-sl'!$D:$D,"technology",'g-expenses-sl'!$E:$E,$C75)</f>
        <v/>
      </c>
      <c r="G75" s="5">
        <f>SUMIFS('g-expenses-sl'!$F:$F,'g-expenses-sl'!$A:$A,G$1,'g-expenses-sl'!$D:$D,"technology",'g-expenses-sl'!$E:$E,$C75)</f>
        <v/>
      </c>
      <c r="H75" s="5">
        <f>SUMIFS('g-expenses-sl'!$F:$F,'g-expenses-sl'!$A:$A,H$1,'g-expenses-sl'!$D:$D,"technology",'g-expenses-sl'!$E:$E,$C75)</f>
        <v/>
      </c>
      <c r="I75" s="5">
        <f>SUMIFS('g-expenses-sl'!$F:$F,'g-expenses-sl'!$A:$A,I$1,'g-expenses-sl'!$D:$D,"technology",'g-expenses-sl'!$E:$E,$C75)</f>
        <v/>
      </c>
      <c r="J75" s="5">
        <f>SUMIFS('g-expenses-sl'!$F:$F,'g-expenses-sl'!$A:$A,J$1,'g-expenses-sl'!$D:$D,"technology",'g-expenses-sl'!$E:$E,$C75)</f>
        <v/>
      </c>
      <c r="K75" s="5">
        <f>SUMIFS('g-expenses-sl'!$F:$F,'g-expenses-sl'!$A:$A,K$1,'g-expenses-sl'!$D:$D,"technology",'g-expenses-sl'!$E:$E,$C75)</f>
        <v/>
      </c>
      <c r="L75" s="5">
        <f>SUMIFS('g-expenses-sl'!$F:$F,'g-expenses-sl'!$A:$A,L$1,'g-expenses-sl'!$D:$D,"technology",'g-expenses-sl'!$E:$E,$C75)</f>
        <v/>
      </c>
      <c r="M75" s="5">
        <f>SUMIFS('g-expenses-sl'!$F:$F,'g-expenses-sl'!$A:$A,M$1,'g-expenses-sl'!$D:$D,"technology",'g-expenses-sl'!$E:$E,$C75)</f>
        <v/>
      </c>
      <c r="N75" s="5">
        <f>SUMIFS('g-expenses-sl'!$F:$F,'g-expenses-sl'!$A:$A,N$1,'g-expenses-sl'!$D:$D,"technology",'g-expenses-sl'!$E:$E,$C75)</f>
        <v/>
      </c>
      <c r="O75" s="5">
        <f>SUMIFS('g-expenses-sl'!$F:$F,'g-expenses-sl'!$A:$A,O$1,'g-expenses-sl'!$D:$D,"technology",'g-expenses-sl'!$E:$E,$C75)</f>
        <v/>
      </c>
      <c r="P75" s="21" t="inlineStr">
        <is>
          <t>-&gt;</t>
        </is>
      </c>
      <c r="Q75" s="19">
        <f>SUM(D75:O75)</f>
        <v/>
      </c>
    </row>
    <row r="76" hidden="1" outlineLevel="1" ht="12" customHeight="1">
      <c r="A76" s="20" t="inlineStr">
        <is>
          <t xml:space="preserve">            CANVA</t>
        </is>
      </c>
      <c r="B76" s="4" t="n"/>
      <c r="C76" s="4" t="inlineStr">
        <is>
          <t>CANVA</t>
        </is>
      </c>
      <c r="D76" s="5">
        <f>SUMIFS('g-expenses-sl'!$F:$F,'g-expenses-sl'!$A:$A,D$1,'g-expenses-sl'!$D:$D,"technology",'g-expenses-sl'!$E:$E,$C76)</f>
        <v/>
      </c>
      <c r="E76" s="5">
        <f>SUMIFS('g-expenses-sl'!$F:$F,'g-expenses-sl'!$A:$A,E$1,'g-expenses-sl'!$D:$D,"technology",'g-expenses-sl'!$E:$E,$C76)</f>
        <v/>
      </c>
      <c r="F76" s="5">
        <f>SUMIFS('g-expenses-sl'!$F:$F,'g-expenses-sl'!$A:$A,F$1,'g-expenses-sl'!$D:$D,"technology",'g-expenses-sl'!$E:$E,$C76)</f>
        <v/>
      </c>
      <c r="G76" s="5">
        <f>SUMIFS('g-expenses-sl'!$F:$F,'g-expenses-sl'!$A:$A,G$1,'g-expenses-sl'!$D:$D,"technology",'g-expenses-sl'!$E:$E,$C76)</f>
        <v/>
      </c>
      <c r="H76" s="5">
        <f>SUMIFS('g-expenses-sl'!$F:$F,'g-expenses-sl'!$A:$A,H$1,'g-expenses-sl'!$D:$D,"technology",'g-expenses-sl'!$E:$E,$C76)</f>
        <v/>
      </c>
      <c r="I76" s="5">
        <f>SUMIFS('g-expenses-sl'!$F:$F,'g-expenses-sl'!$A:$A,I$1,'g-expenses-sl'!$D:$D,"technology",'g-expenses-sl'!$E:$E,$C76)</f>
        <v/>
      </c>
      <c r="J76" s="5">
        <f>SUMIFS('g-expenses-sl'!$F:$F,'g-expenses-sl'!$A:$A,J$1,'g-expenses-sl'!$D:$D,"technology",'g-expenses-sl'!$E:$E,$C76)</f>
        <v/>
      </c>
      <c r="K76" s="5">
        <f>SUMIFS('g-expenses-sl'!$F:$F,'g-expenses-sl'!$A:$A,K$1,'g-expenses-sl'!$D:$D,"technology",'g-expenses-sl'!$E:$E,$C76)</f>
        <v/>
      </c>
      <c r="L76" s="5">
        <f>SUMIFS('g-expenses-sl'!$F:$F,'g-expenses-sl'!$A:$A,L$1,'g-expenses-sl'!$D:$D,"technology",'g-expenses-sl'!$E:$E,$C76)</f>
        <v/>
      </c>
      <c r="M76" s="5">
        <f>SUMIFS('g-expenses-sl'!$F:$F,'g-expenses-sl'!$A:$A,M$1,'g-expenses-sl'!$D:$D,"technology",'g-expenses-sl'!$E:$E,$C76)</f>
        <v/>
      </c>
      <c r="N76" s="5">
        <f>SUMIFS('g-expenses-sl'!$F:$F,'g-expenses-sl'!$A:$A,N$1,'g-expenses-sl'!$D:$D,"technology",'g-expenses-sl'!$E:$E,$C76)</f>
        <v/>
      </c>
      <c r="O76" s="5">
        <f>SUMIFS('g-expenses-sl'!$F:$F,'g-expenses-sl'!$A:$A,O$1,'g-expenses-sl'!$D:$D,"technology",'g-expenses-sl'!$E:$E,$C76)</f>
        <v/>
      </c>
      <c r="P76" s="21" t="inlineStr">
        <is>
          <t>-&gt;</t>
        </is>
      </c>
      <c r="Q76" s="19">
        <f>SUM(D76:O76)</f>
        <v/>
      </c>
    </row>
    <row r="77" hidden="1" outlineLevel="1" ht="12" customHeight="1">
      <c r="A77" s="20" t="inlineStr">
        <is>
          <t xml:space="preserve">            GODADDY</t>
        </is>
      </c>
      <c r="B77" s="4" t="n"/>
      <c r="C77" s="4" t="inlineStr">
        <is>
          <t>GODADDY</t>
        </is>
      </c>
      <c r="D77" s="5">
        <f>SUMIFS('g-expenses-sl'!$F:$F,'g-expenses-sl'!$A:$A,D$1,'g-expenses-sl'!$D:$D,"technology",'g-expenses-sl'!$E:$E,$C77)</f>
        <v/>
      </c>
      <c r="E77" s="5">
        <f>SUMIFS('g-expenses-sl'!$F:$F,'g-expenses-sl'!$A:$A,E$1,'g-expenses-sl'!$D:$D,"technology",'g-expenses-sl'!$E:$E,$C77)</f>
        <v/>
      </c>
      <c r="F77" s="5">
        <f>SUMIFS('g-expenses-sl'!$F:$F,'g-expenses-sl'!$A:$A,F$1,'g-expenses-sl'!$D:$D,"technology",'g-expenses-sl'!$E:$E,$C77)</f>
        <v/>
      </c>
      <c r="G77" s="5">
        <f>SUMIFS('g-expenses-sl'!$F:$F,'g-expenses-sl'!$A:$A,G$1,'g-expenses-sl'!$D:$D,"technology",'g-expenses-sl'!$E:$E,$C77)</f>
        <v/>
      </c>
      <c r="H77" s="5">
        <f>SUMIFS('g-expenses-sl'!$F:$F,'g-expenses-sl'!$A:$A,H$1,'g-expenses-sl'!$D:$D,"technology",'g-expenses-sl'!$E:$E,$C77)</f>
        <v/>
      </c>
      <c r="I77" s="5">
        <f>SUMIFS('g-expenses-sl'!$F:$F,'g-expenses-sl'!$A:$A,I$1,'g-expenses-sl'!$D:$D,"technology",'g-expenses-sl'!$E:$E,$C77)</f>
        <v/>
      </c>
      <c r="J77" s="5">
        <f>SUMIFS('g-expenses-sl'!$F:$F,'g-expenses-sl'!$A:$A,J$1,'g-expenses-sl'!$D:$D,"technology",'g-expenses-sl'!$E:$E,$C77)</f>
        <v/>
      </c>
      <c r="K77" s="5">
        <f>SUMIFS('g-expenses-sl'!$F:$F,'g-expenses-sl'!$A:$A,K$1,'g-expenses-sl'!$D:$D,"technology",'g-expenses-sl'!$E:$E,$C77)</f>
        <v/>
      </c>
      <c r="L77" s="5">
        <f>SUMIFS('g-expenses-sl'!$F:$F,'g-expenses-sl'!$A:$A,L$1,'g-expenses-sl'!$D:$D,"technology",'g-expenses-sl'!$E:$E,$C77)</f>
        <v/>
      </c>
      <c r="M77" s="5">
        <f>SUMIFS('g-expenses-sl'!$F:$F,'g-expenses-sl'!$A:$A,M$1,'g-expenses-sl'!$D:$D,"technology",'g-expenses-sl'!$E:$E,$C77)</f>
        <v/>
      </c>
      <c r="N77" s="5">
        <f>SUMIFS('g-expenses-sl'!$F:$F,'g-expenses-sl'!$A:$A,N$1,'g-expenses-sl'!$D:$D,"technology",'g-expenses-sl'!$E:$E,$C77)</f>
        <v/>
      </c>
      <c r="O77" s="5">
        <f>SUMIFS('g-expenses-sl'!$F:$F,'g-expenses-sl'!$A:$A,O$1,'g-expenses-sl'!$D:$D,"technology",'g-expenses-sl'!$E:$E,$C77)</f>
        <v/>
      </c>
      <c r="P77" s="21" t="inlineStr">
        <is>
          <t>-&gt;</t>
        </is>
      </c>
      <c r="Q77" s="19">
        <f>SUM(D77:O77)</f>
        <v/>
      </c>
    </row>
    <row r="78" hidden="1" outlineLevel="1" ht="12" customHeight="1">
      <c r="A78" s="20" t="inlineStr">
        <is>
          <t xml:space="preserve">            GOOGLEWORKSPACE</t>
        </is>
      </c>
      <c r="B78" s="4" t="n"/>
      <c r="C78" s="4" t="inlineStr">
        <is>
          <t>GOOGLEWORKSPACE</t>
        </is>
      </c>
      <c r="D78" s="5">
        <f>SUMIFS('g-expenses-sl'!$F:$F,'g-expenses-sl'!$A:$A,D$1,'g-expenses-sl'!$D:$D,"technology",'g-expenses-sl'!$E:$E,$C78)</f>
        <v/>
      </c>
      <c r="E78" s="5">
        <f>SUMIFS('g-expenses-sl'!$F:$F,'g-expenses-sl'!$A:$A,E$1,'g-expenses-sl'!$D:$D,"technology",'g-expenses-sl'!$E:$E,$C78)</f>
        <v/>
      </c>
      <c r="F78" s="5">
        <f>SUMIFS('g-expenses-sl'!$F:$F,'g-expenses-sl'!$A:$A,F$1,'g-expenses-sl'!$D:$D,"technology",'g-expenses-sl'!$E:$E,$C78)</f>
        <v/>
      </c>
      <c r="G78" s="5">
        <f>SUMIFS('g-expenses-sl'!$F:$F,'g-expenses-sl'!$A:$A,G$1,'g-expenses-sl'!$D:$D,"technology",'g-expenses-sl'!$E:$E,$C78)</f>
        <v/>
      </c>
      <c r="H78" s="5">
        <f>SUMIFS('g-expenses-sl'!$F:$F,'g-expenses-sl'!$A:$A,H$1,'g-expenses-sl'!$D:$D,"technology",'g-expenses-sl'!$E:$E,$C78)</f>
        <v/>
      </c>
      <c r="I78" s="5">
        <f>SUMIFS('g-expenses-sl'!$F:$F,'g-expenses-sl'!$A:$A,I$1,'g-expenses-sl'!$D:$D,"technology",'g-expenses-sl'!$E:$E,$C78)</f>
        <v/>
      </c>
      <c r="J78" s="5">
        <f>SUMIFS('g-expenses-sl'!$F:$F,'g-expenses-sl'!$A:$A,J$1,'g-expenses-sl'!$D:$D,"technology",'g-expenses-sl'!$E:$E,$C78)</f>
        <v/>
      </c>
      <c r="K78" s="5">
        <f>SUMIFS('g-expenses-sl'!$F:$F,'g-expenses-sl'!$A:$A,K$1,'g-expenses-sl'!$D:$D,"technology",'g-expenses-sl'!$E:$E,$C78)</f>
        <v/>
      </c>
      <c r="L78" s="5">
        <f>SUMIFS('g-expenses-sl'!$F:$F,'g-expenses-sl'!$A:$A,L$1,'g-expenses-sl'!$D:$D,"technology",'g-expenses-sl'!$E:$E,$C78)</f>
        <v/>
      </c>
      <c r="M78" s="5">
        <f>SUMIFS('g-expenses-sl'!$F:$F,'g-expenses-sl'!$A:$A,M$1,'g-expenses-sl'!$D:$D,"technology",'g-expenses-sl'!$E:$E,$C78)</f>
        <v/>
      </c>
      <c r="N78" s="5">
        <f>SUMIFS('g-expenses-sl'!$F:$F,'g-expenses-sl'!$A:$A,N$1,'g-expenses-sl'!$D:$D,"technology",'g-expenses-sl'!$E:$E,$C78)</f>
        <v/>
      </c>
      <c r="O78" s="5">
        <f>SUMIFS('g-expenses-sl'!$F:$F,'g-expenses-sl'!$A:$A,O$1,'g-expenses-sl'!$D:$D,"technology",'g-expenses-sl'!$E:$E,$C78)</f>
        <v/>
      </c>
      <c r="P78" s="21" t="inlineStr">
        <is>
          <t>-&gt;</t>
        </is>
      </c>
      <c r="Q78" s="19">
        <f>SUM(D78:O78)</f>
        <v/>
      </c>
    </row>
    <row r="79" hidden="1" outlineLevel="1" ht="12" customHeight="1">
      <c r="A79" s="20" t="inlineStr">
        <is>
          <t xml:space="preserve">            GORGIAS</t>
        </is>
      </c>
      <c r="B79" s="4" t="n"/>
      <c r="C79" s="4" t="inlineStr">
        <is>
          <t>GORGIAS</t>
        </is>
      </c>
      <c r="D79" s="5">
        <f>SUMIFS('g-expenses-sl'!$F:$F,'g-expenses-sl'!$A:$A,D$1,'g-expenses-sl'!$D:$D,"technology",'g-expenses-sl'!$E:$E,$C79)</f>
        <v/>
      </c>
      <c r="E79" s="5">
        <f>SUMIFS('g-expenses-sl'!$F:$F,'g-expenses-sl'!$A:$A,E$1,'g-expenses-sl'!$D:$D,"technology",'g-expenses-sl'!$E:$E,$C79)</f>
        <v/>
      </c>
      <c r="F79" s="5">
        <f>SUMIFS('g-expenses-sl'!$F:$F,'g-expenses-sl'!$A:$A,F$1,'g-expenses-sl'!$D:$D,"technology",'g-expenses-sl'!$E:$E,$C79)</f>
        <v/>
      </c>
      <c r="G79" s="5">
        <f>SUMIFS('g-expenses-sl'!$F:$F,'g-expenses-sl'!$A:$A,G$1,'g-expenses-sl'!$D:$D,"technology",'g-expenses-sl'!$E:$E,$C79)</f>
        <v/>
      </c>
      <c r="H79" s="5">
        <f>SUMIFS('g-expenses-sl'!$F:$F,'g-expenses-sl'!$A:$A,H$1,'g-expenses-sl'!$D:$D,"technology",'g-expenses-sl'!$E:$E,$C79)</f>
        <v/>
      </c>
      <c r="I79" s="5">
        <f>SUMIFS('g-expenses-sl'!$F:$F,'g-expenses-sl'!$A:$A,I$1,'g-expenses-sl'!$D:$D,"technology",'g-expenses-sl'!$E:$E,$C79)</f>
        <v/>
      </c>
      <c r="J79" s="5">
        <f>SUMIFS('g-expenses-sl'!$F:$F,'g-expenses-sl'!$A:$A,J$1,'g-expenses-sl'!$D:$D,"technology",'g-expenses-sl'!$E:$E,$C79)</f>
        <v/>
      </c>
      <c r="K79" s="5">
        <f>SUMIFS('g-expenses-sl'!$F:$F,'g-expenses-sl'!$A:$A,K$1,'g-expenses-sl'!$D:$D,"technology",'g-expenses-sl'!$E:$E,$C79)</f>
        <v/>
      </c>
      <c r="L79" s="5">
        <f>SUMIFS('g-expenses-sl'!$F:$F,'g-expenses-sl'!$A:$A,L$1,'g-expenses-sl'!$D:$D,"technology",'g-expenses-sl'!$E:$E,$C79)</f>
        <v/>
      </c>
      <c r="M79" s="5">
        <f>SUMIFS('g-expenses-sl'!$F:$F,'g-expenses-sl'!$A:$A,M$1,'g-expenses-sl'!$D:$D,"technology",'g-expenses-sl'!$E:$E,$C79)</f>
        <v/>
      </c>
      <c r="N79" s="5">
        <f>SUMIFS('g-expenses-sl'!$F:$F,'g-expenses-sl'!$A:$A,N$1,'g-expenses-sl'!$D:$D,"technology",'g-expenses-sl'!$E:$E,$C79)</f>
        <v/>
      </c>
      <c r="O79" s="5">
        <f>SUMIFS('g-expenses-sl'!$F:$F,'g-expenses-sl'!$A:$A,O$1,'g-expenses-sl'!$D:$D,"technology",'g-expenses-sl'!$E:$E,$C79)</f>
        <v/>
      </c>
      <c r="P79" s="21" t="inlineStr">
        <is>
          <t>-&gt;</t>
        </is>
      </c>
      <c r="Q79" s="19">
        <f>SUM(D79:O79)</f>
        <v/>
      </c>
    </row>
    <row r="80" hidden="1" outlineLevel="1" ht="12" customHeight="1">
      <c r="A80" s="20" t="inlineStr">
        <is>
          <t xml:space="preserve">            HETZNER</t>
        </is>
      </c>
      <c r="B80" s="4" t="n"/>
      <c r="C80" s="4" t="inlineStr">
        <is>
          <t>HETZNER</t>
        </is>
      </c>
      <c r="D80" s="5">
        <f>SUMIFS('g-expenses-sl'!$F:$F,'g-expenses-sl'!$A:$A,D$1,'g-expenses-sl'!$D:$D,"technology",'g-expenses-sl'!$E:$E,$C80)</f>
        <v/>
      </c>
      <c r="E80" s="5">
        <f>SUMIFS('g-expenses-sl'!$F:$F,'g-expenses-sl'!$A:$A,E$1,'g-expenses-sl'!$D:$D,"technology",'g-expenses-sl'!$E:$E,$C80)</f>
        <v/>
      </c>
      <c r="F80" s="5">
        <f>SUMIFS('g-expenses-sl'!$F:$F,'g-expenses-sl'!$A:$A,F$1,'g-expenses-sl'!$D:$D,"technology",'g-expenses-sl'!$E:$E,$C80)</f>
        <v/>
      </c>
      <c r="G80" s="5">
        <f>SUMIFS('g-expenses-sl'!$F:$F,'g-expenses-sl'!$A:$A,G$1,'g-expenses-sl'!$D:$D,"technology",'g-expenses-sl'!$E:$E,$C80)</f>
        <v/>
      </c>
      <c r="H80" s="5">
        <f>SUMIFS('g-expenses-sl'!$F:$F,'g-expenses-sl'!$A:$A,H$1,'g-expenses-sl'!$D:$D,"technology",'g-expenses-sl'!$E:$E,$C80)</f>
        <v/>
      </c>
      <c r="I80" s="5">
        <f>SUMIFS('g-expenses-sl'!$F:$F,'g-expenses-sl'!$A:$A,I$1,'g-expenses-sl'!$D:$D,"technology",'g-expenses-sl'!$E:$E,$C80)</f>
        <v/>
      </c>
      <c r="J80" s="5">
        <f>SUMIFS('g-expenses-sl'!$F:$F,'g-expenses-sl'!$A:$A,J$1,'g-expenses-sl'!$D:$D,"technology",'g-expenses-sl'!$E:$E,$C80)</f>
        <v/>
      </c>
      <c r="K80" s="5">
        <f>SUMIFS('g-expenses-sl'!$F:$F,'g-expenses-sl'!$A:$A,K$1,'g-expenses-sl'!$D:$D,"technology",'g-expenses-sl'!$E:$E,$C80)</f>
        <v/>
      </c>
      <c r="L80" s="5">
        <f>SUMIFS('g-expenses-sl'!$F:$F,'g-expenses-sl'!$A:$A,L$1,'g-expenses-sl'!$D:$D,"technology",'g-expenses-sl'!$E:$E,$C80)</f>
        <v/>
      </c>
      <c r="M80" s="5">
        <f>SUMIFS('g-expenses-sl'!$F:$F,'g-expenses-sl'!$A:$A,M$1,'g-expenses-sl'!$D:$D,"technology",'g-expenses-sl'!$E:$E,$C80)</f>
        <v/>
      </c>
      <c r="N80" s="5">
        <f>SUMIFS('g-expenses-sl'!$F:$F,'g-expenses-sl'!$A:$A,N$1,'g-expenses-sl'!$D:$D,"technology",'g-expenses-sl'!$E:$E,$C80)</f>
        <v/>
      </c>
      <c r="O80" s="5">
        <f>SUMIFS('g-expenses-sl'!$F:$F,'g-expenses-sl'!$A:$A,O$1,'g-expenses-sl'!$D:$D,"technology",'g-expenses-sl'!$E:$E,$C80)</f>
        <v/>
      </c>
      <c r="P80" s="21" t="inlineStr">
        <is>
          <t>-&gt;</t>
        </is>
      </c>
      <c r="Q80" s="19">
        <f>SUM(D80:O80)</f>
        <v/>
      </c>
    </row>
    <row r="81" hidden="1" outlineLevel="1" ht="12" customHeight="1">
      <c r="A81" s="20" t="inlineStr">
        <is>
          <t xml:space="preserve">            KONVOAI</t>
        </is>
      </c>
      <c r="B81" s="4" t="n"/>
      <c r="C81" s="4" t="inlineStr">
        <is>
          <t>KONVOAI</t>
        </is>
      </c>
      <c r="D81" s="5">
        <f>SUMIFS('g-expenses-sl'!$F:$F,'g-expenses-sl'!$A:$A,D$1,'g-expenses-sl'!$D:$D,"technology",'g-expenses-sl'!$E:$E,$C81)</f>
        <v/>
      </c>
      <c r="E81" s="5">
        <f>SUMIFS('g-expenses-sl'!$F:$F,'g-expenses-sl'!$A:$A,E$1,'g-expenses-sl'!$D:$D,"technology",'g-expenses-sl'!$E:$E,$C81)</f>
        <v/>
      </c>
      <c r="F81" s="5">
        <f>SUMIFS('g-expenses-sl'!$F:$F,'g-expenses-sl'!$A:$A,F$1,'g-expenses-sl'!$D:$D,"technology",'g-expenses-sl'!$E:$E,$C81)</f>
        <v/>
      </c>
      <c r="G81" s="5">
        <f>SUMIFS('g-expenses-sl'!$F:$F,'g-expenses-sl'!$A:$A,G$1,'g-expenses-sl'!$D:$D,"technology",'g-expenses-sl'!$E:$E,$C81)</f>
        <v/>
      </c>
      <c r="H81" s="5">
        <f>SUMIFS('g-expenses-sl'!$F:$F,'g-expenses-sl'!$A:$A,H$1,'g-expenses-sl'!$D:$D,"technology",'g-expenses-sl'!$E:$E,$C81)</f>
        <v/>
      </c>
      <c r="I81" s="5">
        <f>SUMIFS('g-expenses-sl'!$F:$F,'g-expenses-sl'!$A:$A,I$1,'g-expenses-sl'!$D:$D,"technology",'g-expenses-sl'!$E:$E,$C81)</f>
        <v/>
      </c>
      <c r="J81" s="5">
        <f>SUMIFS('g-expenses-sl'!$F:$F,'g-expenses-sl'!$A:$A,J$1,'g-expenses-sl'!$D:$D,"technology",'g-expenses-sl'!$E:$E,$C81)</f>
        <v/>
      </c>
      <c r="K81" s="5">
        <f>SUMIFS('g-expenses-sl'!$F:$F,'g-expenses-sl'!$A:$A,K$1,'g-expenses-sl'!$D:$D,"technology",'g-expenses-sl'!$E:$E,$C81)</f>
        <v/>
      </c>
      <c r="L81" s="5">
        <f>SUMIFS('g-expenses-sl'!$F:$F,'g-expenses-sl'!$A:$A,L$1,'g-expenses-sl'!$D:$D,"technology",'g-expenses-sl'!$E:$E,$C81)</f>
        <v/>
      </c>
      <c r="M81" s="5">
        <f>SUMIFS('g-expenses-sl'!$F:$F,'g-expenses-sl'!$A:$A,M$1,'g-expenses-sl'!$D:$D,"technology",'g-expenses-sl'!$E:$E,$C81)</f>
        <v/>
      </c>
      <c r="N81" s="5">
        <f>SUMIFS('g-expenses-sl'!$F:$F,'g-expenses-sl'!$A:$A,N$1,'g-expenses-sl'!$D:$D,"technology",'g-expenses-sl'!$E:$E,$C81)</f>
        <v/>
      </c>
      <c r="O81" s="5">
        <f>SUMIFS('g-expenses-sl'!$F:$F,'g-expenses-sl'!$A:$A,O$1,'g-expenses-sl'!$D:$D,"technology",'g-expenses-sl'!$E:$E,$C81)</f>
        <v/>
      </c>
      <c r="P81" s="21" t="inlineStr">
        <is>
          <t>-&gt;</t>
        </is>
      </c>
      <c r="Q81" s="19">
        <f>SUM(D81:O81)</f>
        <v/>
      </c>
    </row>
    <row r="82" hidden="1" outlineLevel="1" ht="12" customHeight="1">
      <c r="A82" s="20" t="inlineStr">
        <is>
          <t xml:space="preserve">            MASMOVIL</t>
        </is>
      </c>
      <c r="B82" s="4" t="n"/>
      <c r="C82" s="4" t="inlineStr">
        <is>
          <t>MASMOVIL</t>
        </is>
      </c>
      <c r="D82" s="5">
        <f>SUMIFS('g-expenses-sl'!$F:$F,'g-expenses-sl'!$A:$A,D$1,'g-expenses-sl'!$D:$D,"technology",'g-expenses-sl'!$E:$E,$C82)</f>
        <v/>
      </c>
      <c r="E82" s="5">
        <f>SUMIFS('g-expenses-sl'!$F:$F,'g-expenses-sl'!$A:$A,E$1,'g-expenses-sl'!$D:$D,"technology",'g-expenses-sl'!$E:$E,$C82)</f>
        <v/>
      </c>
      <c r="F82" s="5">
        <f>SUMIFS('g-expenses-sl'!$F:$F,'g-expenses-sl'!$A:$A,F$1,'g-expenses-sl'!$D:$D,"technology",'g-expenses-sl'!$E:$E,$C82)</f>
        <v/>
      </c>
      <c r="G82" s="5">
        <f>SUMIFS('g-expenses-sl'!$F:$F,'g-expenses-sl'!$A:$A,G$1,'g-expenses-sl'!$D:$D,"technology",'g-expenses-sl'!$E:$E,$C82)</f>
        <v/>
      </c>
      <c r="H82" s="5">
        <f>SUMIFS('g-expenses-sl'!$F:$F,'g-expenses-sl'!$A:$A,H$1,'g-expenses-sl'!$D:$D,"technology",'g-expenses-sl'!$E:$E,$C82)</f>
        <v/>
      </c>
      <c r="I82" s="5">
        <f>SUMIFS('g-expenses-sl'!$F:$F,'g-expenses-sl'!$A:$A,I$1,'g-expenses-sl'!$D:$D,"technology",'g-expenses-sl'!$E:$E,$C82)</f>
        <v/>
      </c>
      <c r="J82" s="5">
        <f>SUMIFS('g-expenses-sl'!$F:$F,'g-expenses-sl'!$A:$A,J$1,'g-expenses-sl'!$D:$D,"technology",'g-expenses-sl'!$E:$E,$C82)</f>
        <v/>
      </c>
      <c r="K82" s="5">
        <f>SUMIFS('g-expenses-sl'!$F:$F,'g-expenses-sl'!$A:$A,K$1,'g-expenses-sl'!$D:$D,"technology",'g-expenses-sl'!$E:$E,$C82)</f>
        <v/>
      </c>
      <c r="L82" s="5">
        <f>SUMIFS('g-expenses-sl'!$F:$F,'g-expenses-sl'!$A:$A,L$1,'g-expenses-sl'!$D:$D,"technology",'g-expenses-sl'!$E:$E,$C82)</f>
        <v/>
      </c>
      <c r="M82" s="5">
        <f>SUMIFS('g-expenses-sl'!$F:$F,'g-expenses-sl'!$A:$A,M$1,'g-expenses-sl'!$D:$D,"technology",'g-expenses-sl'!$E:$E,$C82)</f>
        <v/>
      </c>
      <c r="N82" s="5">
        <f>SUMIFS('g-expenses-sl'!$F:$F,'g-expenses-sl'!$A:$A,N$1,'g-expenses-sl'!$D:$D,"technology",'g-expenses-sl'!$E:$E,$C82)</f>
        <v/>
      </c>
      <c r="O82" s="5">
        <f>SUMIFS('g-expenses-sl'!$F:$F,'g-expenses-sl'!$A:$A,O$1,'g-expenses-sl'!$D:$D,"technology",'g-expenses-sl'!$E:$E,$C82)</f>
        <v/>
      </c>
      <c r="P82" s="21" t="inlineStr">
        <is>
          <t>-&gt;</t>
        </is>
      </c>
      <c r="Q82" s="19">
        <f>SUM(D82:O82)</f>
        <v/>
      </c>
    </row>
    <row r="83" hidden="1" outlineLevel="1" ht="12" customHeight="1">
      <c r="A83" s="20" t="inlineStr">
        <is>
          <t xml:space="preserve">            MICROSOFT</t>
        </is>
      </c>
      <c r="B83" s="4" t="n"/>
      <c r="C83" s="4" t="inlineStr">
        <is>
          <t>MICROSOFT</t>
        </is>
      </c>
      <c r="D83" s="5">
        <f>SUMIFS('g-expenses-sl'!$F:$F,'g-expenses-sl'!$A:$A,D$1,'g-expenses-sl'!$D:$D,"technology",'g-expenses-sl'!$E:$E,$C83)</f>
        <v/>
      </c>
      <c r="E83" s="5">
        <f>SUMIFS('g-expenses-sl'!$F:$F,'g-expenses-sl'!$A:$A,E$1,'g-expenses-sl'!$D:$D,"technology",'g-expenses-sl'!$E:$E,$C83)</f>
        <v/>
      </c>
      <c r="F83" s="5">
        <f>SUMIFS('g-expenses-sl'!$F:$F,'g-expenses-sl'!$A:$A,F$1,'g-expenses-sl'!$D:$D,"technology",'g-expenses-sl'!$E:$E,$C83)</f>
        <v/>
      </c>
      <c r="G83" s="5">
        <f>SUMIFS('g-expenses-sl'!$F:$F,'g-expenses-sl'!$A:$A,G$1,'g-expenses-sl'!$D:$D,"technology",'g-expenses-sl'!$E:$E,$C83)</f>
        <v/>
      </c>
      <c r="H83" s="5">
        <f>SUMIFS('g-expenses-sl'!$F:$F,'g-expenses-sl'!$A:$A,H$1,'g-expenses-sl'!$D:$D,"technology",'g-expenses-sl'!$E:$E,$C83)</f>
        <v/>
      </c>
      <c r="I83" s="5">
        <f>SUMIFS('g-expenses-sl'!$F:$F,'g-expenses-sl'!$A:$A,I$1,'g-expenses-sl'!$D:$D,"technology",'g-expenses-sl'!$E:$E,$C83)</f>
        <v/>
      </c>
      <c r="J83" s="5">
        <f>SUMIFS('g-expenses-sl'!$F:$F,'g-expenses-sl'!$A:$A,J$1,'g-expenses-sl'!$D:$D,"technology",'g-expenses-sl'!$E:$E,$C83)</f>
        <v/>
      </c>
      <c r="K83" s="5">
        <f>SUMIFS('g-expenses-sl'!$F:$F,'g-expenses-sl'!$A:$A,K$1,'g-expenses-sl'!$D:$D,"technology",'g-expenses-sl'!$E:$E,$C83)</f>
        <v/>
      </c>
      <c r="L83" s="5">
        <f>SUMIFS('g-expenses-sl'!$F:$F,'g-expenses-sl'!$A:$A,L$1,'g-expenses-sl'!$D:$D,"technology",'g-expenses-sl'!$E:$E,$C83)</f>
        <v/>
      </c>
      <c r="M83" s="5">
        <f>SUMIFS('g-expenses-sl'!$F:$F,'g-expenses-sl'!$A:$A,M$1,'g-expenses-sl'!$D:$D,"technology",'g-expenses-sl'!$E:$E,$C83)</f>
        <v/>
      </c>
      <c r="N83" s="5">
        <f>SUMIFS('g-expenses-sl'!$F:$F,'g-expenses-sl'!$A:$A,N$1,'g-expenses-sl'!$D:$D,"technology",'g-expenses-sl'!$E:$E,$C83)</f>
        <v/>
      </c>
      <c r="O83" s="5">
        <f>SUMIFS('g-expenses-sl'!$F:$F,'g-expenses-sl'!$A:$A,O$1,'g-expenses-sl'!$D:$D,"technology",'g-expenses-sl'!$E:$E,$C83)</f>
        <v/>
      </c>
      <c r="P83" s="21" t="inlineStr">
        <is>
          <t>-&gt;</t>
        </is>
      </c>
      <c r="Q83" s="19">
        <f>SUM(D83:O83)</f>
        <v/>
      </c>
    </row>
    <row r="84" hidden="1" outlineLevel="1" ht="12" customHeight="1">
      <c r="A84" s="20" t="inlineStr">
        <is>
          <t xml:space="preserve">            OPENAI</t>
        </is>
      </c>
      <c r="B84" s="4" t="n"/>
      <c r="C84" s="4" t="inlineStr">
        <is>
          <t>OPENAI</t>
        </is>
      </c>
      <c r="D84" s="5">
        <f>SUMIFS('g-expenses-sl'!$F:$F,'g-expenses-sl'!$A:$A,D$1,'g-expenses-sl'!$D:$D,"technology",'g-expenses-sl'!$E:$E,$C84)</f>
        <v/>
      </c>
      <c r="E84" s="5">
        <f>SUMIFS('g-expenses-sl'!$F:$F,'g-expenses-sl'!$A:$A,E$1,'g-expenses-sl'!$D:$D,"technology",'g-expenses-sl'!$E:$E,$C84)</f>
        <v/>
      </c>
      <c r="F84" s="5">
        <f>SUMIFS('g-expenses-sl'!$F:$F,'g-expenses-sl'!$A:$A,F$1,'g-expenses-sl'!$D:$D,"technology",'g-expenses-sl'!$E:$E,$C84)</f>
        <v/>
      </c>
      <c r="G84" s="5">
        <f>SUMIFS('g-expenses-sl'!$F:$F,'g-expenses-sl'!$A:$A,G$1,'g-expenses-sl'!$D:$D,"technology",'g-expenses-sl'!$E:$E,$C84)</f>
        <v/>
      </c>
      <c r="H84" s="5">
        <f>SUMIFS('g-expenses-sl'!$F:$F,'g-expenses-sl'!$A:$A,H$1,'g-expenses-sl'!$D:$D,"technology",'g-expenses-sl'!$E:$E,$C84)</f>
        <v/>
      </c>
      <c r="I84" s="5">
        <f>SUMIFS('g-expenses-sl'!$F:$F,'g-expenses-sl'!$A:$A,I$1,'g-expenses-sl'!$D:$D,"technology",'g-expenses-sl'!$E:$E,$C84)</f>
        <v/>
      </c>
      <c r="J84" s="5">
        <f>SUMIFS('g-expenses-sl'!$F:$F,'g-expenses-sl'!$A:$A,J$1,'g-expenses-sl'!$D:$D,"technology",'g-expenses-sl'!$E:$E,$C84)</f>
        <v/>
      </c>
      <c r="K84" s="5">
        <f>SUMIFS('g-expenses-sl'!$F:$F,'g-expenses-sl'!$A:$A,K$1,'g-expenses-sl'!$D:$D,"technology",'g-expenses-sl'!$E:$E,$C84)</f>
        <v/>
      </c>
      <c r="L84" s="5">
        <f>SUMIFS('g-expenses-sl'!$F:$F,'g-expenses-sl'!$A:$A,L$1,'g-expenses-sl'!$D:$D,"technology",'g-expenses-sl'!$E:$E,$C84)</f>
        <v/>
      </c>
      <c r="M84" s="5">
        <f>SUMIFS('g-expenses-sl'!$F:$F,'g-expenses-sl'!$A:$A,M$1,'g-expenses-sl'!$D:$D,"technology",'g-expenses-sl'!$E:$E,$C84)</f>
        <v/>
      </c>
      <c r="N84" s="5">
        <f>SUMIFS('g-expenses-sl'!$F:$F,'g-expenses-sl'!$A:$A,N$1,'g-expenses-sl'!$D:$D,"technology",'g-expenses-sl'!$E:$E,$C84)</f>
        <v/>
      </c>
      <c r="O84" s="5">
        <f>SUMIFS('g-expenses-sl'!$F:$F,'g-expenses-sl'!$A:$A,O$1,'g-expenses-sl'!$D:$D,"technology",'g-expenses-sl'!$E:$E,$C84)</f>
        <v/>
      </c>
      <c r="P84" s="21" t="inlineStr">
        <is>
          <t>-&gt;</t>
        </is>
      </c>
      <c r="Q84" s="19">
        <f>SUM(D84:O84)</f>
        <v/>
      </c>
    </row>
    <row r="85" hidden="1" outlineLevel="1" ht="12" customHeight="1">
      <c r="A85" s="20" t="inlineStr">
        <is>
          <t xml:space="preserve">            PRODUCTHERO</t>
        </is>
      </c>
      <c r="B85" s="4" t="n"/>
      <c r="C85" s="4" t="inlineStr">
        <is>
          <t>PRODUCTHERO</t>
        </is>
      </c>
      <c r="D85" s="5">
        <f>SUMIFS('g-expenses-sl'!$F:$F,'g-expenses-sl'!$A:$A,D$1,'g-expenses-sl'!$D:$D,"technology",'g-expenses-sl'!$E:$E,$C85)</f>
        <v/>
      </c>
      <c r="E85" s="5">
        <f>SUMIFS('g-expenses-sl'!$F:$F,'g-expenses-sl'!$A:$A,E$1,'g-expenses-sl'!$D:$D,"technology",'g-expenses-sl'!$E:$E,$C85)</f>
        <v/>
      </c>
      <c r="F85" s="5">
        <f>SUMIFS('g-expenses-sl'!$F:$F,'g-expenses-sl'!$A:$A,F$1,'g-expenses-sl'!$D:$D,"technology",'g-expenses-sl'!$E:$E,$C85)</f>
        <v/>
      </c>
      <c r="G85" s="5">
        <f>SUMIFS('g-expenses-sl'!$F:$F,'g-expenses-sl'!$A:$A,G$1,'g-expenses-sl'!$D:$D,"technology",'g-expenses-sl'!$E:$E,$C85)</f>
        <v/>
      </c>
      <c r="H85" s="5">
        <f>SUMIFS('g-expenses-sl'!$F:$F,'g-expenses-sl'!$A:$A,H$1,'g-expenses-sl'!$D:$D,"technology",'g-expenses-sl'!$E:$E,$C85)</f>
        <v/>
      </c>
      <c r="I85" s="5">
        <f>SUMIFS('g-expenses-sl'!$F:$F,'g-expenses-sl'!$A:$A,I$1,'g-expenses-sl'!$D:$D,"technology",'g-expenses-sl'!$E:$E,$C85)</f>
        <v/>
      </c>
      <c r="J85" s="5">
        <f>SUMIFS('g-expenses-sl'!$F:$F,'g-expenses-sl'!$A:$A,J$1,'g-expenses-sl'!$D:$D,"technology",'g-expenses-sl'!$E:$E,$C85)</f>
        <v/>
      </c>
      <c r="K85" s="5">
        <f>SUMIFS('g-expenses-sl'!$F:$F,'g-expenses-sl'!$A:$A,K$1,'g-expenses-sl'!$D:$D,"technology",'g-expenses-sl'!$E:$E,$C85)</f>
        <v/>
      </c>
      <c r="L85" s="5">
        <f>SUMIFS('g-expenses-sl'!$F:$F,'g-expenses-sl'!$A:$A,L$1,'g-expenses-sl'!$D:$D,"technology",'g-expenses-sl'!$E:$E,$C85)</f>
        <v/>
      </c>
      <c r="M85" s="5">
        <f>SUMIFS('g-expenses-sl'!$F:$F,'g-expenses-sl'!$A:$A,M$1,'g-expenses-sl'!$D:$D,"technology",'g-expenses-sl'!$E:$E,$C85)</f>
        <v/>
      </c>
      <c r="N85" s="5">
        <f>SUMIFS('g-expenses-sl'!$F:$F,'g-expenses-sl'!$A:$A,N$1,'g-expenses-sl'!$D:$D,"technology",'g-expenses-sl'!$E:$E,$C85)</f>
        <v/>
      </c>
      <c r="O85" s="5">
        <f>SUMIFS('g-expenses-sl'!$F:$F,'g-expenses-sl'!$A:$A,O$1,'g-expenses-sl'!$D:$D,"technology",'g-expenses-sl'!$E:$E,$C85)</f>
        <v/>
      </c>
      <c r="P85" s="21" t="inlineStr">
        <is>
          <t>-&gt;</t>
        </is>
      </c>
      <c r="Q85" s="19">
        <f>SUM(D85:O85)</f>
        <v/>
      </c>
    </row>
    <row r="86" hidden="1" outlineLevel="1" ht="12" customHeight="1">
      <c r="A86" s="20" t="inlineStr">
        <is>
          <t xml:space="preserve">            RAILWAY</t>
        </is>
      </c>
      <c r="B86" s="4" t="n"/>
      <c r="C86" s="4" t="inlineStr">
        <is>
          <t>RAILWAY</t>
        </is>
      </c>
      <c r="D86" s="5">
        <f>SUMIFS('g-expenses-sl'!$F:$F,'g-expenses-sl'!$A:$A,D$1,'g-expenses-sl'!$D:$D,"technology",'g-expenses-sl'!$E:$E,$C86)</f>
        <v/>
      </c>
      <c r="E86" s="5">
        <f>SUMIFS('g-expenses-sl'!$F:$F,'g-expenses-sl'!$A:$A,E$1,'g-expenses-sl'!$D:$D,"technology",'g-expenses-sl'!$E:$E,$C86)</f>
        <v/>
      </c>
      <c r="F86" s="5">
        <f>SUMIFS('g-expenses-sl'!$F:$F,'g-expenses-sl'!$A:$A,F$1,'g-expenses-sl'!$D:$D,"technology",'g-expenses-sl'!$E:$E,$C86)</f>
        <v/>
      </c>
      <c r="G86" s="5">
        <f>SUMIFS('g-expenses-sl'!$F:$F,'g-expenses-sl'!$A:$A,G$1,'g-expenses-sl'!$D:$D,"technology",'g-expenses-sl'!$E:$E,$C86)</f>
        <v/>
      </c>
      <c r="H86" s="5">
        <f>SUMIFS('g-expenses-sl'!$F:$F,'g-expenses-sl'!$A:$A,H$1,'g-expenses-sl'!$D:$D,"technology",'g-expenses-sl'!$E:$E,$C86)</f>
        <v/>
      </c>
      <c r="I86" s="5">
        <f>SUMIFS('g-expenses-sl'!$F:$F,'g-expenses-sl'!$A:$A,I$1,'g-expenses-sl'!$D:$D,"technology",'g-expenses-sl'!$E:$E,$C86)</f>
        <v/>
      </c>
      <c r="J86" s="5">
        <f>SUMIFS('g-expenses-sl'!$F:$F,'g-expenses-sl'!$A:$A,J$1,'g-expenses-sl'!$D:$D,"technology",'g-expenses-sl'!$E:$E,$C86)</f>
        <v/>
      </c>
      <c r="K86" s="5">
        <f>SUMIFS('g-expenses-sl'!$F:$F,'g-expenses-sl'!$A:$A,K$1,'g-expenses-sl'!$D:$D,"technology",'g-expenses-sl'!$E:$E,$C86)</f>
        <v/>
      </c>
      <c r="L86" s="5">
        <f>SUMIFS('g-expenses-sl'!$F:$F,'g-expenses-sl'!$A:$A,L$1,'g-expenses-sl'!$D:$D,"technology",'g-expenses-sl'!$E:$E,$C86)</f>
        <v/>
      </c>
      <c r="M86" s="5">
        <f>SUMIFS('g-expenses-sl'!$F:$F,'g-expenses-sl'!$A:$A,M$1,'g-expenses-sl'!$D:$D,"technology",'g-expenses-sl'!$E:$E,$C86)</f>
        <v/>
      </c>
      <c r="N86" s="5">
        <f>SUMIFS('g-expenses-sl'!$F:$F,'g-expenses-sl'!$A:$A,N$1,'g-expenses-sl'!$D:$D,"technology",'g-expenses-sl'!$E:$E,$C86)</f>
        <v/>
      </c>
      <c r="O86" s="5">
        <f>SUMIFS('g-expenses-sl'!$F:$F,'g-expenses-sl'!$A:$A,O$1,'g-expenses-sl'!$D:$D,"technology",'g-expenses-sl'!$E:$E,$C86)</f>
        <v/>
      </c>
      <c r="P86" s="21" t="inlineStr">
        <is>
          <t>-&gt;</t>
        </is>
      </c>
      <c r="Q86" s="19">
        <f>SUM(D86:O86)</f>
        <v/>
      </c>
    </row>
    <row r="87" hidden="1" outlineLevel="1" ht="12" customHeight="1">
      <c r="A87" s="20" t="inlineStr">
        <is>
          <t xml:space="preserve">            REVER</t>
        </is>
      </c>
      <c r="B87" s="4" t="n"/>
      <c r="C87" s="4" t="inlineStr">
        <is>
          <t>REVER</t>
        </is>
      </c>
      <c r="D87" s="5">
        <f>SUMIFS('g-expenses-sl'!$F:$F,'g-expenses-sl'!$A:$A,D$1,'g-expenses-sl'!$D:$D,"technology",'g-expenses-sl'!$E:$E,$C87)</f>
        <v/>
      </c>
      <c r="E87" s="5">
        <f>SUMIFS('g-expenses-sl'!$F:$F,'g-expenses-sl'!$A:$A,E$1,'g-expenses-sl'!$D:$D,"technology",'g-expenses-sl'!$E:$E,$C87)</f>
        <v/>
      </c>
      <c r="F87" s="5">
        <f>SUMIFS('g-expenses-sl'!$F:$F,'g-expenses-sl'!$A:$A,F$1,'g-expenses-sl'!$D:$D,"technology",'g-expenses-sl'!$E:$E,$C87)</f>
        <v/>
      </c>
      <c r="G87" s="5">
        <f>SUMIFS('g-expenses-sl'!$F:$F,'g-expenses-sl'!$A:$A,G$1,'g-expenses-sl'!$D:$D,"technology",'g-expenses-sl'!$E:$E,$C87)</f>
        <v/>
      </c>
      <c r="H87" s="5">
        <f>SUMIFS('g-expenses-sl'!$F:$F,'g-expenses-sl'!$A:$A,H$1,'g-expenses-sl'!$D:$D,"technology",'g-expenses-sl'!$E:$E,$C87)</f>
        <v/>
      </c>
      <c r="I87" s="5">
        <f>SUMIFS('g-expenses-sl'!$F:$F,'g-expenses-sl'!$A:$A,I$1,'g-expenses-sl'!$D:$D,"technology",'g-expenses-sl'!$E:$E,$C87)</f>
        <v/>
      </c>
      <c r="J87" s="5">
        <f>SUMIFS('g-expenses-sl'!$F:$F,'g-expenses-sl'!$A:$A,J$1,'g-expenses-sl'!$D:$D,"technology",'g-expenses-sl'!$E:$E,$C87)</f>
        <v/>
      </c>
      <c r="K87" s="5">
        <f>SUMIFS('g-expenses-sl'!$F:$F,'g-expenses-sl'!$A:$A,K$1,'g-expenses-sl'!$D:$D,"technology",'g-expenses-sl'!$E:$E,$C87)</f>
        <v/>
      </c>
      <c r="L87" s="5">
        <f>SUMIFS('g-expenses-sl'!$F:$F,'g-expenses-sl'!$A:$A,L$1,'g-expenses-sl'!$D:$D,"technology",'g-expenses-sl'!$E:$E,$C87)</f>
        <v/>
      </c>
      <c r="M87" s="5">
        <f>SUMIFS('g-expenses-sl'!$F:$F,'g-expenses-sl'!$A:$A,M$1,'g-expenses-sl'!$D:$D,"technology",'g-expenses-sl'!$E:$E,$C87)</f>
        <v/>
      </c>
      <c r="N87" s="5">
        <f>SUMIFS('g-expenses-sl'!$F:$F,'g-expenses-sl'!$A:$A,N$1,'g-expenses-sl'!$D:$D,"technology",'g-expenses-sl'!$E:$E,$C87)</f>
        <v/>
      </c>
      <c r="O87" s="5">
        <f>SUMIFS('g-expenses-sl'!$F:$F,'g-expenses-sl'!$A:$A,O$1,'g-expenses-sl'!$D:$D,"technology",'g-expenses-sl'!$E:$E,$C87)</f>
        <v/>
      </c>
      <c r="P87" s="21" t="inlineStr">
        <is>
          <t>-&gt;</t>
        </is>
      </c>
      <c r="Q87" s="19">
        <f>SUM(D87:O87)</f>
        <v/>
      </c>
    </row>
    <row r="88" hidden="1" outlineLevel="1" ht="12" customHeight="1">
      <c r="A88" s="20" t="inlineStr">
        <is>
          <t xml:space="preserve">            SHOPIFY</t>
        </is>
      </c>
      <c r="B88" s="4" t="n"/>
      <c r="C88" s="4" t="inlineStr">
        <is>
          <t>SHOPIFY</t>
        </is>
      </c>
      <c r="D88" s="5">
        <f>SUMIFS('g-expenses-sl'!$F:$F,'g-expenses-sl'!$A:$A,D$1,'g-expenses-sl'!$D:$D,"technology",'g-expenses-sl'!$E:$E,$C88)</f>
        <v/>
      </c>
      <c r="E88" s="5">
        <f>SUMIFS('g-expenses-sl'!$F:$F,'g-expenses-sl'!$A:$A,E$1,'g-expenses-sl'!$D:$D,"technology",'g-expenses-sl'!$E:$E,$C88)</f>
        <v/>
      </c>
      <c r="F88" s="5">
        <f>SUMIFS('g-expenses-sl'!$F:$F,'g-expenses-sl'!$A:$A,F$1,'g-expenses-sl'!$D:$D,"technology",'g-expenses-sl'!$E:$E,$C88)</f>
        <v/>
      </c>
      <c r="G88" s="5">
        <f>SUMIFS('g-expenses-sl'!$F:$F,'g-expenses-sl'!$A:$A,G$1,'g-expenses-sl'!$D:$D,"technology",'g-expenses-sl'!$E:$E,$C88)</f>
        <v/>
      </c>
      <c r="H88" s="5">
        <f>SUMIFS('g-expenses-sl'!$F:$F,'g-expenses-sl'!$A:$A,H$1,'g-expenses-sl'!$D:$D,"technology",'g-expenses-sl'!$E:$E,$C88)</f>
        <v/>
      </c>
      <c r="I88" s="5">
        <f>SUMIFS('g-expenses-sl'!$F:$F,'g-expenses-sl'!$A:$A,I$1,'g-expenses-sl'!$D:$D,"technology",'g-expenses-sl'!$E:$E,$C88)</f>
        <v/>
      </c>
      <c r="J88" s="5">
        <f>SUMIFS('g-expenses-sl'!$F:$F,'g-expenses-sl'!$A:$A,J$1,'g-expenses-sl'!$D:$D,"technology",'g-expenses-sl'!$E:$E,$C88)</f>
        <v/>
      </c>
      <c r="K88" s="5">
        <f>SUMIFS('g-expenses-sl'!$F:$F,'g-expenses-sl'!$A:$A,K$1,'g-expenses-sl'!$D:$D,"technology",'g-expenses-sl'!$E:$E,$C88)</f>
        <v/>
      </c>
      <c r="L88" s="5">
        <f>SUMIFS('g-expenses-sl'!$F:$F,'g-expenses-sl'!$A:$A,L$1,'g-expenses-sl'!$D:$D,"technology",'g-expenses-sl'!$E:$E,$C88)</f>
        <v/>
      </c>
      <c r="M88" s="5">
        <f>SUMIFS('g-expenses-sl'!$F:$F,'g-expenses-sl'!$A:$A,M$1,'g-expenses-sl'!$D:$D,"technology",'g-expenses-sl'!$E:$E,$C88)</f>
        <v/>
      </c>
      <c r="N88" s="5">
        <f>SUMIFS('g-expenses-sl'!$F:$F,'g-expenses-sl'!$A:$A,N$1,'g-expenses-sl'!$D:$D,"technology",'g-expenses-sl'!$E:$E,$C88)</f>
        <v/>
      </c>
      <c r="O88" s="5">
        <f>SUMIFS('g-expenses-sl'!$F:$F,'g-expenses-sl'!$A:$A,O$1,'g-expenses-sl'!$D:$D,"technology",'g-expenses-sl'!$E:$E,$C88)</f>
        <v/>
      </c>
      <c r="P88" s="21" t="inlineStr">
        <is>
          <t>-&gt;</t>
        </is>
      </c>
      <c r="Q88" s="19">
        <f>SUM(D88:O88)</f>
        <v/>
      </c>
    </row>
    <row r="89" hidden="1" outlineLevel="1" collapsed="1" ht="12" customHeight="1">
      <c r="A89" s="20" t="inlineStr">
        <is>
          <t xml:space="preserve">            YUMAAI</t>
        </is>
      </c>
      <c r="B89" s="4" t="n"/>
      <c r="C89" s="4" t="inlineStr">
        <is>
          <t>YUMAAI</t>
        </is>
      </c>
      <c r="D89" s="5">
        <f>SUMIFS('g-expenses-sl'!$F:$F,'g-expenses-sl'!$A:$A,D$1,'g-expenses-sl'!$D:$D,"technology",'g-expenses-sl'!$E:$E,$C89)</f>
        <v/>
      </c>
      <c r="E89" s="5">
        <f>SUMIFS('g-expenses-sl'!$F:$F,'g-expenses-sl'!$A:$A,E$1,'g-expenses-sl'!$D:$D,"technology",'g-expenses-sl'!$E:$E,$C89)</f>
        <v/>
      </c>
      <c r="F89" s="5">
        <f>SUMIFS('g-expenses-sl'!$F:$F,'g-expenses-sl'!$A:$A,F$1,'g-expenses-sl'!$D:$D,"technology",'g-expenses-sl'!$E:$E,$C89)</f>
        <v/>
      </c>
      <c r="G89" s="5">
        <f>SUMIFS('g-expenses-sl'!$F:$F,'g-expenses-sl'!$A:$A,G$1,'g-expenses-sl'!$D:$D,"technology",'g-expenses-sl'!$E:$E,$C89)</f>
        <v/>
      </c>
      <c r="H89" s="5">
        <f>SUMIFS('g-expenses-sl'!$F:$F,'g-expenses-sl'!$A:$A,H$1,'g-expenses-sl'!$D:$D,"technology",'g-expenses-sl'!$E:$E,$C89)</f>
        <v/>
      </c>
      <c r="I89" s="5">
        <f>SUMIFS('g-expenses-sl'!$F:$F,'g-expenses-sl'!$A:$A,I$1,'g-expenses-sl'!$D:$D,"technology",'g-expenses-sl'!$E:$E,$C89)</f>
        <v/>
      </c>
      <c r="J89" s="5">
        <f>SUMIFS('g-expenses-sl'!$F:$F,'g-expenses-sl'!$A:$A,J$1,'g-expenses-sl'!$D:$D,"technology",'g-expenses-sl'!$E:$E,$C89)</f>
        <v/>
      </c>
      <c r="K89" s="5">
        <f>SUMIFS('g-expenses-sl'!$F:$F,'g-expenses-sl'!$A:$A,K$1,'g-expenses-sl'!$D:$D,"technology",'g-expenses-sl'!$E:$E,$C89)</f>
        <v/>
      </c>
      <c r="L89" s="5">
        <f>SUMIFS('g-expenses-sl'!$F:$F,'g-expenses-sl'!$A:$A,L$1,'g-expenses-sl'!$D:$D,"technology",'g-expenses-sl'!$E:$E,$C89)</f>
        <v/>
      </c>
      <c r="M89" s="5">
        <f>SUMIFS('g-expenses-sl'!$F:$F,'g-expenses-sl'!$A:$A,M$1,'g-expenses-sl'!$D:$D,"technology",'g-expenses-sl'!$E:$E,$C89)</f>
        <v/>
      </c>
      <c r="N89" s="5">
        <f>SUMIFS('g-expenses-sl'!$F:$F,'g-expenses-sl'!$A:$A,N$1,'g-expenses-sl'!$D:$D,"technology",'g-expenses-sl'!$E:$E,$C89)</f>
        <v/>
      </c>
      <c r="O89" s="5">
        <f>SUMIFS('g-expenses-sl'!$F:$F,'g-expenses-sl'!$A:$A,O$1,'g-expenses-sl'!$D:$D,"technology",'g-expenses-sl'!$E:$E,$C89)</f>
        <v/>
      </c>
      <c r="P89" s="21" t="inlineStr">
        <is>
          <t>-&gt;</t>
        </is>
      </c>
      <c r="Q89" s="19">
        <f>SUM(D89:O89)</f>
        <v/>
      </c>
    </row>
    <row r="90" ht="12" customHeight="1">
      <c r="A90" s="4" t="n"/>
      <c r="B90" s="4" t="n"/>
      <c r="C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19">
        <f>SUM(D90:O90)</f>
        <v/>
      </c>
    </row>
    <row r="91" ht="12" customHeight="1">
      <c r="A91" s="28" t="inlineStr">
        <is>
          <t>PROFIT</t>
        </is>
      </c>
      <c r="B91" s="29" t="n"/>
      <c r="C91" s="29" t="n"/>
      <c r="D91" s="30">
        <f>D4-D32-D60</f>
        <v/>
      </c>
      <c r="E91" s="30">
        <f>E4-E32-E60</f>
        <v/>
      </c>
      <c r="F91" s="30">
        <f>F4-F32-F60</f>
        <v/>
      </c>
      <c r="G91" s="30">
        <f>G4-G32-G60</f>
        <v/>
      </c>
      <c r="H91" s="30">
        <f>H4-H32-H60</f>
        <v/>
      </c>
      <c r="I91" s="30">
        <f>I4-I32-I60</f>
        <v/>
      </c>
      <c r="J91" s="30">
        <f>J4-J32-J60</f>
        <v/>
      </c>
      <c r="K91" s="30">
        <f>K4-K32-K60</f>
        <v/>
      </c>
      <c r="L91" s="30">
        <f>L4-L32-L60</f>
        <v/>
      </c>
      <c r="M91" s="30">
        <f>M4-M32-M60</f>
        <v/>
      </c>
      <c r="N91" s="30">
        <f>N4-N32-N60</f>
        <v/>
      </c>
      <c r="O91" s="30">
        <f>O4-O32-O60</f>
        <v/>
      </c>
      <c r="P91" s="30" t="n"/>
      <c r="Q91" s="9">
        <f>SUM(D91:O91)</f>
        <v/>
      </c>
    </row>
    <row r="92" ht="12" customHeight="1">
      <c r="A92" s="31" t="inlineStr">
        <is>
          <t xml:space="preserve">        % Profit / turnover</t>
        </is>
      </c>
      <c r="B92" s="32" t="n"/>
      <c r="C92" s="32" t="n"/>
      <c r="D92" s="33">
        <f>IFERROR(D91/D4,0)</f>
        <v/>
      </c>
      <c r="E92" s="33">
        <f>IFERROR(E91/E4,0)</f>
        <v/>
      </c>
      <c r="F92" s="33">
        <f>IFERROR(F91/F4,0)</f>
        <v/>
      </c>
      <c r="G92" s="33">
        <f>IFERROR(G91/G4,0)</f>
        <v/>
      </c>
      <c r="H92" s="33">
        <f>IFERROR(H91/H4,0)</f>
        <v/>
      </c>
      <c r="I92" s="33">
        <f>IFERROR(I91/I4,0)</f>
        <v/>
      </c>
      <c r="J92" s="33">
        <f>IFERROR(J91/J4,0)</f>
        <v/>
      </c>
      <c r="K92" s="33">
        <f>IFERROR(K91/K4,0)</f>
        <v/>
      </c>
      <c r="L92" s="33">
        <f>IFERROR(L91/L4,0)</f>
        <v/>
      </c>
      <c r="M92" s="33">
        <f>IFERROR(M91/M4,0)</f>
        <v/>
      </c>
      <c r="N92" s="33">
        <f>IFERROR(N91/N4,0)</f>
        <v/>
      </c>
      <c r="O92" s="33">
        <f>IFERROR(O91/O4,0)</f>
        <v/>
      </c>
      <c r="P92" s="33" t="n"/>
      <c r="Q92" s="27">
        <f>SUM(D92:O92)</f>
        <v/>
      </c>
    </row>
  </sheetData>
  <mergeCells count="2">
    <mergeCell ref="A3:C3"/>
    <mergeCell ref="A2:C2"/>
  </mergeCells>
  <hyperlinks>
    <hyperlink xmlns:r="http://schemas.openxmlformats.org/officeDocument/2006/relationships" ref="P6" r:id="rId1"/>
    <hyperlink xmlns:r="http://schemas.openxmlformats.org/officeDocument/2006/relationships" ref="P7" r:id="rId2"/>
    <hyperlink xmlns:r="http://schemas.openxmlformats.org/officeDocument/2006/relationships" ref="P8" r:id="rId3"/>
    <hyperlink xmlns:r="http://schemas.openxmlformats.org/officeDocument/2006/relationships" ref="P9" r:id="rId4"/>
    <hyperlink xmlns:r="http://schemas.openxmlformats.org/officeDocument/2006/relationships" ref="P10" r:id="rId5"/>
    <hyperlink xmlns:r="http://schemas.openxmlformats.org/officeDocument/2006/relationships" ref="P11" r:id="rId6"/>
    <hyperlink xmlns:r="http://schemas.openxmlformats.org/officeDocument/2006/relationships" ref="P12" r:id="rId7"/>
    <hyperlink xmlns:r="http://schemas.openxmlformats.org/officeDocument/2006/relationships" ref="P13" r:id="rId8"/>
    <hyperlink xmlns:r="http://schemas.openxmlformats.org/officeDocument/2006/relationships" ref="P14" r:id="rId9"/>
    <hyperlink xmlns:r="http://schemas.openxmlformats.org/officeDocument/2006/relationships" ref="P15" r:id="rId10"/>
    <hyperlink xmlns:r="http://schemas.openxmlformats.org/officeDocument/2006/relationships" ref="P16" r:id="rId11"/>
    <hyperlink xmlns:r="http://schemas.openxmlformats.org/officeDocument/2006/relationships" ref="P17" r:id="rId12"/>
    <hyperlink xmlns:r="http://schemas.openxmlformats.org/officeDocument/2006/relationships" ref="P18" r:id="rId13"/>
    <hyperlink xmlns:r="http://schemas.openxmlformats.org/officeDocument/2006/relationships" ref="P19" r:id="rId14"/>
    <hyperlink xmlns:r="http://schemas.openxmlformats.org/officeDocument/2006/relationships" ref="P20" r:id="rId15"/>
    <hyperlink xmlns:r="http://schemas.openxmlformats.org/officeDocument/2006/relationships" ref="P21" r:id="rId16"/>
    <hyperlink xmlns:r="http://schemas.openxmlformats.org/officeDocument/2006/relationships" ref="P22" r:id="rId17"/>
    <hyperlink xmlns:r="http://schemas.openxmlformats.org/officeDocument/2006/relationships" ref="P23" r:id="rId18"/>
    <hyperlink xmlns:r="http://schemas.openxmlformats.org/officeDocument/2006/relationships" ref="P25" r:id="rId19"/>
    <hyperlink xmlns:r="http://schemas.openxmlformats.org/officeDocument/2006/relationships" ref="P26" r:id="rId20"/>
    <hyperlink xmlns:r="http://schemas.openxmlformats.org/officeDocument/2006/relationships" ref="P27" r:id="rId21"/>
    <hyperlink xmlns:r="http://schemas.openxmlformats.org/officeDocument/2006/relationships" ref="P28" r:id="rId22"/>
    <hyperlink xmlns:r="http://schemas.openxmlformats.org/officeDocument/2006/relationships" ref="P29" r:id="rId23"/>
    <hyperlink xmlns:r="http://schemas.openxmlformats.org/officeDocument/2006/relationships" ref="P33" r:id="rId24"/>
    <hyperlink xmlns:r="http://schemas.openxmlformats.org/officeDocument/2006/relationships" ref="P34" r:id="rId25"/>
    <hyperlink xmlns:r="http://schemas.openxmlformats.org/officeDocument/2006/relationships" ref="P35" r:id="rId26"/>
    <hyperlink xmlns:r="http://schemas.openxmlformats.org/officeDocument/2006/relationships" ref="P36" r:id="rId27"/>
    <hyperlink xmlns:r="http://schemas.openxmlformats.org/officeDocument/2006/relationships" ref="P37" r:id="rId28"/>
    <hyperlink xmlns:r="http://schemas.openxmlformats.org/officeDocument/2006/relationships" ref="P38" r:id="rId29"/>
    <hyperlink xmlns:r="http://schemas.openxmlformats.org/officeDocument/2006/relationships" ref="P40" r:id="rId30"/>
    <hyperlink xmlns:r="http://schemas.openxmlformats.org/officeDocument/2006/relationships" ref="P41" r:id="rId31"/>
    <hyperlink xmlns:r="http://schemas.openxmlformats.org/officeDocument/2006/relationships" ref="P42" r:id="rId32"/>
    <hyperlink xmlns:r="http://schemas.openxmlformats.org/officeDocument/2006/relationships" ref="P43" r:id="rId33"/>
    <hyperlink xmlns:r="http://schemas.openxmlformats.org/officeDocument/2006/relationships" ref="P44" r:id="rId34"/>
    <hyperlink xmlns:r="http://schemas.openxmlformats.org/officeDocument/2006/relationships" ref="P45" r:id="rId35"/>
    <hyperlink xmlns:r="http://schemas.openxmlformats.org/officeDocument/2006/relationships" ref="P47" r:id="rId36"/>
    <hyperlink xmlns:r="http://schemas.openxmlformats.org/officeDocument/2006/relationships" ref="P48" r:id="rId37"/>
    <hyperlink xmlns:r="http://schemas.openxmlformats.org/officeDocument/2006/relationships" ref="P50" r:id="rId38"/>
    <hyperlink xmlns:r="http://schemas.openxmlformats.org/officeDocument/2006/relationships" ref="P51" r:id="rId39"/>
    <hyperlink xmlns:r="http://schemas.openxmlformats.org/officeDocument/2006/relationships" ref="P52" r:id="rId40"/>
    <hyperlink xmlns:r="http://schemas.openxmlformats.org/officeDocument/2006/relationships" ref="P61" r:id="rId41"/>
    <hyperlink xmlns:r="http://schemas.openxmlformats.org/officeDocument/2006/relationships" ref="P62" r:id="rId42"/>
    <hyperlink xmlns:r="http://schemas.openxmlformats.org/officeDocument/2006/relationships" ref="P63" r:id="rId43"/>
    <hyperlink xmlns:r="http://schemas.openxmlformats.org/officeDocument/2006/relationships" ref="P65" r:id="rId44"/>
    <hyperlink xmlns:r="http://schemas.openxmlformats.org/officeDocument/2006/relationships" ref="P66" r:id="rId45"/>
    <hyperlink xmlns:r="http://schemas.openxmlformats.org/officeDocument/2006/relationships" ref="P67" r:id="rId46"/>
    <hyperlink xmlns:r="http://schemas.openxmlformats.org/officeDocument/2006/relationships" ref="P68" r:id="rId47"/>
    <hyperlink xmlns:r="http://schemas.openxmlformats.org/officeDocument/2006/relationships" ref="P69" r:id="rId48"/>
    <hyperlink xmlns:r="http://schemas.openxmlformats.org/officeDocument/2006/relationships" ref="P70" r:id="rId49"/>
    <hyperlink xmlns:r="http://schemas.openxmlformats.org/officeDocument/2006/relationships" ref="P71" r:id="rId50"/>
    <hyperlink xmlns:r="http://schemas.openxmlformats.org/officeDocument/2006/relationships" ref="P72" r:id="rId51"/>
    <hyperlink xmlns:r="http://schemas.openxmlformats.org/officeDocument/2006/relationships" ref="P73" r:id="rId52"/>
    <hyperlink xmlns:r="http://schemas.openxmlformats.org/officeDocument/2006/relationships" ref="P74" r:id="rId53"/>
    <hyperlink xmlns:r="http://schemas.openxmlformats.org/officeDocument/2006/relationships" ref="P75" r:id="rId54"/>
    <hyperlink xmlns:r="http://schemas.openxmlformats.org/officeDocument/2006/relationships" ref="P76" r:id="rId55"/>
    <hyperlink xmlns:r="http://schemas.openxmlformats.org/officeDocument/2006/relationships" ref="P77" r:id="rId56"/>
    <hyperlink xmlns:r="http://schemas.openxmlformats.org/officeDocument/2006/relationships" ref="P78" r:id="rId57"/>
    <hyperlink xmlns:r="http://schemas.openxmlformats.org/officeDocument/2006/relationships" ref="P79" r:id="rId58"/>
    <hyperlink xmlns:r="http://schemas.openxmlformats.org/officeDocument/2006/relationships" ref="P80" r:id="rId59"/>
    <hyperlink xmlns:r="http://schemas.openxmlformats.org/officeDocument/2006/relationships" ref="P81" r:id="rId60"/>
    <hyperlink xmlns:r="http://schemas.openxmlformats.org/officeDocument/2006/relationships" ref="P82" r:id="rId61"/>
    <hyperlink xmlns:r="http://schemas.openxmlformats.org/officeDocument/2006/relationships" ref="P83" r:id="rId62"/>
    <hyperlink xmlns:r="http://schemas.openxmlformats.org/officeDocument/2006/relationships" ref="P84" r:id="rId63"/>
    <hyperlink xmlns:r="http://schemas.openxmlformats.org/officeDocument/2006/relationships" ref="P85" r:id="rId64"/>
    <hyperlink xmlns:r="http://schemas.openxmlformats.org/officeDocument/2006/relationships" ref="P86" r:id="rId65"/>
    <hyperlink xmlns:r="http://schemas.openxmlformats.org/officeDocument/2006/relationships" ref="P87" r:id="rId66"/>
    <hyperlink xmlns:r="http://schemas.openxmlformats.org/officeDocument/2006/relationships" ref="P88" r:id="rId67"/>
    <hyperlink xmlns:r="http://schemas.openxmlformats.org/officeDocument/2006/relationships" ref="P89" r:id="rId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key</t>
        </is>
      </c>
      <c r="B2" s="35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2026-03-23T01:15:03Z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DE</t>
        </is>
      </c>
      <c r="E3" t="n">
        <v>116.89</v>
      </c>
      <c r="F3" t="inlineStr">
        <is>
          <t>EUR</t>
        </is>
      </c>
      <c r="G3" t="inlineStr">
        <is>
          <t>finance.ventas_pyg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ES</t>
        </is>
      </c>
      <c r="E4" t="n">
        <v>900.37</v>
      </c>
      <c r="F4" t="inlineStr">
        <is>
          <t>EUR</t>
        </is>
      </c>
      <c r="G4" t="inlineStr">
        <is>
          <t>finance.ventas_pyg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HANNUN</t>
        </is>
      </c>
      <c r="D5" t="inlineStr">
        <is>
          <t>FR</t>
        </is>
      </c>
      <c r="E5" t="n">
        <v>213.09</v>
      </c>
      <c r="F5" t="inlineStr">
        <is>
          <t>EUR</t>
        </is>
      </c>
      <c r="G5" t="inlineStr">
        <is>
          <t>finance.ventas_pyg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HANNUN</t>
        </is>
      </c>
      <c r="D6" t="inlineStr">
        <is>
          <t>IT</t>
        </is>
      </c>
      <c r="E6" t="n">
        <v>81.15000000000001</v>
      </c>
      <c r="F6" t="inlineStr">
        <is>
          <t>EUR</t>
        </is>
      </c>
      <c r="G6" t="inlineStr">
        <is>
          <t>finance.ventas_pyg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HANNUN</t>
        </is>
      </c>
      <c r="D7" t="inlineStr">
        <is>
          <t>PT</t>
        </is>
      </c>
      <c r="E7" t="n">
        <v>213.92</v>
      </c>
      <c r="F7" t="inlineStr">
        <is>
          <t>EUR</t>
        </is>
      </c>
      <c r="G7" t="inlineStr">
        <is>
          <t>finance.ventas_pyg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HANNUN</t>
        </is>
      </c>
      <c r="D8" t="inlineStr">
        <is>
          <t>AT</t>
        </is>
      </c>
      <c r="E8" t="n">
        <v>57.8</v>
      </c>
      <c r="F8" t="inlineStr">
        <is>
          <t>EUR</t>
        </is>
      </c>
      <c r="G8" t="inlineStr">
        <is>
          <t>finance.ventas_pyg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HANNUN</t>
        </is>
      </c>
      <c r="D9" t="inlineStr">
        <is>
          <t>DE</t>
        </is>
      </c>
      <c r="E9" t="n">
        <v>23.11</v>
      </c>
      <c r="F9" t="inlineStr">
        <is>
          <t>EUR</t>
        </is>
      </c>
      <c r="G9" t="inlineStr">
        <is>
          <t>finance.ventas_pyg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HANNUN</t>
        </is>
      </c>
      <c r="D10" t="inlineStr">
        <is>
          <t>ES</t>
        </is>
      </c>
      <c r="E10" t="n">
        <v>832.95</v>
      </c>
      <c r="F10" t="inlineStr">
        <is>
          <t>EUR</t>
        </is>
      </c>
      <c r="G10" t="inlineStr">
        <is>
          <t>finance.ventas_pyg</t>
        </is>
      </c>
    </row>
    <row r="11" ht="12" customHeight="1">
      <c r="A11" t="inlineStr">
        <is>
          <t>202602</t>
        </is>
      </c>
      <c r="B11" t="inlineStr">
        <is>
          <t>SL</t>
        </is>
      </c>
      <c r="C11" t="inlineStr">
        <is>
          <t>HANNUN</t>
        </is>
      </c>
      <c r="D11" t="inlineStr">
        <is>
          <t>FR</t>
        </is>
      </c>
      <c r="E11" t="n">
        <v>54.82</v>
      </c>
      <c r="F11" t="inlineStr">
        <is>
          <t>EUR</t>
        </is>
      </c>
      <c r="G11" t="inlineStr">
        <is>
          <t>finance.ventas_pyg</t>
        </is>
      </c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HANNUN</t>
        </is>
      </c>
      <c r="D12" t="inlineStr">
        <is>
          <t>IT</t>
        </is>
      </c>
      <c r="E12" t="n">
        <v>97.09999999999999</v>
      </c>
      <c r="F12" t="inlineStr">
        <is>
          <t>EUR</t>
        </is>
      </c>
      <c r="G12" t="inlineStr">
        <is>
          <t>finance.ventas_pyg</t>
        </is>
      </c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TOASTY</t>
        </is>
      </c>
      <c r="D13" t="inlineStr">
        <is>
          <t>b2b_partner</t>
        </is>
      </c>
      <c r="E13" t="n">
        <v>1746.6</v>
      </c>
      <c r="F13" t="inlineStr">
        <is>
          <t>EUR</t>
        </is>
      </c>
      <c r="G13" t="inlineStr">
        <is>
          <t>documents</t>
        </is>
      </c>
    </row>
    <row r="14" ht="12" customHeight="1">
      <c r="A14" t="inlineStr">
        <is>
          <t>202603</t>
        </is>
      </c>
      <c r="B14" t="inlineStr">
        <is>
          <t>SL</t>
        </is>
      </c>
      <c r="C14" t="inlineStr">
        <is>
          <t>CHOOSE</t>
        </is>
      </c>
      <c r="D14" t="inlineStr">
        <is>
          <t>campaign</t>
        </is>
      </c>
      <c r="E14" t="n">
        <v>15609.96</v>
      </c>
      <c r="F14" t="inlineStr">
        <is>
          <t>EUR</t>
        </is>
      </c>
      <c r="G14" t="inlineStr">
        <is>
          <t>documents</t>
        </is>
      </c>
    </row>
    <row r="15" ht="12" customHeight="1">
      <c r="A15" t="inlineStr">
        <is>
          <t>202603</t>
        </is>
      </c>
      <c r="B15" t="inlineStr">
        <is>
          <t>SL</t>
        </is>
      </c>
      <c r="C15" t="inlineStr">
        <is>
          <t>HANNUN</t>
        </is>
      </c>
      <c r="D15" t="inlineStr">
        <is>
          <t>DE</t>
        </is>
      </c>
      <c r="E15" t="n">
        <v>159.86</v>
      </c>
      <c r="F15" t="inlineStr">
        <is>
          <t>EUR</t>
        </is>
      </c>
      <c r="G15" t="inlineStr">
        <is>
          <t>finance.ventas_pyg</t>
        </is>
      </c>
    </row>
    <row r="16" ht="12" customHeight="1">
      <c r="A16" t="inlineStr">
        <is>
          <t>202603</t>
        </is>
      </c>
      <c r="B16" t="inlineStr">
        <is>
          <t>SL</t>
        </is>
      </c>
      <c r="C16" t="inlineStr">
        <is>
          <t>HANNUN</t>
        </is>
      </c>
      <c r="D16" t="inlineStr">
        <is>
          <t>ES</t>
        </is>
      </c>
      <c r="E16" t="n">
        <v>577.09</v>
      </c>
      <c r="F16" t="inlineStr">
        <is>
          <t>EUR</t>
        </is>
      </c>
      <c r="G16" t="inlineStr">
        <is>
          <t>finance.ventas_pyg</t>
        </is>
      </c>
    </row>
    <row r="17" ht="12" customHeight="1">
      <c r="A17" t="inlineStr">
        <is>
          <t>202603</t>
        </is>
      </c>
      <c r="B17" t="inlineStr">
        <is>
          <t>SL</t>
        </is>
      </c>
      <c r="C17" t="inlineStr">
        <is>
          <t>HANNUN</t>
        </is>
      </c>
      <c r="D17" t="inlineStr">
        <is>
          <t>FR</t>
        </is>
      </c>
      <c r="E17" t="n">
        <v>38.31</v>
      </c>
      <c r="F17" t="inlineStr">
        <is>
          <t>EUR</t>
        </is>
      </c>
      <c r="G17" t="inlineStr">
        <is>
          <t>finance.ventas_pyg</t>
        </is>
      </c>
    </row>
    <row r="18" ht="12" customHeight="1">
      <c r="A18" t="inlineStr">
        <is>
          <t>202603</t>
        </is>
      </c>
      <c r="B18" t="inlineStr">
        <is>
          <t>SL</t>
        </is>
      </c>
      <c r="C18" t="inlineStr">
        <is>
          <t>HANNUN</t>
        </is>
      </c>
      <c r="D18" t="inlineStr">
        <is>
          <t>IT</t>
        </is>
      </c>
      <c r="E18" t="n">
        <v>152.08</v>
      </c>
      <c r="F18" t="inlineStr">
        <is>
          <t>EUR</t>
        </is>
      </c>
      <c r="G18" t="inlineStr">
        <is>
          <t>finance.ventas_pyg</t>
        </is>
      </c>
    </row>
    <row r="19" ht="12" customHeight="1">
      <c r="A19" t="inlineStr">
        <is>
          <t>202603</t>
        </is>
      </c>
      <c r="B19" t="inlineStr">
        <is>
          <t>SL</t>
        </is>
      </c>
      <c r="C19" t="inlineStr">
        <is>
          <t>HANNUN</t>
        </is>
      </c>
      <c r="D19" t="inlineStr">
        <is>
          <t>PT</t>
        </is>
      </c>
      <c r="E19" t="n">
        <v>134.09</v>
      </c>
      <c r="F19" t="inlineStr">
        <is>
          <t>EUR</t>
        </is>
      </c>
      <c r="G19" t="inlineStr">
        <is>
          <t>finance.ventas_pyg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-2176.46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-522.54</v>
      </c>
      <c r="F4" t="inlineStr">
        <is>
          <t>EUR</t>
        </is>
      </c>
      <c r="G4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line_item</t>
        </is>
      </c>
      <c r="D2" s="35" t="inlineStr">
        <is>
          <t>detail</t>
        </is>
      </c>
      <c r="E2" s="35" t="inlineStr">
        <is>
          <t>amount_net</t>
        </is>
      </c>
      <c r="F2" s="35" t="inlineStr">
        <is>
          <t>currency</t>
        </is>
      </c>
      <c r="G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renting_cnc</t>
        </is>
      </c>
      <c r="E4" t="n">
        <v>1661.16</v>
      </c>
      <c r="F4" t="inlineStr">
        <is>
          <t>EUR</t>
        </is>
      </c>
      <c r="G4" t="inlineStr">
        <is>
          <t>documents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HANNUN</t>
        </is>
      </c>
      <c r="D5" t="inlineStr">
        <is>
          <t>staff</t>
        </is>
      </c>
      <c r="E5" t="n">
        <v>1191.18</v>
      </c>
      <c r="F5" t="inlineStr">
        <is>
          <t>EUR</t>
        </is>
      </c>
      <c r="G5" t="inlineStr">
        <is>
          <t>documents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Inc</t>
        </is>
      </c>
      <c r="D6" t="inlineStr">
        <is>
          <t>shared_services</t>
        </is>
      </c>
      <c r="E6" t="n">
        <v>7334.44</v>
      </c>
      <c r="F6" t="inlineStr">
        <is>
          <t>EUR</t>
        </is>
      </c>
      <c r="G6" t="inlineStr">
        <is>
          <t>documents:shared_services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Ltd</t>
        </is>
      </c>
      <c r="D7" t="inlineStr">
        <is>
          <t>shared_services</t>
        </is>
      </c>
      <c r="E7" t="n">
        <v>10732.87</v>
      </c>
      <c r="F7" t="inlineStr">
        <is>
          <t>EUR</t>
        </is>
      </c>
      <c r="G7" t="inlineStr">
        <is>
          <t>documents:shared_services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HANNUN</t>
        </is>
      </c>
      <c r="D8" t="inlineStr">
        <is>
          <t>orders</t>
        </is>
      </c>
      <c r="E8" t="n">
        <v>1128.42</v>
      </c>
      <c r="F8" t="inlineStr">
        <is>
          <t>EUR</t>
        </is>
      </c>
      <c r="G8" t="inlineStr">
        <is>
          <t>documents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HANNUN</t>
        </is>
      </c>
      <c r="D9" t="inlineStr">
        <is>
          <t>staff</t>
        </is>
      </c>
      <c r="E9" t="n">
        <v>1191.91</v>
      </c>
      <c r="F9" t="inlineStr">
        <is>
          <t>EUR</t>
        </is>
      </c>
      <c r="G9" t="inlineStr">
        <is>
          <t>documents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Inc</t>
        </is>
      </c>
      <c r="D10" t="inlineStr">
        <is>
          <t>shared_services</t>
        </is>
      </c>
      <c r="E10" t="n">
        <v>8462.360000000001</v>
      </c>
      <c r="F10" t="inlineStr">
        <is>
          <t>EUR</t>
        </is>
      </c>
      <c r="G10" t="inlineStr">
        <is>
          <t>documents:shared_services</t>
        </is>
      </c>
    </row>
    <row r="11" ht="12" customHeight="1">
      <c r="A11" t="inlineStr">
        <is>
          <t>202602</t>
        </is>
      </c>
      <c r="B11" t="inlineStr">
        <is>
          <t>SL</t>
        </is>
      </c>
      <c r="C11" t="inlineStr">
        <is>
          <t>Ltd</t>
        </is>
      </c>
      <c r="D11" t="inlineStr">
        <is>
          <t>shared_services</t>
        </is>
      </c>
      <c r="E11" t="n">
        <v>13068.98</v>
      </c>
      <c r="F11" t="inlineStr">
        <is>
          <t>EUR</t>
        </is>
      </c>
      <c r="G11" t="inlineStr">
        <is>
          <t>documents:shared_services</t>
        </is>
      </c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QHANDS</t>
        </is>
      </c>
      <c r="D12" t="inlineStr">
        <is>
          <t>renting_cnc</t>
        </is>
      </c>
      <c r="E12" t="n">
        <v>1661.16</v>
      </c>
      <c r="F12" t="inlineStr">
        <is>
          <t>EUR</t>
        </is>
      </c>
      <c r="G12" t="inlineStr">
        <is>
          <t>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category</t>
        </is>
      </c>
      <c r="D2" s="35" t="inlineStr">
        <is>
          <t>subcategory</t>
        </is>
      </c>
      <c r="E2" s="35" t="inlineStr">
        <is>
          <t>supplier_code</t>
        </is>
      </c>
      <c r="F2" s="35" t="inlineStr">
        <is>
          <t>amount_net</t>
        </is>
      </c>
      <c r="G2" s="35" t="inlineStr">
        <is>
          <t>currency</t>
        </is>
      </c>
      <c r="H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ADOBE</t>
        </is>
      </c>
      <c r="F3" t="n">
        <v>33.49</v>
      </c>
      <c r="G3" t="inlineStr">
        <is>
          <t>EUR</t>
        </is>
      </c>
      <c r="H3" t="inlineStr">
        <is>
          <t>documents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cogs</t>
        </is>
      </c>
      <c r="D4" t="inlineStr">
        <is>
          <t>manufacturing</t>
        </is>
      </c>
      <c r="E4" t="inlineStr">
        <is>
          <t>APPHOTOCAN</t>
        </is>
      </c>
      <c r="F4" t="n">
        <v>29.22</v>
      </c>
      <c r="G4" t="inlineStr">
        <is>
          <t>EUR</t>
        </is>
      </c>
      <c r="H4" t="inlineStr">
        <is>
          <t>documents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cogs</t>
        </is>
      </c>
      <c r="D5" t="inlineStr">
        <is>
          <t>manufacturing</t>
        </is>
      </c>
      <c r="E5" t="inlineStr">
        <is>
          <t>APPHOTOES</t>
        </is>
      </c>
      <c r="F5" t="n">
        <v>17898.08</v>
      </c>
      <c r="G5" t="inlineStr">
        <is>
          <t>EUR</t>
        </is>
      </c>
      <c r="H5" t="inlineStr">
        <is>
          <t>documents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opex</t>
        </is>
      </c>
      <c r="D6" t="inlineStr">
        <is>
          <t>technology</t>
        </is>
      </c>
      <c r="E6" t="inlineStr">
        <is>
          <t>CANVA</t>
        </is>
      </c>
      <c r="F6" t="n">
        <v>9.91</v>
      </c>
      <c r="G6" t="inlineStr">
        <is>
          <t>EUR</t>
        </is>
      </c>
      <c r="H6" t="inlineStr">
        <is>
          <t>documents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opex</t>
        </is>
      </c>
      <c r="D7" t="inlineStr">
        <is>
          <t>administration</t>
        </is>
      </c>
      <c r="E7" t="inlineStr">
        <is>
          <t>CLARIS</t>
        </is>
      </c>
      <c r="F7" t="n">
        <v>808.08</v>
      </c>
      <c r="G7" t="inlineStr">
        <is>
          <t>EUR</t>
        </is>
      </c>
      <c r="H7" t="inlineStr">
        <is>
          <t>documents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logistics</t>
        </is>
      </c>
      <c r="E8" t="inlineStr">
        <is>
          <t>CORREOS</t>
        </is>
      </c>
      <c r="F8" t="n">
        <v>553.76</v>
      </c>
      <c r="G8" t="inlineStr">
        <is>
          <t>EUR</t>
        </is>
      </c>
      <c r="H8" t="inlineStr">
        <is>
          <t>documents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cogs</t>
        </is>
      </c>
      <c r="D9" t="inlineStr">
        <is>
          <t>manufacturing</t>
        </is>
      </c>
      <c r="E9" t="inlineStr">
        <is>
          <t>DCT</t>
        </is>
      </c>
      <c r="F9" t="n">
        <v>9730.110000000001</v>
      </c>
      <c r="G9" t="inlineStr">
        <is>
          <t>EUR</t>
        </is>
      </c>
      <c r="H9" t="inlineStr">
        <is>
          <t>documents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cogs</t>
        </is>
      </c>
      <c r="D10" t="inlineStr">
        <is>
          <t>logistics</t>
        </is>
      </c>
      <c r="E10" t="inlineStr">
        <is>
          <t>GLS</t>
        </is>
      </c>
      <c r="F10" t="n">
        <v>12319.26</v>
      </c>
      <c r="G10" t="inlineStr">
        <is>
          <t>EUR</t>
        </is>
      </c>
      <c r="H10" t="inlineStr">
        <is>
          <t>documents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opex</t>
        </is>
      </c>
      <c r="D11" t="inlineStr">
        <is>
          <t>technology</t>
        </is>
      </c>
      <c r="E11" t="inlineStr">
        <is>
          <t>GODADDY</t>
        </is>
      </c>
      <c r="F11" t="n">
        <v>34.23</v>
      </c>
      <c r="G11" t="inlineStr">
        <is>
          <t>EUR</t>
        </is>
      </c>
      <c r="H11" t="inlineStr">
        <is>
          <t>documents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opex</t>
        </is>
      </c>
      <c r="D12" t="inlineStr">
        <is>
          <t>marketing</t>
        </is>
      </c>
      <c r="E12" t="inlineStr">
        <is>
          <t>GOOGLEADS</t>
        </is>
      </c>
      <c r="F12" t="n">
        <v>24746.34</v>
      </c>
      <c r="G12" t="inlineStr">
        <is>
          <t>EUR</t>
        </is>
      </c>
      <c r="H12" t="inlineStr">
        <is>
          <t>documents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opex</t>
        </is>
      </c>
      <c r="D13" t="inlineStr">
        <is>
          <t>marketing</t>
        </is>
      </c>
      <c r="E13" t="inlineStr">
        <is>
          <t>GOOGLEADS</t>
        </is>
      </c>
      <c r="F13" t="n">
        <v>2298.67</v>
      </c>
      <c r="G13" t="inlineStr">
        <is>
          <t>EUR</t>
        </is>
      </c>
      <c r="H13" t="inlineStr">
        <is>
          <t>documents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opex</t>
        </is>
      </c>
      <c r="D14" t="inlineStr">
        <is>
          <t>marketing</t>
        </is>
      </c>
      <c r="E14" t="inlineStr">
        <is>
          <t>GOOGLEADS</t>
        </is>
      </c>
      <c r="F14" t="n">
        <v>2119.05</v>
      </c>
      <c r="G14" t="inlineStr">
        <is>
          <t>EUR</t>
        </is>
      </c>
      <c r="H14" t="inlineStr">
        <is>
          <t>documents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opex</t>
        </is>
      </c>
      <c r="D15" t="inlineStr">
        <is>
          <t>technology</t>
        </is>
      </c>
      <c r="E15" t="inlineStr">
        <is>
          <t>GOOGLEWORKSPACE</t>
        </is>
      </c>
      <c r="F15" t="n">
        <v>194.4</v>
      </c>
      <c r="G15" t="inlineStr">
        <is>
          <t>EUR</t>
        </is>
      </c>
      <c r="H15" t="inlineStr">
        <is>
          <t>documents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opex</t>
        </is>
      </c>
      <c r="D16" t="inlineStr">
        <is>
          <t>technology</t>
        </is>
      </c>
      <c r="E16" t="inlineStr">
        <is>
          <t>GORGIAS</t>
        </is>
      </c>
      <c r="F16" t="n">
        <v>201.2</v>
      </c>
      <c r="G16" t="inlineStr">
        <is>
          <t>USD</t>
        </is>
      </c>
      <c r="H16" t="inlineStr">
        <is>
          <t>documents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opex</t>
        </is>
      </c>
      <c r="D17" t="inlineStr">
        <is>
          <t>technology</t>
        </is>
      </c>
      <c r="E17" t="inlineStr">
        <is>
          <t>HETZNER</t>
        </is>
      </c>
      <c r="F17" t="n">
        <v>10.9</v>
      </c>
      <c r="G17" t="inlineStr">
        <is>
          <t>EUR</t>
        </is>
      </c>
      <c r="H17" t="inlineStr">
        <is>
          <t>documents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opex</t>
        </is>
      </c>
      <c r="D18" t="inlineStr">
        <is>
          <t>technology</t>
        </is>
      </c>
      <c r="E18" t="inlineStr">
        <is>
          <t>KONVOAI</t>
        </is>
      </c>
      <c r="F18" t="n">
        <v>453.89</v>
      </c>
      <c r="G18" t="inlineStr">
        <is>
          <t>EUR</t>
        </is>
      </c>
      <c r="H18" t="inlineStr">
        <is>
          <t>documents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technology</t>
        </is>
      </c>
      <c r="E19" t="inlineStr">
        <is>
          <t>MASMOVIL</t>
        </is>
      </c>
      <c r="F19" t="n">
        <v>5</v>
      </c>
      <c r="G19" t="inlineStr">
        <is>
          <t>EUR</t>
        </is>
      </c>
      <c r="H19" t="inlineStr">
        <is>
          <t>documents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technology</t>
        </is>
      </c>
      <c r="E20" t="inlineStr">
        <is>
          <t>MICROSOFT</t>
        </is>
      </c>
      <c r="F20" t="n">
        <v>30.87</v>
      </c>
      <c r="G20" t="inlineStr">
        <is>
          <t>EUR</t>
        </is>
      </c>
      <c r="H20" t="inlineStr">
        <is>
          <t>documents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technology</t>
        </is>
      </c>
      <c r="E21" t="inlineStr">
        <is>
          <t>OPENAI</t>
        </is>
      </c>
      <c r="F21" t="n">
        <v>10</v>
      </c>
      <c r="G21" t="inlineStr">
        <is>
          <t>USD</t>
        </is>
      </c>
      <c r="H21" t="inlineStr">
        <is>
          <t>documents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technology</t>
        </is>
      </c>
      <c r="E22" t="inlineStr">
        <is>
          <t>OPENAI</t>
        </is>
      </c>
      <c r="F22" t="n">
        <v>19.01</v>
      </c>
      <c r="G22" t="inlineStr">
        <is>
          <t>EUR</t>
        </is>
      </c>
      <c r="H22" t="inlineStr">
        <is>
          <t>documents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cogs</t>
        </is>
      </c>
      <c r="D23" t="inlineStr">
        <is>
          <t>manufacturing</t>
        </is>
      </c>
      <c r="E23" t="inlineStr">
        <is>
          <t>PRESSING</t>
        </is>
      </c>
      <c r="F23" t="n">
        <v>28979.31</v>
      </c>
      <c r="G23" t="inlineStr">
        <is>
          <t>EUR</t>
        </is>
      </c>
      <c r="H23" t="inlineStr">
        <is>
          <t>documents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PRODUCTHERO</t>
        </is>
      </c>
      <c r="F24" t="n">
        <v>134</v>
      </c>
      <c r="G24" t="inlineStr">
        <is>
          <t>EUR</t>
        </is>
      </c>
      <c r="H24" t="inlineStr">
        <is>
          <t>documents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REVER</t>
        </is>
      </c>
      <c r="F25" t="n">
        <v>513.8</v>
      </c>
      <c r="G25" t="inlineStr">
        <is>
          <t>EUR</t>
        </is>
      </c>
      <c r="H25" t="inlineStr">
        <is>
          <t>documents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opex</t>
        </is>
      </c>
      <c r="D26" t="inlineStr">
        <is>
          <t>technology</t>
        </is>
      </c>
      <c r="E26" t="inlineStr">
        <is>
          <t>SHOPIFY</t>
        </is>
      </c>
      <c r="F26" t="n">
        <v>2674.4</v>
      </c>
      <c r="G26" t="inlineStr">
        <is>
          <t>USD</t>
        </is>
      </c>
      <c r="H26" t="inlineStr">
        <is>
          <t>documents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cogs</t>
        </is>
      </c>
      <c r="D27" t="inlineStr">
        <is>
          <t>logistics</t>
        </is>
      </c>
      <c r="E27" t="inlineStr">
        <is>
          <t>SPRINGGDS</t>
        </is>
      </c>
      <c r="F27" t="n">
        <v>3.3</v>
      </c>
      <c r="G27" t="inlineStr">
        <is>
          <t>EUR</t>
        </is>
      </c>
      <c r="H27" t="inlineStr">
        <is>
          <t>documents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administration</t>
        </is>
      </c>
      <c r="E28" t="inlineStr">
        <is>
          <t>TORRAS</t>
        </is>
      </c>
      <c r="F28" t="n">
        <v>15</v>
      </c>
      <c r="G28" t="inlineStr">
        <is>
          <t>EUR</t>
        </is>
      </c>
      <c r="H28" t="inlineStr">
        <is>
          <t>documents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cogs</t>
        </is>
      </c>
      <c r="D29" t="inlineStr">
        <is>
          <t>logistics</t>
        </is>
      </c>
      <c r="E29" t="inlineStr">
        <is>
          <t>UPS</t>
        </is>
      </c>
      <c r="F29" t="n">
        <v>4305.55</v>
      </c>
      <c r="G29" t="inlineStr">
        <is>
          <t>EUR</t>
        </is>
      </c>
      <c r="H29" t="inlineStr">
        <is>
          <t>documents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opex</t>
        </is>
      </c>
      <c r="D30" t="inlineStr">
        <is>
          <t>technology</t>
        </is>
      </c>
      <c r="E30" t="inlineStr">
        <is>
          <t>YUMAAI</t>
        </is>
      </c>
      <c r="F30" t="n">
        <v>507.2</v>
      </c>
      <c r="G30" t="inlineStr">
        <is>
          <t>EUR</t>
        </is>
      </c>
      <c r="H30" t="inlineStr">
        <is>
          <t>documents</t>
        </is>
      </c>
    </row>
    <row r="31" ht="12" customHeight="1">
      <c r="A31" t="inlineStr">
        <is>
          <t>202602</t>
        </is>
      </c>
      <c r="B31" t="inlineStr">
        <is>
          <t>SL</t>
        </is>
      </c>
      <c r="C31" t="inlineStr">
        <is>
          <t>opex</t>
        </is>
      </c>
      <c r="D31" t="inlineStr">
        <is>
          <t>technology</t>
        </is>
      </c>
      <c r="E31" t="inlineStr">
        <is>
          <t>ADOBE</t>
        </is>
      </c>
      <c r="F31" t="n">
        <v>33.49</v>
      </c>
      <c r="G31" t="inlineStr">
        <is>
          <t>EUR</t>
        </is>
      </c>
      <c r="H31" t="inlineStr">
        <is>
          <t>documents</t>
        </is>
      </c>
    </row>
    <row r="32" ht="12" customHeight="1">
      <c r="A32" t="inlineStr">
        <is>
          <t>202602</t>
        </is>
      </c>
      <c r="B32" t="inlineStr">
        <is>
          <t>SL</t>
        </is>
      </c>
      <c r="C32" t="inlineStr">
        <is>
          <t>cogs</t>
        </is>
      </c>
      <c r="D32" t="inlineStr">
        <is>
          <t>manufacturing</t>
        </is>
      </c>
      <c r="E32" t="inlineStr">
        <is>
          <t>APPHOTOCAN</t>
        </is>
      </c>
      <c r="F32" t="n">
        <v>59.84</v>
      </c>
      <c r="G32" t="inlineStr">
        <is>
          <t>EUR</t>
        </is>
      </c>
      <c r="H32" t="inlineStr">
        <is>
          <t>documents</t>
        </is>
      </c>
    </row>
    <row r="33" ht="12" customHeight="1">
      <c r="A33" t="inlineStr">
        <is>
          <t>202602</t>
        </is>
      </c>
      <c r="B33" t="inlineStr">
        <is>
          <t>SL</t>
        </is>
      </c>
      <c r="C33" t="inlineStr">
        <is>
          <t>cogs</t>
        </is>
      </c>
      <c r="D33" t="inlineStr">
        <is>
          <t>manufacturing</t>
        </is>
      </c>
      <c r="E33" t="inlineStr">
        <is>
          <t>APPHOTOES</t>
        </is>
      </c>
      <c r="F33" t="n">
        <v>22987.13</v>
      </c>
      <c r="G33" t="inlineStr">
        <is>
          <t>EUR</t>
        </is>
      </c>
      <c r="H33" t="inlineStr">
        <is>
          <t>documents</t>
        </is>
      </c>
    </row>
    <row r="34" ht="12" customHeight="1">
      <c r="A34" t="inlineStr">
        <is>
          <t>202602</t>
        </is>
      </c>
      <c r="B34" t="inlineStr">
        <is>
          <t>SL</t>
        </is>
      </c>
      <c r="C34" t="inlineStr">
        <is>
          <t>opex</t>
        </is>
      </c>
      <c r="D34" t="inlineStr">
        <is>
          <t>technology</t>
        </is>
      </c>
      <c r="E34" t="inlineStr">
        <is>
          <t>CANVA</t>
        </is>
      </c>
      <c r="F34" t="n">
        <v>9.91</v>
      </c>
      <c r="G34" t="inlineStr">
        <is>
          <t>EUR</t>
        </is>
      </c>
      <c r="H34" t="inlineStr">
        <is>
          <t>documents</t>
        </is>
      </c>
    </row>
    <row r="35" ht="12" customHeight="1">
      <c r="A35" t="inlineStr">
        <is>
          <t>202602</t>
        </is>
      </c>
      <c r="B35" t="inlineStr">
        <is>
          <t>SL</t>
        </is>
      </c>
      <c r="C35" t="inlineStr">
        <is>
          <t>opex</t>
        </is>
      </c>
      <c r="D35" t="inlineStr">
        <is>
          <t>administration</t>
        </is>
      </c>
      <c r="E35" t="inlineStr">
        <is>
          <t>CLARIS</t>
        </is>
      </c>
      <c r="F35" t="n">
        <v>808.08</v>
      </c>
      <c r="G35" t="inlineStr">
        <is>
          <t>EUR</t>
        </is>
      </c>
      <c r="H35" t="inlineStr">
        <is>
          <t>documents</t>
        </is>
      </c>
    </row>
    <row r="36" ht="12" customHeight="1">
      <c r="A36" t="inlineStr">
        <is>
          <t>202602</t>
        </is>
      </c>
      <c r="B36" t="inlineStr">
        <is>
          <t>SL</t>
        </is>
      </c>
      <c r="C36" t="inlineStr">
        <is>
          <t>cogs</t>
        </is>
      </c>
      <c r="D36" t="inlineStr">
        <is>
          <t>logistics</t>
        </is>
      </c>
      <c r="E36" t="inlineStr">
        <is>
          <t>CORREOS</t>
        </is>
      </c>
      <c r="F36" t="n">
        <v>96.77</v>
      </c>
      <c r="G36" t="inlineStr">
        <is>
          <t>EUR</t>
        </is>
      </c>
      <c r="H36" t="inlineStr">
        <is>
          <t>documents</t>
        </is>
      </c>
    </row>
    <row r="37" ht="12" customHeight="1">
      <c r="A37" t="inlineStr">
        <is>
          <t>202602</t>
        </is>
      </c>
      <c r="B37" t="inlineStr">
        <is>
          <t>SL</t>
        </is>
      </c>
      <c r="C37" t="inlineStr">
        <is>
          <t>cogs</t>
        </is>
      </c>
      <c r="D37" t="inlineStr">
        <is>
          <t>logistics</t>
        </is>
      </c>
      <c r="E37" t="inlineStr">
        <is>
          <t>CORREOSCAN</t>
        </is>
      </c>
      <c r="F37" t="n">
        <v>16.45</v>
      </c>
      <c r="G37" t="inlineStr">
        <is>
          <t>EUR</t>
        </is>
      </c>
      <c r="H37" t="inlineStr">
        <is>
          <t>documents</t>
        </is>
      </c>
    </row>
    <row r="38" ht="12" customHeight="1">
      <c r="A38" t="inlineStr">
        <is>
          <t>202602</t>
        </is>
      </c>
      <c r="B38" t="inlineStr">
        <is>
          <t>SL</t>
        </is>
      </c>
      <c r="C38" t="inlineStr">
        <is>
          <t>cogs</t>
        </is>
      </c>
      <c r="D38" t="inlineStr">
        <is>
          <t>manufacturing</t>
        </is>
      </c>
      <c r="E38" t="inlineStr">
        <is>
          <t>DCT</t>
        </is>
      </c>
      <c r="F38" t="n">
        <v>6925.32</v>
      </c>
      <c r="G38" t="inlineStr">
        <is>
          <t>EUR</t>
        </is>
      </c>
      <c r="H38" t="inlineStr">
        <is>
          <t>documents</t>
        </is>
      </c>
    </row>
    <row r="39" ht="12" customHeight="1">
      <c r="A39" t="inlineStr">
        <is>
          <t>202602</t>
        </is>
      </c>
      <c r="B39" t="inlineStr">
        <is>
          <t>SL</t>
        </is>
      </c>
      <c r="C39" t="inlineStr">
        <is>
          <t>cogs</t>
        </is>
      </c>
      <c r="D39" t="inlineStr">
        <is>
          <t>logistics</t>
        </is>
      </c>
      <c r="E39" t="inlineStr">
        <is>
          <t>GLS</t>
        </is>
      </c>
      <c r="F39" t="n">
        <v>15947.02</v>
      </c>
      <c r="G39" t="inlineStr">
        <is>
          <t>EUR</t>
        </is>
      </c>
      <c r="H39" t="inlineStr">
        <is>
          <t>documents</t>
        </is>
      </c>
    </row>
    <row r="40" ht="12" customHeight="1">
      <c r="A40" t="inlineStr">
        <is>
          <t>202602</t>
        </is>
      </c>
      <c r="B40" t="inlineStr">
        <is>
          <t>SL</t>
        </is>
      </c>
      <c r="C40" t="inlineStr">
        <is>
          <t>opex</t>
        </is>
      </c>
      <c r="D40" t="inlineStr">
        <is>
          <t>marketing</t>
        </is>
      </c>
      <c r="E40" t="inlineStr">
        <is>
          <t>GOOGLEADS</t>
        </is>
      </c>
      <c r="F40" t="n">
        <v>19199.14</v>
      </c>
      <c r="G40" t="inlineStr">
        <is>
          <t>EUR</t>
        </is>
      </c>
      <c r="H40" t="inlineStr">
        <is>
          <t>documents</t>
        </is>
      </c>
    </row>
    <row r="41" ht="12" customHeight="1">
      <c r="A41" t="inlineStr">
        <is>
          <t>202602</t>
        </is>
      </c>
      <c r="B41" t="inlineStr">
        <is>
          <t>SL</t>
        </is>
      </c>
      <c r="C41" t="inlineStr">
        <is>
          <t>opex</t>
        </is>
      </c>
      <c r="D41" t="inlineStr">
        <is>
          <t>marketing</t>
        </is>
      </c>
      <c r="E41" t="inlineStr">
        <is>
          <t>GOOGLEADS</t>
        </is>
      </c>
      <c r="F41" t="n">
        <v>5006.17</v>
      </c>
      <c r="G41" t="inlineStr">
        <is>
          <t>EUR</t>
        </is>
      </c>
      <c r="H41" t="inlineStr">
        <is>
          <t>documents</t>
        </is>
      </c>
    </row>
    <row r="42" ht="12" customHeight="1">
      <c r="A42" t="inlineStr">
        <is>
          <t>202602</t>
        </is>
      </c>
      <c r="B42" t="inlineStr">
        <is>
          <t>SL</t>
        </is>
      </c>
      <c r="C42" t="inlineStr">
        <is>
          <t>opex</t>
        </is>
      </c>
      <c r="D42" t="inlineStr">
        <is>
          <t>marketing</t>
        </is>
      </c>
      <c r="E42" t="inlineStr">
        <is>
          <t>GOOGLEADS</t>
        </is>
      </c>
      <c r="F42" t="n">
        <v>3345.8</v>
      </c>
      <c r="G42" t="inlineStr">
        <is>
          <t>EUR</t>
        </is>
      </c>
      <c r="H42" t="inlineStr">
        <is>
          <t>documents</t>
        </is>
      </c>
    </row>
    <row r="43" ht="12" customHeight="1">
      <c r="A43" t="inlineStr">
        <is>
          <t>202602</t>
        </is>
      </c>
      <c r="B43" t="inlineStr">
        <is>
          <t>SL</t>
        </is>
      </c>
      <c r="C43" t="inlineStr">
        <is>
          <t>opex</t>
        </is>
      </c>
      <c r="D43" t="inlineStr">
        <is>
          <t>technology</t>
        </is>
      </c>
      <c r="E43" t="inlineStr">
        <is>
          <t>GOOGLEWORKSPACE</t>
        </is>
      </c>
      <c r="F43" t="n">
        <v>201.91</v>
      </c>
      <c r="G43" t="inlineStr">
        <is>
          <t>EUR</t>
        </is>
      </c>
      <c r="H43" t="inlineStr">
        <is>
          <t>documents</t>
        </is>
      </c>
    </row>
    <row r="44" ht="12" customHeight="1">
      <c r="A44" t="inlineStr">
        <is>
          <t>202602</t>
        </is>
      </c>
      <c r="B44" t="inlineStr">
        <is>
          <t>SL</t>
        </is>
      </c>
      <c r="C44" t="inlineStr">
        <is>
          <t>opex</t>
        </is>
      </c>
      <c r="D44" t="inlineStr">
        <is>
          <t>technology</t>
        </is>
      </c>
      <c r="E44" t="inlineStr">
        <is>
          <t>GORGIAS</t>
        </is>
      </c>
      <c r="F44" t="n">
        <v>120</v>
      </c>
      <c r="G44" t="inlineStr">
        <is>
          <t>USD</t>
        </is>
      </c>
      <c r="H44" t="inlineStr">
        <is>
          <t>documents</t>
        </is>
      </c>
    </row>
    <row r="45" ht="12" customHeight="1">
      <c r="A45" t="inlineStr">
        <is>
          <t>202602</t>
        </is>
      </c>
      <c r="B45" t="inlineStr">
        <is>
          <t>SL</t>
        </is>
      </c>
      <c r="C45" t="inlineStr">
        <is>
          <t>opex</t>
        </is>
      </c>
      <c r="D45" t="inlineStr">
        <is>
          <t>administration</t>
        </is>
      </c>
      <c r="E45" t="inlineStr">
        <is>
          <t>HANNUN</t>
        </is>
      </c>
      <c r="F45" t="n">
        <v>43192.69</v>
      </c>
      <c r="G45" t="inlineStr">
        <is>
          <t>EUR</t>
        </is>
      </c>
      <c r="H45" t="inlineStr">
        <is>
          <t>documents</t>
        </is>
      </c>
    </row>
    <row r="46" ht="12" customHeight="1">
      <c r="A46" t="inlineStr">
        <is>
          <t>202602</t>
        </is>
      </c>
      <c r="B46" t="inlineStr">
        <is>
          <t>SL</t>
        </is>
      </c>
      <c r="C46" t="inlineStr">
        <is>
          <t>opex</t>
        </is>
      </c>
      <c r="D46" t="inlineStr">
        <is>
          <t>administration</t>
        </is>
      </c>
      <c r="E46" t="inlineStr">
        <is>
          <t>HANNUN</t>
        </is>
      </c>
      <c r="F46" t="n">
        <v>350</v>
      </c>
      <c r="G46" t="inlineStr">
        <is>
          <t>EUR</t>
        </is>
      </c>
      <c r="H46" t="inlineStr">
        <is>
          <t>documents</t>
        </is>
      </c>
    </row>
    <row r="47" ht="12" customHeight="1">
      <c r="A47" t="inlineStr">
        <is>
          <t>202602</t>
        </is>
      </c>
      <c r="B47" t="inlineStr">
        <is>
          <t>SL</t>
        </is>
      </c>
      <c r="C47" t="inlineStr">
        <is>
          <t>opex</t>
        </is>
      </c>
      <c r="D47" t="inlineStr">
        <is>
          <t>administration</t>
        </is>
      </c>
      <c r="E47" t="inlineStr">
        <is>
          <t>HANNUN</t>
        </is>
      </c>
      <c r="F47" t="n">
        <v>3009.84</v>
      </c>
      <c r="G47" t="inlineStr">
        <is>
          <t>EUR</t>
        </is>
      </c>
      <c r="H47" t="inlineStr">
        <is>
          <t>documents</t>
        </is>
      </c>
    </row>
    <row r="48" ht="12" customHeight="1">
      <c r="A48" t="inlineStr">
        <is>
          <t>202602</t>
        </is>
      </c>
      <c r="B48" t="inlineStr">
        <is>
          <t>SL</t>
        </is>
      </c>
      <c r="C48" t="inlineStr">
        <is>
          <t>opex</t>
        </is>
      </c>
      <c r="D48" t="inlineStr">
        <is>
          <t>technology</t>
        </is>
      </c>
      <c r="E48" t="inlineStr">
        <is>
          <t>HETZNER</t>
        </is>
      </c>
      <c r="F48" t="n">
        <v>10.9</v>
      </c>
      <c r="G48" t="inlineStr">
        <is>
          <t>EUR</t>
        </is>
      </c>
      <c r="H48" t="inlineStr">
        <is>
          <t>documents</t>
        </is>
      </c>
    </row>
    <row r="49" ht="12" customHeight="1">
      <c r="A49" t="inlineStr">
        <is>
          <t>202602</t>
        </is>
      </c>
      <c r="B49" t="inlineStr">
        <is>
          <t>SL</t>
        </is>
      </c>
      <c r="C49" t="inlineStr">
        <is>
          <t>opex</t>
        </is>
      </c>
      <c r="D49" t="inlineStr">
        <is>
          <t>technology</t>
        </is>
      </c>
      <c r="E49" t="inlineStr">
        <is>
          <t>KONVOAI</t>
        </is>
      </c>
      <c r="F49" t="n">
        <v>475.96</v>
      </c>
      <c r="G49" t="inlineStr">
        <is>
          <t>EUR</t>
        </is>
      </c>
      <c r="H49" t="inlineStr">
        <is>
          <t>documents</t>
        </is>
      </c>
    </row>
    <row r="50" ht="12" customHeight="1">
      <c r="A50" t="inlineStr">
        <is>
          <t>202602</t>
        </is>
      </c>
      <c r="B50" t="inlineStr">
        <is>
          <t>SL</t>
        </is>
      </c>
      <c r="C50" t="inlineStr">
        <is>
          <t>opex</t>
        </is>
      </c>
      <c r="D50" t="inlineStr">
        <is>
          <t>technology</t>
        </is>
      </c>
      <c r="E50" t="inlineStr">
        <is>
          <t>MASMOVIL</t>
        </is>
      </c>
      <c r="F50" t="n">
        <v>5</v>
      </c>
      <c r="G50" t="inlineStr">
        <is>
          <t>EUR</t>
        </is>
      </c>
      <c r="H50" t="inlineStr">
        <is>
          <t>documents</t>
        </is>
      </c>
    </row>
    <row r="51" ht="12" customHeight="1">
      <c r="A51" t="inlineStr">
        <is>
          <t>202602</t>
        </is>
      </c>
      <c r="B51" t="inlineStr">
        <is>
          <t>SL</t>
        </is>
      </c>
      <c r="C51" t="inlineStr">
        <is>
          <t>opex</t>
        </is>
      </c>
      <c r="D51" t="inlineStr">
        <is>
          <t>marketing</t>
        </is>
      </c>
      <c r="E51" t="inlineStr">
        <is>
          <t>METAADS</t>
        </is>
      </c>
      <c r="F51" t="n">
        <v>15883.55</v>
      </c>
      <c r="G51" t="inlineStr">
        <is>
          <t>EUR</t>
        </is>
      </c>
      <c r="H51" t="inlineStr">
        <is>
          <t>documents</t>
        </is>
      </c>
    </row>
    <row r="52" ht="12" customHeight="1">
      <c r="A52" t="inlineStr">
        <is>
          <t>202602</t>
        </is>
      </c>
      <c r="B52" t="inlineStr">
        <is>
          <t>SL</t>
        </is>
      </c>
      <c r="C52" t="inlineStr">
        <is>
          <t>opex</t>
        </is>
      </c>
      <c r="D52" t="inlineStr">
        <is>
          <t>marketing</t>
        </is>
      </c>
      <c r="E52" t="inlineStr">
        <is>
          <t>METAADS</t>
        </is>
      </c>
      <c r="F52" t="n">
        <v>2794.04</v>
      </c>
      <c r="G52" t="inlineStr">
        <is>
          <t>EUR</t>
        </is>
      </c>
      <c r="H52" t="inlineStr">
        <is>
          <t>documents</t>
        </is>
      </c>
    </row>
    <row r="53" ht="12" customHeight="1">
      <c r="A53" t="inlineStr">
        <is>
          <t>202602</t>
        </is>
      </c>
      <c r="B53" t="inlineStr">
        <is>
          <t>SL</t>
        </is>
      </c>
      <c r="C53" t="inlineStr">
        <is>
          <t>opex</t>
        </is>
      </c>
      <c r="D53" t="inlineStr">
        <is>
          <t>marketing</t>
        </is>
      </c>
      <c r="E53" t="inlineStr">
        <is>
          <t>METAADS</t>
        </is>
      </c>
      <c r="F53" t="n">
        <v>1397.4</v>
      </c>
      <c r="G53" t="inlineStr">
        <is>
          <t>EUR</t>
        </is>
      </c>
      <c r="H53" t="inlineStr">
        <is>
          <t>documents</t>
        </is>
      </c>
    </row>
    <row r="54" ht="12" customHeight="1">
      <c r="A54" t="inlineStr">
        <is>
          <t>202602</t>
        </is>
      </c>
      <c r="B54" t="inlineStr">
        <is>
          <t>SL</t>
        </is>
      </c>
      <c r="C54" t="inlineStr">
        <is>
          <t>opex</t>
        </is>
      </c>
      <c r="D54" t="inlineStr">
        <is>
          <t>technology</t>
        </is>
      </c>
      <c r="E54" t="inlineStr">
        <is>
          <t>MICROSOFT</t>
        </is>
      </c>
      <c r="F54" t="n">
        <v>30.87</v>
      </c>
      <c r="G54" t="inlineStr">
        <is>
          <t>EUR</t>
        </is>
      </c>
      <c r="H54" t="inlineStr">
        <is>
          <t>documents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opex</t>
        </is>
      </c>
      <c r="D55" t="inlineStr">
        <is>
          <t>technology</t>
        </is>
      </c>
      <c r="E55" t="inlineStr">
        <is>
          <t>OPENAI</t>
        </is>
      </c>
      <c r="F55" t="n">
        <v>60.72</v>
      </c>
      <c r="G55" t="inlineStr">
        <is>
          <t>USD</t>
        </is>
      </c>
      <c r="H55" t="inlineStr">
        <is>
          <t>documents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opex</t>
        </is>
      </c>
      <c r="D56" t="inlineStr">
        <is>
          <t>technology</t>
        </is>
      </c>
      <c r="E56" t="inlineStr">
        <is>
          <t>OPENAI</t>
        </is>
      </c>
      <c r="F56" t="n">
        <v>10.13</v>
      </c>
      <c r="G56" t="inlineStr">
        <is>
          <t>USD</t>
        </is>
      </c>
      <c r="H56" t="inlineStr">
        <is>
          <t>documents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cogs</t>
        </is>
      </c>
      <c r="D57" t="inlineStr">
        <is>
          <t>manufacturing</t>
        </is>
      </c>
      <c r="E57" t="inlineStr">
        <is>
          <t>PRESSING</t>
        </is>
      </c>
      <c r="F57" t="n">
        <v>33510.62</v>
      </c>
      <c r="G57" t="inlineStr">
        <is>
          <t>EUR</t>
        </is>
      </c>
      <c r="H57" t="inlineStr">
        <is>
          <t>documents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opex</t>
        </is>
      </c>
      <c r="D58" t="inlineStr">
        <is>
          <t>technology</t>
        </is>
      </c>
      <c r="E58" t="inlineStr">
        <is>
          <t>PRODUCTHERO</t>
        </is>
      </c>
      <c r="F58" t="n">
        <v>134</v>
      </c>
      <c r="G58" t="inlineStr">
        <is>
          <t>EUR</t>
        </is>
      </c>
      <c r="H58" t="inlineStr">
        <is>
          <t>documents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opex</t>
        </is>
      </c>
      <c r="D59" t="inlineStr">
        <is>
          <t>technology</t>
        </is>
      </c>
      <c r="E59" t="inlineStr">
        <is>
          <t>REVER</t>
        </is>
      </c>
      <c r="F59" t="n">
        <v>79</v>
      </c>
      <c r="G59" t="inlineStr">
        <is>
          <t>EUR</t>
        </is>
      </c>
      <c r="H59" t="inlineStr">
        <is>
          <t>documents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opex</t>
        </is>
      </c>
      <c r="D60" t="inlineStr">
        <is>
          <t>technology</t>
        </is>
      </c>
      <c r="E60" t="inlineStr">
        <is>
          <t>SHOPIFY</t>
        </is>
      </c>
      <c r="F60" t="n">
        <v>2812.25</v>
      </c>
      <c r="G60" t="inlineStr">
        <is>
          <t>USD</t>
        </is>
      </c>
      <c r="H60" t="inlineStr">
        <is>
          <t>documents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opex</t>
        </is>
      </c>
      <c r="D61" t="inlineStr">
        <is>
          <t>administration</t>
        </is>
      </c>
      <c r="E61" t="inlineStr">
        <is>
          <t>TORRAS</t>
        </is>
      </c>
      <c r="F61" t="n">
        <v>15</v>
      </c>
      <c r="G61" t="inlineStr">
        <is>
          <t>EUR</t>
        </is>
      </c>
      <c r="H61" t="inlineStr">
        <is>
          <t>documents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cogs</t>
        </is>
      </c>
      <c r="D62" t="inlineStr">
        <is>
          <t>logistics</t>
        </is>
      </c>
      <c r="E62" t="inlineStr">
        <is>
          <t>UPS</t>
        </is>
      </c>
      <c r="F62" t="n">
        <v>1826.49</v>
      </c>
      <c r="G62" t="inlineStr">
        <is>
          <t>EUR</t>
        </is>
      </c>
      <c r="H62" t="inlineStr">
        <is>
          <t>documents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opex</t>
        </is>
      </c>
      <c r="D63" t="inlineStr">
        <is>
          <t>technology</t>
        </is>
      </c>
      <c r="E63" t="inlineStr">
        <is>
          <t>YUMAAI</t>
        </is>
      </c>
      <c r="F63" t="n">
        <v>440</v>
      </c>
      <c r="G63" t="inlineStr">
        <is>
          <t>EUR</t>
        </is>
      </c>
      <c r="H63" t="inlineStr">
        <is>
          <t>documents</t>
        </is>
      </c>
    </row>
    <row r="64" ht="12" customHeight="1">
      <c r="A64" t="inlineStr">
        <is>
          <t>202603</t>
        </is>
      </c>
      <c r="B64" t="inlineStr">
        <is>
          <t>SL</t>
        </is>
      </c>
      <c r="C64" t="inlineStr">
        <is>
          <t>cogs</t>
        </is>
      </c>
      <c r="D64" t="inlineStr">
        <is>
          <t>manufacturing</t>
        </is>
      </c>
      <c r="E64" t="inlineStr">
        <is>
          <t>APPHOTOES</t>
        </is>
      </c>
      <c r="F64" t="n">
        <v>11609.31</v>
      </c>
      <c r="G64" t="inlineStr">
        <is>
          <t>EUR</t>
        </is>
      </c>
      <c r="H64" t="inlineStr">
        <is>
          <t>documents</t>
        </is>
      </c>
    </row>
    <row r="65" ht="12" customHeight="1">
      <c r="A65" t="inlineStr">
        <is>
          <t>202603</t>
        </is>
      </c>
      <c r="B65" t="inlineStr">
        <is>
          <t>SL</t>
        </is>
      </c>
      <c r="C65" t="inlineStr">
        <is>
          <t>cogs</t>
        </is>
      </c>
      <c r="D65" t="inlineStr">
        <is>
          <t>manufacturing</t>
        </is>
      </c>
      <c r="E65" t="inlineStr">
        <is>
          <t>ARTLINK</t>
        </is>
      </c>
      <c r="F65" t="n">
        <v>570</v>
      </c>
      <c r="G65" t="inlineStr">
        <is>
          <t>EUR</t>
        </is>
      </c>
      <c r="H65" t="inlineStr">
        <is>
          <t>documents</t>
        </is>
      </c>
    </row>
    <row r="66" ht="12" customHeight="1">
      <c r="A66" t="inlineStr">
        <is>
          <t>202603</t>
        </is>
      </c>
      <c r="B66" t="inlineStr">
        <is>
          <t>SL</t>
        </is>
      </c>
      <c r="C66" t="inlineStr">
        <is>
          <t>opex</t>
        </is>
      </c>
      <c r="D66" t="inlineStr">
        <is>
          <t>administration</t>
        </is>
      </c>
      <c r="E66" t="inlineStr">
        <is>
          <t>CLARIS</t>
        </is>
      </c>
      <c r="F66" t="n">
        <v>808.08</v>
      </c>
      <c r="G66" t="inlineStr">
        <is>
          <t>EUR</t>
        </is>
      </c>
      <c r="H66" t="inlineStr">
        <is>
          <t>documents</t>
        </is>
      </c>
    </row>
    <row r="67" ht="12" customHeight="1">
      <c r="A67" t="inlineStr">
        <is>
          <t>202603</t>
        </is>
      </c>
      <c r="B67" t="inlineStr">
        <is>
          <t>SL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DCT</t>
        </is>
      </c>
      <c r="F67" t="n">
        <v>2646.66</v>
      </c>
      <c r="G67" t="inlineStr">
        <is>
          <t>EUR</t>
        </is>
      </c>
      <c r="H67" t="inlineStr">
        <is>
          <t>documents</t>
        </is>
      </c>
    </row>
    <row r="68" ht="12" customHeight="1">
      <c r="A68" t="inlineStr">
        <is>
          <t>202603</t>
        </is>
      </c>
      <c r="B68" t="inlineStr">
        <is>
          <t>SL</t>
        </is>
      </c>
      <c r="C68" t="inlineStr">
        <is>
          <t>opex</t>
        </is>
      </c>
      <c r="D68" t="inlineStr">
        <is>
          <t>technology</t>
        </is>
      </c>
      <c r="E68" t="inlineStr">
        <is>
          <t>GORGIAS</t>
        </is>
      </c>
      <c r="F68" t="n">
        <v>126.4</v>
      </c>
      <c r="G68" t="inlineStr">
        <is>
          <t>USD</t>
        </is>
      </c>
      <c r="H68" t="inlineStr">
        <is>
          <t>documents</t>
        </is>
      </c>
    </row>
    <row r="69" ht="12" customHeight="1">
      <c r="A69" t="inlineStr">
        <is>
          <t>202603</t>
        </is>
      </c>
      <c r="B69" t="inlineStr">
        <is>
          <t>SL</t>
        </is>
      </c>
      <c r="C69" t="inlineStr">
        <is>
          <t>opex</t>
        </is>
      </c>
      <c r="D69" t="inlineStr">
        <is>
          <t>administration</t>
        </is>
      </c>
      <c r="E69" t="inlineStr">
        <is>
          <t>HANNUN</t>
        </is>
      </c>
      <c r="F69" t="n">
        <v>30</v>
      </c>
      <c r="G69" t="inlineStr">
        <is>
          <t>EUR</t>
        </is>
      </c>
      <c r="H69" t="inlineStr">
        <is>
          <t>documents</t>
        </is>
      </c>
    </row>
    <row r="70" ht="12" customHeight="1">
      <c r="A70" t="inlineStr">
        <is>
          <t>202603</t>
        </is>
      </c>
      <c r="B70" t="inlineStr">
        <is>
          <t>SL</t>
        </is>
      </c>
      <c r="C70" t="inlineStr">
        <is>
          <t>opex</t>
        </is>
      </c>
      <c r="D70" t="inlineStr">
        <is>
          <t>technology</t>
        </is>
      </c>
      <c r="E70" t="inlineStr">
        <is>
          <t>OPENAI</t>
        </is>
      </c>
      <c r="F70" t="n">
        <v>15</v>
      </c>
      <c r="G70" t="inlineStr">
        <is>
          <t>USD</t>
        </is>
      </c>
      <c r="H70" t="inlineStr">
        <is>
          <t>documents</t>
        </is>
      </c>
    </row>
    <row r="71" ht="12" customHeight="1">
      <c r="A71" t="inlineStr">
        <is>
          <t>202603</t>
        </is>
      </c>
      <c r="B71" t="inlineStr">
        <is>
          <t>SL</t>
        </is>
      </c>
      <c r="C71" t="inlineStr">
        <is>
          <t>opex</t>
        </is>
      </c>
      <c r="D71" t="inlineStr">
        <is>
          <t>technology</t>
        </is>
      </c>
      <c r="E71" t="inlineStr">
        <is>
          <t>RAILWAY</t>
        </is>
      </c>
      <c r="F71" t="n">
        <v>21.36</v>
      </c>
      <c r="G71" t="inlineStr">
        <is>
          <t>USD</t>
        </is>
      </c>
      <c r="H71" t="inlineStr">
        <is>
          <t>documents</t>
        </is>
      </c>
    </row>
    <row r="72" ht="12" customHeight="1">
      <c r="A72" t="inlineStr">
        <is>
          <t>202603</t>
        </is>
      </c>
      <c r="B72" t="inlineStr">
        <is>
          <t>SL</t>
        </is>
      </c>
      <c r="C72" t="inlineStr">
        <is>
          <t>opex</t>
        </is>
      </c>
      <c r="D72" t="inlineStr">
        <is>
          <t>administration</t>
        </is>
      </c>
      <c r="E72" t="inlineStr">
        <is>
          <t>TORRAS</t>
        </is>
      </c>
      <c r="F72" t="n">
        <v>15</v>
      </c>
      <c r="G72" t="inlineStr">
        <is>
          <t>EUR</t>
        </is>
      </c>
      <c r="H72" t="inlineStr">
        <is>
          <t>documents</t>
        </is>
      </c>
    </row>
    <row r="73" ht="12" customHeight="1">
      <c r="A73" t="inlineStr">
        <is>
          <t>202603</t>
        </is>
      </c>
      <c r="B73" t="inlineStr">
        <is>
          <t>SL</t>
        </is>
      </c>
      <c r="C73" t="inlineStr">
        <is>
          <t>opex</t>
        </is>
      </c>
      <c r="D73" t="inlineStr">
        <is>
          <t>administration</t>
        </is>
      </c>
      <c r="E73" t="inlineStr">
        <is>
          <t>VITALY</t>
        </is>
      </c>
      <c r="F73" t="n">
        <v>369</v>
      </c>
      <c r="G73" t="inlineStr">
        <is>
          <t>EUR</t>
        </is>
      </c>
      <c r="H73" t="inlineStr">
        <is>
          <t>documents</t>
        </is>
      </c>
    </row>
    <row r="74" ht="12" customHeight="1">
      <c r="A74" t="inlineStr">
        <is>
          <t>202603</t>
        </is>
      </c>
      <c r="B74" t="inlineStr">
        <is>
          <t>SL</t>
        </is>
      </c>
      <c r="C74" t="inlineStr">
        <is>
          <t>opex</t>
        </is>
      </c>
      <c r="D74" t="inlineStr">
        <is>
          <t>technology</t>
        </is>
      </c>
      <c r="E74" t="inlineStr">
        <is>
          <t>YUMAAI</t>
        </is>
      </c>
      <c r="F74" t="n">
        <v>440</v>
      </c>
      <c r="G74" t="inlineStr">
        <is>
          <t>EUR</t>
        </is>
      </c>
      <c r="H74" t="inlineStr">
        <is>
          <t>documents</t>
        </is>
      </c>
    </row>
    <row r="75" ht="12" customHeight="1">
      <c r="A75" t="inlineStr">
        <is>
          <t>202601</t>
        </is>
      </c>
      <c r="B75" t="inlineStr">
        <is>
          <t>SL</t>
        </is>
      </c>
      <c r="C75" t="inlineStr">
        <is>
          <t>cogs</t>
        </is>
      </c>
      <c r="D75" t="inlineStr">
        <is>
          <t>royalties</t>
        </is>
      </c>
      <c r="E75" t="inlineStr">
        <is>
          <t>ROYALTIES</t>
        </is>
      </c>
      <c r="F75" t="n">
        <v>13322.55</v>
      </c>
      <c r="G75" t="inlineStr">
        <is>
          <t>EUR</t>
        </is>
      </c>
      <c r="H75" t="inlineStr">
        <is>
          <t>artist_royalties_monthly_summary</t>
        </is>
      </c>
    </row>
    <row r="76" ht="12" customHeight="1">
      <c r="A76" t="inlineStr">
        <is>
          <t>202602</t>
        </is>
      </c>
      <c r="B76" t="inlineStr">
        <is>
          <t>SL</t>
        </is>
      </c>
      <c r="C76" t="inlineStr">
        <is>
          <t>cogs</t>
        </is>
      </c>
      <c r="D76" t="inlineStr">
        <is>
          <t>royalties</t>
        </is>
      </c>
      <c r="E76" t="inlineStr">
        <is>
          <t>ROYALTIES</t>
        </is>
      </c>
      <c r="F76" t="n">
        <v>16222.56</v>
      </c>
      <c r="G76" t="inlineStr">
        <is>
          <t>EUR</t>
        </is>
      </c>
      <c r="H76" t="inlineStr">
        <is>
          <t>artist_royalties_monthly_summary</t>
        </is>
      </c>
    </row>
    <row r="77" ht="12" customHeight="1">
      <c r="A77" t="inlineStr">
        <is>
          <t>202601</t>
        </is>
      </c>
      <c r="B77" t="inlineStr">
        <is>
          <t>SL</t>
        </is>
      </c>
      <c r="C77" t="inlineStr">
        <is>
          <t>opex</t>
        </is>
      </c>
      <c r="D77" t="inlineStr">
        <is>
          <t>staff</t>
        </is>
      </c>
      <c r="E77" t="inlineStr">
        <is>
          <t>PAYROLL</t>
        </is>
      </c>
      <c r="F77" t="n">
        <v>14731.84</v>
      </c>
      <c r="G77" t="inlineStr">
        <is>
          <t>EUR</t>
        </is>
      </c>
      <c r="H77" t="inlineStr">
        <is>
          <t>payroll_documents</t>
        </is>
      </c>
    </row>
    <row r="78" ht="12" customHeight="1">
      <c r="A78" t="inlineStr">
        <is>
          <t>202602</t>
        </is>
      </c>
      <c r="B78" t="inlineStr">
        <is>
          <t>SL</t>
        </is>
      </c>
      <c r="C78" t="inlineStr">
        <is>
          <t>opex</t>
        </is>
      </c>
      <c r="D78" t="inlineStr">
        <is>
          <t>staff</t>
        </is>
      </c>
      <c r="E78" t="inlineStr">
        <is>
          <t>PAYROLL</t>
        </is>
      </c>
      <c r="F78" t="n">
        <v>14915.68</v>
      </c>
      <c r="G78" t="inlineStr">
        <is>
          <t>EUR</t>
        </is>
      </c>
      <c r="H78" t="inlineStr">
        <is>
          <t>payroll_documents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yyyymm</t>
        </is>
      </c>
      <c r="B2" s="35" t="inlineStr">
        <is>
          <t>entity</t>
        </is>
      </c>
      <c r="C2" s="35" t="inlineStr">
        <is>
          <t>supplier_code</t>
        </is>
      </c>
      <c r="D2" s="35" t="inlineStr">
        <is>
          <t>amount_net</t>
        </is>
      </c>
      <c r="E2" s="35" t="inlineStr">
        <is>
          <t>currency</t>
        </is>
      </c>
      <c r="F2" s="35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SHOPIFY</t>
        </is>
      </c>
      <c r="D3" t="n">
        <v>2616.7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SHOPIFY</t>
        </is>
      </c>
      <c r="D4" t="n">
        <v>2778.19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202603</t>
        </is>
      </c>
      <c r="B5" t="inlineStr">
        <is>
          <t>SL</t>
        </is>
      </c>
      <c r="C5" t="inlineStr">
        <is>
          <t>SHOPIFY</t>
        </is>
      </c>
      <c r="D5" t="n">
        <v>2014.7</v>
      </c>
      <c r="E5" t="inlineStr">
        <is>
          <t>EUR</t>
        </is>
      </c>
      <c r="F5" t="inlineStr">
        <is>
          <t>payment_fee_monthly_summary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34" t="inlineStr">
        <is>
          <t>&lt;- Volver a P&amp;G-SL</t>
        </is>
      </c>
    </row>
    <row r="2" ht="12" customHeight="1">
      <c r="A2" s="35" t="inlineStr">
        <is>
          <t>supplier_code</t>
        </is>
      </c>
      <c r="B2" s="35" t="inlineStr">
        <is>
          <t>supplier_name</t>
        </is>
      </c>
      <c r="C2" s="35" t="inlineStr">
        <is>
          <t>current_folder</t>
        </is>
      </c>
      <c r="D2" s="35" t="inlineStr">
        <is>
          <t>destination_path</t>
        </is>
      </c>
      <c r="E2" s="35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2026-03-23T01:15:03Z</dcterms:created>
  <dcterms:modified xsi:type="dcterms:W3CDTF">2026-03-23T01:15:03Z</dcterms:modified>
</cp:coreProperties>
</file>